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45931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45931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45931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45931</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45931</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45931</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45775.6125462963</v>
      </c>
      <c r="C10" s="1" t="n">
        <v>45931</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45931</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45931</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45931</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45931</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44417-2025</t>
        </is>
      </c>
      <c r="B15" s="1" t="n">
        <v>45916.5453587963</v>
      </c>
      <c r="C15" s="1" t="n">
        <v>45931</v>
      </c>
      <c r="D15" t="inlineStr">
        <is>
          <t>DALARNAS LÄN</t>
        </is>
      </c>
      <c r="E15" t="inlineStr">
        <is>
          <t>MORA</t>
        </is>
      </c>
      <c r="G15" t="n">
        <v>13.1</v>
      </c>
      <c r="H15" t="n">
        <v>4</v>
      </c>
      <c r="I15" t="n">
        <v>2</v>
      </c>
      <c r="J15" t="n">
        <v>10</v>
      </c>
      <c r="K15" t="n">
        <v>1</v>
      </c>
      <c r="L15" t="n">
        <v>0</v>
      </c>
      <c r="M15" t="n">
        <v>0</v>
      </c>
      <c r="N15" t="n">
        <v>0</v>
      </c>
      <c r="O15" t="n">
        <v>11</v>
      </c>
      <c r="P15" t="n">
        <v>1</v>
      </c>
      <c r="Q15" t="n">
        <v>14</v>
      </c>
      <c r="R15" s="2" t="inlineStr">
        <is>
          <t>Fläckporing
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23535-2025</t>
        </is>
      </c>
      <c r="B16" s="1" t="n">
        <v>45792</v>
      </c>
      <c r="C16" s="1" t="n">
        <v>45931</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24131-2025</t>
        </is>
      </c>
      <c r="B17" s="1" t="n">
        <v>45796.63532407407</v>
      </c>
      <c r="C17" s="1" t="n">
        <v>45931</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45931</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45931</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45931</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35944-2024</t>
        </is>
      </c>
      <c r="B21" s="1" t="n">
        <v>45533.45853009259</v>
      </c>
      <c r="C21" s="1" t="n">
        <v>45931</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29934-2025</t>
        </is>
      </c>
      <c r="B22" s="1" t="n">
        <v>45826.44267361111</v>
      </c>
      <c r="C22" s="1" t="n">
        <v>45931</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34714-2025</t>
        </is>
      </c>
      <c r="B23" s="1" t="n">
        <v>45848.52030092593</v>
      </c>
      <c r="C23" s="1" t="n">
        <v>45931</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5064-2023</t>
        </is>
      </c>
      <c r="B24" s="1" t="n">
        <v>44958.60337962963</v>
      </c>
      <c r="C24" s="1" t="n">
        <v>45931</v>
      </c>
      <c r="D24" t="inlineStr">
        <is>
          <t>DALARNAS LÄN</t>
        </is>
      </c>
      <c r="E24" t="inlineStr">
        <is>
          <t>MORA</t>
        </is>
      </c>
      <c r="G24" t="n">
        <v>3.9</v>
      </c>
      <c r="H24" t="n">
        <v>2</v>
      </c>
      <c r="I24" t="n">
        <v>1</v>
      </c>
      <c r="J24" t="n">
        <v>9</v>
      </c>
      <c r="K24" t="n">
        <v>0</v>
      </c>
      <c r="L24" t="n">
        <v>0</v>
      </c>
      <c r="M24" t="n">
        <v>0</v>
      </c>
      <c r="N24" t="n">
        <v>0</v>
      </c>
      <c r="O24" t="n">
        <v>9</v>
      </c>
      <c r="P24" t="n">
        <v>0</v>
      </c>
      <c r="Q24" t="n">
        <v>10</v>
      </c>
      <c r="R24" s="2" t="inlineStr">
        <is>
          <t>Garnlav
Granticka
Rosenticka
Spillkråka
Tallticka
Tretåig hackspett
Ullticka
Vedskivlav
Vitgrynig nållav
Bronshjon</t>
        </is>
      </c>
      <c r="S24">
        <f>HYPERLINK("https://klasma.github.io/Logging_2062/artfynd/A 5064-2023 artfynd.xlsx", "A 5064-2023")</f>
        <v/>
      </c>
      <c r="T24">
        <f>HYPERLINK("https://klasma.github.io/Logging_2062/kartor/A 5064-2023 karta.png", "A 5064-2023")</f>
        <v/>
      </c>
      <c r="V24">
        <f>HYPERLINK("https://klasma.github.io/Logging_2062/klagomål/A 5064-2023 FSC-klagomål.docx", "A 5064-2023")</f>
        <v/>
      </c>
      <c r="W24">
        <f>HYPERLINK("https://klasma.github.io/Logging_2062/klagomålsmail/A 5064-2023 FSC-klagomål mail.docx", "A 5064-2023")</f>
        <v/>
      </c>
      <c r="X24">
        <f>HYPERLINK("https://klasma.github.io/Logging_2062/tillsyn/A 5064-2023 tillsynsbegäran.docx", "A 5064-2023")</f>
        <v/>
      </c>
      <c r="Y24">
        <f>HYPERLINK("https://klasma.github.io/Logging_2062/tillsynsmail/A 5064-2023 tillsynsbegäran mail.docx", "A 5064-2023")</f>
        <v/>
      </c>
      <c r="Z24">
        <f>HYPERLINK("https://klasma.github.io/Logging_2062/fåglar/A 5064-2023 prioriterade fågelarter.docx", "A 5064-2023")</f>
        <v/>
      </c>
    </row>
    <row r="25" ht="15" customHeight="1">
      <c r="A25" t="inlineStr">
        <is>
          <t>A 35486-2025</t>
        </is>
      </c>
      <c r="B25" s="1" t="n">
        <v>45855.74986111111</v>
      </c>
      <c r="C25" s="1" t="n">
        <v>45931</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21041-2023</t>
        </is>
      </c>
      <c r="B26" s="1" t="n">
        <v>45061.58952546296</v>
      </c>
      <c r="C26" s="1" t="n">
        <v>45931</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61943-2024</t>
        </is>
      </c>
      <c r="B27" s="1" t="n">
        <v>45653.49774305556</v>
      </c>
      <c r="C27" s="1" t="n">
        <v>45931</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40313-2025</t>
        </is>
      </c>
      <c r="B28" s="1" t="n">
        <v>45895.42209490741</v>
      </c>
      <c r="C28" s="1" t="n">
        <v>45931</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59983-2024</t>
        </is>
      </c>
      <c r="B29" s="1" t="n">
        <v>45642</v>
      </c>
      <c r="C29" s="1" t="n">
        <v>45931</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39480-2025</t>
        </is>
      </c>
      <c r="B30" s="1" t="n">
        <v>45890.35232638889</v>
      </c>
      <c r="C30" s="1" t="n">
        <v>45931</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30904-2025</t>
        </is>
      </c>
      <c r="B31" s="1" t="n">
        <v>45832.36327546297</v>
      </c>
      <c r="C31" s="1" t="n">
        <v>45931</v>
      </c>
      <c r="D31" t="inlineStr">
        <is>
          <t>DALARNAS LÄN</t>
        </is>
      </c>
      <c r="E31" t="inlineStr">
        <is>
          <t>MORA</t>
        </is>
      </c>
      <c r="G31" t="n">
        <v>6.6</v>
      </c>
      <c r="H31" t="n">
        <v>3</v>
      </c>
      <c r="I31" t="n">
        <v>1</v>
      </c>
      <c r="J31" t="n">
        <v>6</v>
      </c>
      <c r="K31" t="n">
        <v>0</v>
      </c>
      <c r="L31" t="n">
        <v>0</v>
      </c>
      <c r="M31" t="n">
        <v>0</v>
      </c>
      <c r="N31" t="n">
        <v>0</v>
      </c>
      <c r="O31" t="n">
        <v>6</v>
      </c>
      <c r="P31" t="n">
        <v>0</v>
      </c>
      <c r="Q31" t="n">
        <v>8</v>
      </c>
      <c r="R31" s="2" t="inlineStr">
        <is>
          <t>Garnlav
Spillkråka
Tallticka
Talltita
Vedflamlav
Vedskivlav
Mindre märgborre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54028-2020</t>
        </is>
      </c>
      <c r="B32" s="1" t="n">
        <v>44125</v>
      </c>
      <c r="C32" s="1" t="n">
        <v>45931</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61259-2023</t>
        </is>
      </c>
      <c r="B33" s="1" t="n">
        <v>45264</v>
      </c>
      <c r="C33" s="1" t="n">
        <v>45931</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29380-2025</t>
        </is>
      </c>
      <c r="B34" s="1" t="n">
        <v>45824.59025462963</v>
      </c>
      <c r="C34" s="1" t="n">
        <v>45931</v>
      </c>
      <c r="D34" t="inlineStr">
        <is>
          <t>DALARNAS LÄN</t>
        </is>
      </c>
      <c r="E34" t="inlineStr">
        <is>
          <t>MORA</t>
        </is>
      </c>
      <c r="G34" t="n">
        <v>8</v>
      </c>
      <c r="H34" t="n">
        <v>2</v>
      </c>
      <c r="I34" t="n">
        <v>1</v>
      </c>
      <c r="J34" t="n">
        <v>5</v>
      </c>
      <c r="K34" t="n">
        <v>0</v>
      </c>
      <c r="L34" t="n">
        <v>0</v>
      </c>
      <c r="M34" t="n">
        <v>0</v>
      </c>
      <c r="N34" t="n">
        <v>0</v>
      </c>
      <c r="O34" t="n">
        <v>5</v>
      </c>
      <c r="P34" t="n">
        <v>0</v>
      </c>
      <c r="Q34" t="n">
        <v>7</v>
      </c>
      <c r="R34" s="2" t="inlineStr">
        <is>
          <t>Garnlav
Kolflarnlav
Mörk kolflarnlav
Tallticka
Talltita
Mindre märgborre
Tjäder</t>
        </is>
      </c>
      <c r="S34">
        <f>HYPERLINK("https://klasma.github.io/Logging_2062/artfynd/A 29380-2025 artfynd.xlsx", "A 29380-2025")</f>
        <v/>
      </c>
      <c r="T34">
        <f>HYPERLINK("https://klasma.github.io/Logging_2062/kartor/A 29380-2025 karta.png", "A 29380-2025")</f>
        <v/>
      </c>
      <c r="V34">
        <f>HYPERLINK("https://klasma.github.io/Logging_2062/klagomål/A 29380-2025 FSC-klagomål.docx", "A 29380-2025")</f>
        <v/>
      </c>
      <c r="W34">
        <f>HYPERLINK("https://klasma.github.io/Logging_2062/klagomålsmail/A 29380-2025 FSC-klagomål mail.docx", "A 29380-2025")</f>
        <v/>
      </c>
      <c r="X34">
        <f>HYPERLINK("https://klasma.github.io/Logging_2062/tillsyn/A 29380-2025 tillsynsbegäran.docx", "A 29380-2025")</f>
        <v/>
      </c>
      <c r="Y34">
        <f>HYPERLINK("https://klasma.github.io/Logging_2062/tillsynsmail/A 29380-2025 tillsynsbegäran mail.docx", "A 29380-2025")</f>
        <v/>
      </c>
      <c r="Z34">
        <f>HYPERLINK("https://klasma.github.io/Logging_2062/fåglar/A 29380-2025 prioriterade fågelarter.docx", "A 29380-2025")</f>
        <v/>
      </c>
    </row>
    <row r="35" ht="15" customHeight="1">
      <c r="A35" t="inlineStr">
        <is>
          <t>A 29520-2025</t>
        </is>
      </c>
      <c r="B35" s="1" t="n">
        <v>45825.3303125</v>
      </c>
      <c r="C35" s="1" t="n">
        <v>45931</v>
      </c>
      <c r="D35" t="inlineStr">
        <is>
          <t>DALARNAS LÄN</t>
        </is>
      </c>
      <c r="E35" t="inlineStr">
        <is>
          <t>MORA</t>
        </is>
      </c>
      <c r="G35" t="n">
        <v>20.5</v>
      </c>
      <c r="H35" t="n">
        <v>1</v>
      </c>
      <c r="I35" t="n">
        <v>2</v>
      </c>
      <c r="J35" t="n">
        <v>5</v>
      </c>
      <c r="K35" t="n">
        <v>0</v>
      </c>
      <c r="L35" t="n">
        <v>0</v>
      </c>
      <c r="M35" t="n">
        <v>0</v>
      </c>
      <c r="N35" t="n">
        <v>0</v>
      </c>
      <c r="O35" t="n">
        <v>5</v>
      </c>
      <c r="P35" t="n">
        <v>0</v>
      </c>
      <c r="Q35" t="n">
        <v>7</v>
      </c>
      <c r="R35" s="2" t="inlineStr">
        <is>
          <t>Garnlav
Granticka
Mörk kolflarnlav
Tretåig hackspett
Vedskivlav
Korallblylav
Mindre märgborre</t>
        </is>
      </c>
      <c r="S35">
        <f>HYPERLINK("https://klasma.github.io/Logging_2062/artfynd/A 29520-2025 artfynd.xlsx", "A 29520-2025")</f>
        <v/>
      </c>
      <c r="T35">
        <f>HYPERLINK("https://klasma.github.io/Logging_2062/kartor/A 29520-2025 karta.png", "A 29520-2025")</f>
        <v/>
      </c>
      <c r="V35">
        <f>HYPERLINK("https://klasma.github.io/Logging_2062/klagomål/A 29520-2025 FSC-klagomål.docx", "A 29520-2025")</f>
        <v/>
      </c>
      <c r="W35">
        <f>HYPERLINK("https://klasma.github.io/Logging_2062/klagomålsmail/A 29520-2025 FSC-klagomål mail.docx", "A 29520-2025")</f>
        <v/>
      </c>
      <c r="X35">
        <f>HYPERLINK("https://klasma.github.io/Logging_2062/tillsyn/A 29520-2025 tillsynsbegäran.docx", "A 29520-2025")</f>
        <v/>
      </c>
      <c r="Y35">
        <f>HYPERLINK("https://klasma.github.io/Logging_2062/tillsynsmail/A 29520-2025 tillsynsbegäran mail.docx", "A 29520-2025")</f>
        <v/>
      </c>
      <c r="Z35">
        <f>HYPERLINK("https://klasma.github.io/Logging_2062/fåglar/A 29520-2025 prioriterade fågelarter.docx", "A 29520-2025")</f>
        <v/>
      </c>
    </row>
    <row r="36" ht="15" customHeight="1">
      <c r="A36" t="inlineStr">
        <is>
          <t>A 34447-2024</t>
        </is>
      </c>
      <c r="B36" s="1" t="n">
        <v>45525</v>
      </c>
      <c r="C36" s="1" t="n">
        <v>45931</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34719-2025</t>
        </is>
      </c>
      <c r="B37" s="1" t="n">
        <v>45848.53040509259</v>
      </c>
      <c r="C37" s="1" t="n">
        <v>45931</v>
      </c>
      <c r="D37" t="inlineStr">
        <is>
          <t>DALARNAS LÄN</t>
        </is>
      </c>
      <c r="E37" t="inlineStr">
        <is>
          <t>MORA</t>
        </is>
      </c>
      <c r="G37" t="n">
        <v>1.9</v>
      </c>
      <c r="H37" t="n">
        <v>2</v>
      </c>
      <c r="I37" t="n">
        <v>1</v>
      </c>
      <c r="J37" t="n">
        <v>5</v>
      </c>
      <c r="K37" t="n">
        <v>0</v>
      </c>
      <c r="L37" t="n">
        <v>0</v>
      </c>
      <c r="M37" t="n">
        <v>0</v>
      </c>
      <c r="N37" t="n">
        <v>0</v>
      </c>
      <c r="O37" t="n">
        <v>5</v>
      </c>
      <c r="P37" t="n">
        <v>0</v>
      </c>
      <c r="Q37" t="n">
        <v>6</v>
      </c>
      <c r="R37" s="2" t="inlineStr">
        <is>
          <t>Dvärgbägarlav
Garnlav
Spillkråka
Tallticka
Tretåig hackspett
Mindre märgborre</t>
        </is>
      </c>
      <c r="S37">
        <f>HYPERLINK("https://klasma.github.io/Logging_2062/artfynd/A 34719-2025 artfynd.xlsx", "A 34719-2025")</f>
        <v/>
      </c>
      <c r="T37">
        <f>HYPERLINK("https://klasma.github.io/Logging_2062/kartor/A 34719-2025 karta.png", "A 34719-2025")</f>
        <v/>
      </c>
      <c r="V37">
        <f>HYPERLINK("https://klasma.github.io/Logging_2062/klagomål/A 34719-2025 FSC-klagomål.docx", "A 34719-2025")</f>
        <v/>
      </c>
      <c r="W37">
        <f>HYPERLINK("https://klasma.github.io/Logging_2062/klagomålsmail/A 34719-2025 FSC-klagomål mail.docx", "A 34719-2025")</f>
        <v/>
      </c>
      <c r="X37">
        <f>HYPERLINK("https://klasma.github.io/Logging_2062/tillsyn/A 34719-2025 tillsynsbegäran.docx", "A 34719-2025")</f>
        <v/>
      </c>
      <c r="Y37">
        <f>HYPERLINK("https://klasma.github.io/Logging_2062/tillsynsmail/A 34719-2025 tillsynsbegäran mail.docx", "A 34719-2025")</f>
        <v/>
      </c>
      <c r="Z37">
        <f>HYPERLINK("https://klasma.github.io/Logging_2062/fåglar/A 34719-2025 prioriterade fågelarter.docx", "A 34719-2025")</f>
        <v/>
      </c>
    </row>
    <row r="38" ht="15" customHeight="1">
      <c r="A38" t="inlineStr">
        <is>
          <t>A 31539-2025</t>
        </is>
      </c>
      <c r="B38" s="1" t="n">
        <v>45833</v>
      </c>
      <c r="C38" s="1" t="n">
        <v>45931</v>
      </c>
      <c r="D38" t="inlineStr">
        <is>
          <t>DALARNAS LÄN</t>
        </is>
      </c>
      <c r="E38" t="inlineStr">
        <is>
          <t>MORA</t>
        </is>
      </c>
      <c r="G38" t="n">
        <v>5.3</v>
      </c>
      <c r="H38" t="n">
        <v>2</v>
      </c>
      <c r="I38" t="n">
        <v>2</v>
      </c>
      <c r="J38" t="n">
        <v>2</v>
      </c>
      <c r="K38" t="n">
        <v>1</v>
      </c>
      <c r="L38" t="n">
        <v>0</v>
      </c>
      <c r="M38" t="n">
        <v>0</v>
      </c>
      <c r="N38" t="n">
        <v>0</v>
      </c>
      <c r="O38" t="n">
        <v>3</v>
      </c>
      <c r="P38" t="n">
        <v>1</v>
      </c>
      <c r="Q38" t="n">
        <v>5</v>
      </c>
      <c r="R38" s="2" t="inlineStr">
        <is>
          <t>Knärot
Tallticka
Talltita
Bollvitmossa
Kattfotslav</t>
        </is>
      </c>
      <c r="S38">
        <f>HYPERLINK("https://klasma.github.io/Logging_2062/artfynd/A 31539-2025 artfynd.xlsx", "A 31539-2025")</f>
        <v/>
      </c>
      <c r="T38">
        <f>HYPERLINK("https://klasma.github.io/Logging_2062/kartor/A 31539-2025 karta.png", "A 31539-2025")</f>
        <v/>
      </c>
      <c r="U38">
        <f>HYPERLINK("https://klasma.github.io/Logging_2062/knärot/A 31539-2025 karta knärot.png", "A 31539-2025")</f>
        <v/>
      </c>
      <c r="V38">
        <f>HYPERLINK("https://klasma.github.io/Logging_2062/klagomål/A 31539-2025 FSC-klagomål.docx", "A 31539-2025")</f>
        <v/>
      </c>
      <c r="W38">
        <f>HYPERLINK("https://klasma.github.io/Logging_2062/klagomålsmail/A 31539-2025 FSC-klagomål mail.docx", "A 31539-2025")</f>
        <v/>
      </c>
      <c r="X38">
        <f>HYPERLINK("https://klasma.github.io/Logging_2062/tillsyn/A 31539-2025 tillsynsbegäran.docx", "A 31539-2025")</f>
        <v/>
      </c>
      <c r="Y38">
        <f>HYPERLINK("https://klasma.github.io/Logging_2062/tillsynsmail/A 31539-2025 tillsynsbegäran mail.docx", "A 31539-2025")</f>
        <v/>
      </c>
      <c r="Z38">
        <f>HYPERLINK("https://klasma.github.io/Logging_2062/fåglar/A 31539-2025 prioriterade fågelarter.docx", "A 31539-2025")</f>
        <v/>
      </c>
    </row>
    <row r="39" ht="15" customHeight="1">
      <c r="A39" t="inlineStr">
        <is>
          <t>A 35487-2025</t>
        </is>
      </c>
      <c r="B39" s="1" t="n">
        <v>45855.75481481481</v>
      </c>
      <c r="C39" s="1" t="n">
        <v>45931</v>
      </c>
      <c r="D39" t="inlineStr">
        <is>
          <t>DALARNAS LÄN</t>
        </is>
      </c>
      <c r="E39" t="inlineStr">
        <is>
          <t>MORA</t>
        </is>
      </c>
      <c r="F39" t="inlineStr">
        <is>
          <t>Allmännings- och besparingsskogar</t>
        </is>
      </c>
      <c r="G39" t="n">
        <v>0.7</v>
      </c>
      <c r="H39" t="n">
        <v>2</v>
      </c>
      <c r="I39" t="n">
        <v>0</v>
      </c>
      <c r="J39" t="n">
        <v>3</v>
      </c>
      <c r="K39" t="n">
        <v>0</v>
      </c>
      <c r="L39" t="n">
        <v>0</v>
      </c>
      <c r="M39" t="n">
        <v>0</v>
      </c>
      <c r="N39" t="n">
        <v>0</v>
      </c>
      <c r="O39" t="n">
        <v>3</v>
      </c>
      <c r="P39" t="n">
        <v>0</v>
      </c>
      <c r="Q39" t="n">
        <v>5</v>
      </c>
      <c r="R39" s="2" t="inlineStr">
        <is>
          <t>Dvärgbägarlav
Garnlav
Vedskivlav
Tjäder
Revlummer</t>
        </is>
      </c>
      <c r="S39">
        <f>HYPERLINK("https://klasma.github.io/Logging_2062/artfynd/A 35487-2025 artfynd.xlsx", "A 35487-2025")</f>
        <v/>
      </c>
      <c r="T39">
        <f>HYPERLINK("https://klasma.github.io/Logging_2062/kartor/A 35487-2025 karta.png", "A 35487-2025")</f>
        <v/>
      </c>
      <c r="V39">
        <f>HYPERLINK("https://klasma.github.io/Logging_2062/klagomål/A 35487-2025 FSC-klagomål.docx", "A 35487-2025")</f>
        <v/>
      </c>
      <c r="W39">
        <f>HYPERLINK("https://klasma.github.io/Logging_2062/klagomålsmail/A 35487-2025 FSC-klagomål mail.docx", "A 35487-2025")</f>
        <v/>
      </c>
      <c r="X39">
        <f>HYPERLINK("https://klasma.github.io/Logging_2062/tillsyn/A 35487-2025 tillsynsbegäran.docx", "A 35487-2025")</f>
        <v/>
      </c>
      <c r="Y39">
        <f>HYPERLINK("https://klasma.github.io/Logging_2062/tillsynsmail/A 35487-2025 tillsynsbegäran mail.docx", "A 35487-2025")</f>
        <v/>
      </c>
      <c r="Z39">
        <f>HYPERLINK("https://klasma.github.io/Logging_2062/fåglar/A 35487-2025 prioriterade fågelarter.docx", "A 35487-2025")</f>
        <v/>
      </c>
    </row>
    <row r="40" ht="15" customHeight="1">
      <c r="A40" t="inlineStr">
        <is>
          <t>A 8760-2025</t>
        </is>
      </c>
      <c r="B40" s="1" t="n">
        <v>45712.57467592593</v>
      </c>
      <c r="C40" s="1" t="n">
        <v>45931</v>
      </c>
      <c r="D40" t="inlineStr">
        <is>
          <t>DALARNAS LÄN</t>
        </is>
      </c>
      <c r="E40" t="inlineStr">
        <is>
          <t>MORA</t>
        </is>
      </c>
      <c r="F40" t="inlineStr">
        <is>
          <t>Allmännings- och besparingsskogar</t>
        </is>
      </c>
      <c r="G40" t="n">
        <v>36.6</v>
      </c>
      <c r="H40" t="n">
        <v>0</v>
      </c>
      <c r="I40" t="n">
        <v>0</v>
      </c>
      <c r="J40" t="n">
        <v>5</v>
      </c>
      <c r="K40" t="n">
        <v>0</v>
      </c>
      <c r="L40" t="n">
        <v>0</v>
      </c>
      <c r="M40" t="n">
        <v>0</v>
      </c>
      <c r="N40" t="n">
        <v>0</v>
      </c>
      <c r="O40" t="n">
        <v>5</v>
      </c>
      <c r="P40" t="n">
        <v>0</v>
      </c>
      <c r="Q40" t="n">
        <v>5</v>
      </c>
      <c r="R40" s="2" t="inlineStr">
        <is>
          <t>Garnlav
Mörk kolflarnlav
Skogshare
Vedflamlav
Vedskivlav</t>
        </is>
      </c>
      <c r="S40">
        <f>HYPERLINK("https://klasma.github.io/Logging_2062/artfynd/A 8760-2025 artfynd.xlsx", "A 8760-2025")</f>
        <v/>
      </c>
      <c r="T40">
        <f>HYPERLINK("https://klasma.github.io/Logging_2062/kartor/A 8760-2025 karta.png", "A 8760-2025")</f>
        <v/>
      </c>
      <c r="V40">
        <f>HYPERLINK("https://klasma.github.io/Logging_2062/klagomål/A 8760-2025 FSC-klagomål.docx", "A 8760-2025")</f>
        <v/>
      </c>
      <c r="W40">
        <f>HYPERLINK("https://klasma.github.io/Logging_2062/klagomålsmail/A 8760-2025 FSC-klagomål mail.docx", "A 8760-2025")</f>
        <v/>
      </c>
      <c r="X40">
        <f>HYPERLINK("https://klasma.github.io/Logging_2062/tillsyn/A 8760-2025 tillsynsbegäran.docx", "A 8760-2025")</f>
        <v/>
      </c>
      <c r="Y40">
        <f>HYPERLINK("https://klasma.github.io/Logging_2062/tillsynsmail/A 8760-2025 tillsynsbegäran mail.docx", "A 8760-2025")</f>
        <v/>
      </c>
    </row>
    <row r="41" ht="15" customHeight="1">
      <c r="A41" t="inlineStr">
        <is>
          <t>A 25750-2021</t>
        </is>
      </c>
      <c r="B41" s="1" t="n">
        <v>44343</v>
      </c>
      <c r="C41" s="1" t="n">
        <v>45931</v>
      </c>
      <c r="D41" t="inlineStr">
        <is>
          <t>DALARNAS LÄN</t>
        </is>
      </c>
      <c r="E41" t="inlineStr">
        <is>
          <t>MORA</t>
        </is>
      </c>
      <c r="G41" t="n">
        <v>3.4</v>
      </c>
      <c r="H41" t="n">
        <v>2</v>
      </c>
      <c r="I41" t="n">
        <v>0</v>
      </c>
      <c r="J41" t="n">
        <v>4</v>
      </c>
      <c r="K41" t="n">
        <v>1</v>
      </c>
      <c r="L41" t="n">
        <v>0</v>
      </c>
      <c r="M41" t="n">
        <v>0</v>
      </c>
      <c r="N41" t="n">
        <v>0</v>
      </c>
      <c r="O41" t="n">
        <v>5</v>
      </c>
      <c r="P41" t="n">
        <v>1</v>
      </c>
      <c r="Q41" t="n">
        <v>5</v>
      </c>
      <c r="R41" s="2" t="inlineStr">
        <is>
          <t>Knärot
Garnlav
Kolflarnlav
Mörk kolflarnlav
Spillkråka</t>
        </is>
      </c>
      <c r="S41">
        <f>HYPERLINK("https://klasma.github.io/Logging_2062/artfynd/A 25750-2021 artfynd.xlsx", "A 25750-2021")</f>
        <v/>
      </c>
      <c r="T41">
        <f>HYPERLINK("https://klasma.github.io/Logging_2062/kartor/A 25750-2021 karta.png", "A 25750-2021")</f>
        <v/>
      </c>
      <c r="U41">
        <f>HYPERLINK("https://klasma.github.io/Logging_2062/knärot/A 25750-2021 karta knärot.png", "A 25750-2021")</f>
        <v/>
      </c>
      <c r="V41">
        <f>HYPERLINK("https://klasma.github.io/Logging_2062/klagomål/A 25750-2021 FSC-klagomål.docx", "A 25750-2021")</f>
        <v/>
      </c>
      <c r="W41">
        <f>HYPERLINK("https://klasma.github.io/Logging_2062/klagomålsmail/A 25750-2021 FSC-klagomål mail.docx", "A 25750-2021")</f>
        <v/>
      </c>
      <c r="X41">
        <f>HYPERLINK("https://klasma.github.io/Logging_2062/tillsyn/A 25750-2021 tillsynsbegäran.docx", "A 25750-2021")</f>
        <v/>
      </c>
      <c r="Y41">
        <f>HYPERLINK("https://klasma.github.io/Logging_2062/tillsynsmail/A 25750-2021 tillsynsbegäran mail.docx", "A 25750-2021")</f>
        <v/>
      </c>
      <c r="Z41">
        <f>HYPERLINK("https://klasma.github.io/Logging_2062/fåglar/A 25750-2021 prioriterade fågelarter.docx", "A 25750-2021")</f>
        <v/>
      </c>
    </row>
    <row r="42" ht="15" customHeight="1">
      <c r="A42" t="inlineStr">
        <is>
          <t>A 14293-2024</t>
        </is>
      </c>
      <c r="B42" s="1" t="n">
        <v>45393.63902777778</v>
      </c>
      <c r="C42" s="1" t="n">
        <v>45931</v>
      </c>
      <c r="D42" t="inlineStr">
        <is>
          <t>DALARNAS LÄN</t>
        </is>
      </c>
      <c r="E42" t="inlineStr">
        <is>
          <t>MORA</t>
        </is>
      </c>
      <c r="G42" t="n">
        <v>7.4</v>
      </c>
      <c r="H42" t="n">
        <v>2</v>
      </c>
      <c r="I42" t="n">
        <v>1</v>
      </c>
      <c r="J42" t="n">
        <v>2</v>
      </c>
      <c r="K42" t="n">
        <v>0</v>
      </c>
      <c r="L42" t="n">
        <v>0</v>
      </c>
      <c r="M42" t="n">
        <v>0</v>
      </c>
      <c r="N42" t="n">
        <v>0</v>
      </c>
      <c r="O42" t="n">
        <v>2</v>
      </c>
      <c r="P42" t="n">
        <v>0</v>
      </c>
      <c r="Q42" t="n">
        <v>4</v>
      </c>
      <c r="R42" s="2" t="inlineStr">
        <is>
          <t>Garnlav
Talltita
Dropptaggsvamp
Tjäder</t>
        </is>
      </c>
      <c r="S42">
        <f>HYPERLINK("https://klasma.github.io/Logging_2062/artfynd/A 14293-2024 artfynd.xlsx", "A 14293-2024")</f>
        <v/>
      </c>
      <c r="T42">
        <f>HYPERLINK("https://klasma.github.io/Logging_2062/kartor/A 14293-2024 karta.png", "A 14293-2024")</f>
        <v/>
      </c>
      <c r="V42">
        <f>HYPERLINK("https://klasma.github.io/Logging_2062/klagomål/A 14293-2024 FSC-klagomål.docx", "A 14293-2024")</f>
        <v/>
      </c>
      <c r="W42">
        <f>HYPERLINK("https://klasma.github.io/Logging_2062/klagomålsmail/A 14293-2024 FSC-klagomål mail.docx", "A 14293-2024")</f>
        <v/>
      </c>
      <c r="X42">
        <f>HYPERLINK("https://klasma.github.io/Logging_2062/tillsyn/A 14293-2024 tillsynsbegäran.docx", "A 14293-2024")</f>
        <v/>
      </c>
      <c r="Y42">
        <f>HYPERLINK("https://klasma.github.io/Logging_2062/tillsynsmail/A 14293-2024 tillsynsbegäran mail.docx", "A 14293-2024")</f>
        <v/>
      </c>
      <c r="Z42">
        <f>HYPERLINK("https://klasma.github.io/Logging_2062/fåglar/A 14293-2024 prioriterade fågelarter.docx", "A 14293-2024")</f>
        <v/>
      </c>
    </row>
    <row r="43" ht="15" customHeight="1">
      <c r="A43" t="inlineStr">
        <is>
          <t>A 17648-2024</t>
        </is>
      </c>
      <c r="B43" s="1" t="n">
        <v>45418.39261574074</v>
      </c>
      <c r="C43" s="1" t="n">
        <v>45931</v>
      </c>
      <c r="D43" t="inlineStr">
        <is>
          <t>DALARNAS LÄN</t>
        </is>
      </c>
      <c r="E43" t="inlineStr">
        <is>
          <t>MORA</t>
        </is>
      </c>
      <c r="G43" t="n">
        <v>1.7</v>
      </c>
      <c r="H43" t="n">
        <v>4</v>
      </c>
      <c r="I43" t="n">
        <v>0</v>
      </c>
      <c r="J43" t="n">
        <v>2</v>
      </c>
      <c r="K43" t="n">
        <v>0</v>
      </c>
      <c r="L43" t="n">
        <v>0</v>
      </c>
      <c r="M43" t="n">
        <v>0</v>
      </c>
      <c r="N43" t="n">
        <v>0</v>
      </c>
      <c r="O43" t="n">
        <v>2</v>
      </c>
      <c r="P43" t="n">
        <v>0</v>
      </c>
      <c r="Q43" t="n">
        <v>4</v>
      </c>
      <c r="R43" s="2" t="inlineStr">
        <is>
          <t>Brunlångöra
Nordfladdermus
Dvärgpipistrell
Vattenfladdermus</t>
        </is>
      </c>
      <c r="S43">
        <f>HYPERLINK("https://klasma.github.io/Logging_2062/artfynd/A 17648-2024 artfynd.xlsx", "A 17648-2024")</f>
        <v/>
      </c>
      <c r="T43">
        <f>HYPERLINK("https://klasma.github.io/Logging_2062/kartor/A 17648-2024 karta.png", "A 17648-2024")</f>
        <v/>
      </c>
      <c r="V43">
        <f>HYPERLINK("https://klasma.github.io/Logging_2062/klagomål/A 17648-2024 FSC-klagomål.docx", "A 17648-2024")</f>
        <v/>
      </c>
      <c r="W43">
        <f>HYPERLINK("https://klasma.github.io/Logging_2062/klagomålsmail/A 17648-2024 FSC-klagomål mail.docx", "A 17648-2024")</f>
        <v/>
      </c>
      <c r="X43">
        <f>HYPERLINK("https://klasma.github.io/Logging_2062/tillsyn/A 17648-2024 tillsynsbegäran.docx", "A 17648-2024")</f>
        <v/>
      </c>
      <c r="Y43">
        <f>HYPERLINK("https://klasma.github.io/Logging_2062/tillsynsmail/A 17648-2024 tillsynsbegäran mail.docx", "A 17648-2024")</f>
        <v/>
      </c>
    </row>
    <row r="44" ht="15" customHeight="1">
      <c r="A44" t="inlineStr">
        <is>
          <t>A 34715-2025</t>
        </is>
      </c>
      <c r="B44" s="1" t="n">
        <v>45848.52225694444</v>
      </c>
      <c r="C44" s="1" t="n">
        <v>45931</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14829-2025</t>
        </is>
      </c>
      <c r="B45" s="1" t="n">
        <v>45743.36951388889</v>
      </c>
      <c r="C45" s="1" t="n">
        <v>45931</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HYPERLINK("https://klasma.github.io/Logging_2062/artfynd/A 14829-2025 artfynd.xlsx", "A 14829-2025")</f>
        <v/>
      </c>
      <c r="T45">
        <f>HYPERLINK("https://klasma.github.io/Logging_2062/kartor/A 14829-2025 karta.png", "A 14829-2025")</f>
        <v/>
      </c>
      <c r="V45">
        <f>HYPERLINK("https://klasma.github.io/Logging_2062/klagomål/A 14829-2025 FSC-klagomål.docx", "A 14829-2025")</f>
        <v/>
      </c>
      <c r="W45">
        <f>HYPERLINK("https://klasma.github.io/Logging_2062/klagomålsmail/A 14829-2025 FSC-klagomål mail.docx", "A 14829-2025")</f>
        <v/>
      </c>
      <c r="X45">
        <f>HYPERLINK("https://klasma.github.io/Logging_2062/tillsyn/A 14829-2025 tillsynsbegäran.docx", "A 14829-2025")</f>
        <v/>
      </c>
      <c r="Y45">
        <f>HYPERLINK("https://klasma.github.io/Logging_2062/tillsynsmail/A 14829-2025 tillsynsbegäran mail.docx", "A 14829-2025")</f>
        <v/>
      </c>
      <c r="Z45">
        <f>HYPERLINK("https://klasma.github.io/Logging_2062/fåglar/A 14829-2025 prioriterade fågelarter.docx", "A 14829-2025")</f>
        <v/>
      </c>
    </row>
    <row r="46" ht="15" customHeight="1">
      <c r="A46" t="inlineStr">
        <is>
          <t>A 32222-2025</t>
        </is>
      </c>
      <c r="B46" s="1" t="n">
        <v>45835.59140046296</v>
      </c>
      <c r="C46" s="1" t="n">
        <v>45931</v>
      </c>
      <c r="D46" t="inlineStr">
        <is>
          <t>DALARNAS LÄN</t>
        </is>
      </c>
      <c r="E46" t="inlineStr">
        <is>
          <t>MORA</t>
        </is>
      </c>
      <c r="G46" t="n">
        <v>11.5</v>
      </c>
      <c r="H46" t="n">
        <v>1</v>
      </c>
      <c r="I46" t="n">
        <v>0</v>
      </c>
      <c r="J46" t="n">
        <v>4</v>
      </c>
      <c r="K46" t="n">
        <v>0</v>
      </c>
      <c r="L46" t="n">
        <v>0</v>
      </c>
      <c r="M46" t="n">
        <v>0</v>
      </c>
      <c r="N46" t="n">
        <v>0</v>
      </c>
      <c r="O46" t="n">
        <v>4</v>
      </c>
      <c r="P46" t="n">
        <v>0</v>
      </c>
      <c r="Q46" t="n">
        <v>4</v>
      </c>
      <c r="R46" s="2" t="inlineStr">
        <is>
          <t>Garnlav
Reliktbock
Tallticka
Tretåig hackspett</t>
        </is>
      </c>
      <c r="S46">
        <f>HYPERLINK("https://klasma.github.io/Logging_2062/artfynd/A 32222-2025 artfynd.xlsx", "A 32222-2025")</f>
        <v/>
      </c>
      <c r="T46">
        <f>HYPERLINK("https://klasma.github.io/Logging_2062/kartor/A 32222-2025 karta.png", "A 32222-2025")</f>
        <v/>
      </c>
      <c r="V46">
        <f>HYPERLINK("https://klasma.github.io/Logging_2062/klagomål/A 32222-2025 FSC-klagomål.docx", "A 32222-2025")</f>
        <v/>
      </c>
      <c r="W46">
        <f>HYPERLINK("https://klasma.github.io/Logging_2062/klagomålsmail/A 32222-2025 FSC-klagomål mail.docx", "A 32222-2025")</f>
        <v/>
      </c>
      <c r="X46">
        <f>HYPERLINK("https://klasma.github.io/Logging_2062/tillsyn/A 32222-2025 tillsynsbegäran.docx", "A 32222-2025")</f>
        <v/>
      </c>
      <c r="Y46">
        <f>HYPERLINK("https://klasma.github.io/Logging_2062/tillsynsmail/A 32222-2025 tillsynsbegäran mail.docx", "A 32222-2025")</f>
        <v/>
      </c>
      <c r="Z46">
        <f>HYPERLINK("https://klasma.github.io/Logging_2062/fåglar/A 32222-2025 prioriterade fågelarter.docx", "A 32222-2025")</f>
        <v/>
      </c>
    </row>
    <row r="47" ht="15" customHeight="1">
      <c r="A47" t="inlineStr">
        <is>
          <t>A 39483-2025</t>
        </is>
      </c>
      <c r="B47" s="1" t="n">
        <v>45890.35881944445</v>
      </c>
      <c r="C47" s="1" t="n">
        <v>45931</v>
      </c>
      <c r="D47" t="inlineStr">
        <is>
          <t>DALARNAS LÄN</t>
        </is>
      </c>
      <c r="E47" t="inlineStr">
        <is>
          <t>MORA</t>
        </is>
      </c>
      <c r="G47" t="n">
        <v>0.4</v>
      </c>
      <c r="H47" t="n">
        <v>2</v>
      </c>
      <c r="I47" t="n">
        <v>0</v>
      </c>
      <c r="J47" t="n">
        <v>3</v>
      </c>
      <c r="K47" t="n">
        <v>0</v>
      </c>
      <c r="L47" t="n">
        <v>0</v>
      </c>
      <c r="M47" t="n">
        <v>0</v>
      </c>
      <c r="N47" t="n">
        <v>0</v>
      </c>
      <c r="O47" t="n">
        <v>3</v>
      </c>
      <c r="P47" t="n">
        <v>0</v>
      </c>
      <c r="Q47" t="n">
        <v>4</v>
      </c>
      <c r="R47" s="2" t="inlineStr">
        <is>
          <t>Garnlav
Spillkråka
Vitgrynig nållav
Revlummer</t>
        </is>
      </c>
      <c r="S47">
        <f>HYPERLINK("https://klasma.github.io/Logging_2062/artfynd/A 39483-2025 artfynd.xlsx", "A 39483-2025")</f>
        <v/>
      </c>
      <c r="T47">
        <f>HYPERLINK("https://klasma.github.io/Logging_2062/kartor/A 39483-2025 karta.png", "A 39483-2025")</f>
        <v/>
      </c>
      <c r="V47">
        <f>HYPERLINK("https://klasma.github.io/Logging_2062/klagomål/A 39483-2025 FSC-klagomål.docx", "A 39483-2025")</f>
        <v/>
      </c>
      <c r="W47">
        <f>HYPERLINK("https://klasma.github.io/Logging_2062/klagomålsmail/A 39483-2025 FSC-klagomål mail.docx", "A 39483-2025")</f>
        <v/>
      </c>
      <c r="X47">
        <f>HYPERLINK("https://klasma.github.io/Logging_2062/tillsyn/A 39483-2025 tillsynsbegäran.docx", "A 39483-2025")</f>
        <v/>
      </c>
      <c r="Y47">
        <f>HYPERLINK("https://klasma.github.io/Logging_2062/tillsynsmail/A 39483-2025 tillsynsbegäran mail.docx", "A 39483-2025")</f>
        <v/>
      </c>
      <c r="Z47">
        <f>HYPERLINK("https://klasma.github.io/Logging_2062/fåglar/A 39483-2025 prioriterade fågelarter.docx", "A 39483-2025")</f>
        <v/>
      </c>
    </row>
    <row r="48" ht="15" customHeight="1">
      <c r="A48" t="inlineStr">
        <is>
          <t>A 39478-2025</t>
        </is>
      </c>
      <c r="B48" s="1" t="n">
        <v>45890.3469212963</v>
      </c>
      <c r="C48" s="1" t="n">
        <v>45931</v>
      </c>
      <c r="D48" t="inlineStr">
        <is>
          <t>DALARNAS LÄN</t>
        </is>
      </c>
      <c r="E48" t="inlineStr">
        <is>
          <t>MORA</t>
        </is>
      </c>
      <c r="G48" t="n">
        <v>1.8</v>
      </c>
      <c r="H48" t="n">
        <v>0</v>
      </c>
      <c r="I48" t="n">
        <v>0</v>
      </c>
      <c r="J48" t="n">
        <v>4</v>
      </c>
      <c r="K48" t="n">
        <v>0</v>
      </c>
      <c r="L48" t="n">
        <v>0</v>
      </c>
      <c r="M48" t="n">
        <v>0</v>
      </c>
      <c r="N48" t="n">
        <v>0</v>
      </c>
      <c r="O48" t="n">
        <v>4</v>
      </c>
      <c r="P48" t="n">
        <v>0</v>
      </c>
      <c r="Q48" t="n">
        <v>4</v>
      </c>
      <c r="R48" s="2" t="inlineStr">
        <is>
          <t>Garnlav
Mörk kolflarnlav
Vedflamlav
Vedskivlav</t>
        </is>
      </c>
      <c r="S48">
        <f>HYPERLINK("https://klasma.github.io/Logging_2062/artfynd/A 39478-2025 artfynd.xlsx", "A 39478-2025")</f>
        <v/>
      </c>
      <c r="T48">
        <f>HYPERLINK("https://klasma.github.io/Logging_2062/kartor/A 39478-2025 karta.png", "A 39478-2025")</f>
        <v/>
      </c>
      <c r="V48">
        <f>HYPERLINK("https://klasma.github.io/Logging_2062/klagomål/A 39478-2025 FSC-klagomål.docx", "A 39478-2025")</f>
        <v/>
      </c>
      <c r="W48">
        <f>HYPERLINK("https://klasma.github.io/Logging_2062/klagomålsmail/A 39478-2025 FSC-klagomål mail.docx", "A 39478-2025")</f>
        <v/>
      </c>
      <c r="X48">
        <f>HYPERLINK("https://klasma.github.io/Logging_2062/tillsyn/A 39478-2025 tillsynsbegäran.docx", "A 39478-2025")</f>
        <v/>
      </c>
      <c r="Y48">
        <f>HYPERLINK("https://klasma.github.io/Logging_2062/tillsynsmail/A 39478-2025 tillsynsbegäran mail.docx", "A 39478-2025")</f>
        <v/>
      </c>
    </row>
    <row r="49" ht="15" customHeight="1">
      <c r="A49" t="inlineStr">
        <is>
          <t>A 29392-2025</t>
        </is>
      </c>
      <c r="B49" s="1" t="n">
        <v>45824.60537037037</v>
      </c>
      <c r="C49" s="1" t="n">
        <v>45931</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45931</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45931</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24220-2025</t>
        </is>
      </c>
      <c r="B52" s="1" t="n">
        <v>45797.3635300926</v>
      </c>
      <c r="C52" s="1" t="n">
        <v>45931</v>
      </c>
      <c r="D52" t="inlineStr">
        <is>
          <t>DALARNAS LÄN</t>
        </is>
      </c>
      <c r="E52" t="inlineStr">
        <is>
          <t>MORA</t>
        </is>
      </c>
      <c r="F52" t="inlineStr">
        <is>
          <t>Bergvik skog öst AB</t>
        </is>
      </c>
      <c r="G52" t="n">
        <v>1.2</v>
      </c>
      <c r="H52" t="n">
        <v>1</v>
      </c>
      <c r="I52" t="n">
        <v>1</v>
      </c>
      <c r="J52" t="n">
        <v>1</v>
      </c>
      <c r="K52" t="n">
        <v>1</v>
      </c>
      <c r="L52" t="n">
        <v>0</v>
      </c>
      <c r="M52" t="n">
        <v>0</v>
      </c>
      <c r="N52" t="n">
        <v>0</v>
      </c>
      <c r="O52" t="n">
        <v>2</v>
      </c>
      <c r="P52" t="n">
        <v>1</v>
      </c>
      <c r="Q52" t="n">
        <v>3</v>
      </c>
      <c r="R52" s="2" t="inlineStr">
        <is>
          <t>Knärot
Garnlav
Stuplav</t>
        </is>
      </c>
      <c r="S52">
        <f>HYPERLINK("https://klasma.github.io/Logging_2062/artfynd/A 24220-2025 artfynd.xlsx", "A 24220-2025")</f>
        <v/>
      </c>
      <c r="T52">
        <f>HYPERLINK("https://klasma.github.io/Logging_2062/kartor/A 24220-2025 karta.png", "A 24220-2025")</f>
        <v/>
      </c>
      <c r="U52">
        <f>HYPERLINK("https://klasma.github.io/Logging_2062/knärot/A 24220-2025 karta knärot.png", "A 24220-2025")</f>
        <v/>
      </c>
      <c r="V52">
        <f>HYPERLINK("https://klasma.github.io/Logging_2062/klagomål/A 24220-2025 FSC-klagomål.docx", "A 24220-2025")</f>
        <v/>
      </c>
      <c r="W52">
        <f>HYPERLINK("https://klasma.github.io/Logging_2062/klagomålsmail/A 24220-2025 FSC-klagomål mail.docx", "A 24220-2025")</f>
        <v/>
      </c>
      <c r="X52">
        <f>HYPERLINK("https://klasma.github.io/Logging_2062/tillsyn/A 24220-2025 tillsynsbegäran.docx", "A 24220-2025")</f>
        <v/>
      </c>
      <c r="Y52">
        <f>HYPERLINK("https://klasma.github.io/Logging_2062/tillsynsmail/A 24220-2025 tillsynsbegäran mail.docx", "A 24220-2025")</f>
        <v/>
      </c>
    </row>
    <row r="53" ht="15" customHeight="1">
      <c r="A53" t="inlineStr">
        <is>
          <t>A 59626-2020</t>
        </is>
      </c>
      <c r="B53" s="1" t="n">
        <v>44150</v>
      </c>
      <c r="C53" s="1" t="n">
        <v>45931</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45931</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23163-2025</t>
        </is>
      </c>
      <c r="B55" s="1" t="n">
        <v>45791.41832175926</v>
      </c>
      <c r="C55" s="1" t="n">
        <v>45931</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45931</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35068-2025</t>
        </is>
      </c>
      <c r="B57" s="1" t="n">
        <v>45852.45686342593</v>
      </c>
      <c r="C57" s="1" t="n">
        <v>45931</v>
      </c>
      <c r="D57" t="inlineStr">
        <is>
          <t>DALARNAS LÄN</t>
        </is>
      </c>
      <c r="E57" t="inlineStr">
        <is>
          <t>MORA</t>
        </is>
      </c>
      <c r="G57" t="n">
        <v>0.7</v>
      </c>
      <c r="H57" t="n">
        <v>0</v>
      </c>
      <c r="I57" t="n">
        <v>1</v>
      </c>
      <c r="J57" t="n">
        <v>1</v>
      </c>
      <c r="K57" t="n">
        <v>0</v>
      </c>
      <c r="L57" t="n">
        <v>0</v>
      </c>
      <c r="M57" t="n">
        <v>0</v>
      </c>
      <c r="N57" t="n">
        <v>0</v>
      </c>
      <c r="O57" t="n">
        <v>1</v>
      </c>
      <c r="P57" t="n">
        <v>0</v>
      </c>
      <c r="Q57" t="n">
        <v>2</v>
      </c>
      <c r="R57" s="2" t="inlineStr">
        <is>
          <t>Garnlav
Mindre märgborre</t>
        </is>
      </c>
      <c r="S57">
        <f>HYPERLINK("https://klasma.github.io/Logging_2062/artfynd/A 35068-2025 artfynd.xlsx", "A 35068-2025")</f>
        <v/>
      </c>
      <c r="T57">
        <f>HYPERLINK("https://klasma.github.io/Logging_2062/kartor/A 35068-2025 karta.png", "A 35068-2025")</f>
        <v/>
      </c>
      <c r="V57">
        <f>HYPERLINK("https://klasma.github.io/Logging_2062/klagomål/A 35068-2025 FSC-klagomål.docx", "A 35068-2025")</f>
        <v/>
      </c>
      <c r="W57">
        <f>HYPERLINK("https://klasma.github.io/Logging_2062/klagomålsmail/A 35068-2025 FSC-klagomål mail.docx", "A 35068-2025")</f>
        <v/>
      </c>
      <c r="X57">
        <f>HYPERLINK("https://klasma.github.io/Logging_2062/tillsyn/A 35068-2025 tillsynsbegäran.docx", "A 35068-2025")</f>
        <v/>
      </c>
      <c r="Y57">
        <f>HYPERLINK("https://klasma.github.io/Logging_2062/tillsynsmail/A 35068-2025 tillsynsbegäran mail.docx", "A 35068-2025")</f>
        <v/>
      </c>
    </row>
    <row r="58" ht="15" customHeight="1">
      <c r="A58" t="inlineStr">
        <is>
          <t>A 24126-2025</t>
        </is>
      </c>
      <c r="B58" s="1" t="n">
        <v>45796.63011574074</v>
      </c>
      <c r="C58" s="1" t="n">
        <v>45931</v>
      </c>
      <c r="D58" t="inlineStr">
        <is>
          <t>DALARNAS LÄN</t>
        </is>
      </c>
      <c r="E58" t="inlineStr">
        <is>
          <t>MORA</t>
        </is>
      </c>
      <c r="F58" t="inlineStr">
        <is>
          <t>Bergvik skog öst AB</t>
        </is>
      </c>
      <c r="G58" t="n">
        <v>0.9</v>
      </c>
      <c r="H58" t="n">
        <v>0</v>
      </c>
      <c r="I58" t="n">
        <v>1</v>
      </c>
      <c r="J58" t="n">
        <v>1</v>
      </c>
      <c r="K58" t="n">
        <v>0</v>
      </c>
      <c r="L58" t="n">
        <v>0</v>
      </c>
      <c r="M58" t="n">
        <v>0</v>
      </c>
      <c r="N58" t="n">
        <v>0</v>
      </c>
      <c r="O58" t="n">
        <v>1</v>
      </c>
      <c r="P58" t="n">
        <v>0</v>
      </c>
      <c r="Q58" t="n">
        <v>2</v>
      </c>
      <c r="R58" s="2" t="inlineStr">
        <is>
          <t>Garnlav
Bollvitmossa</t>
        </is>
      </c>
      <c r="S58">
        <f>HYPERLINK("https://klasma.github.io/Logging_2062/artfynd/A 24126-2025 artfynd.xlsx", "A 24126-2025")</f>
        <v/>
      </c>
      <c r="T58">
        <f>HYPERLINK("https://klasma.github.io/Logging_2062/kartor/A 24126-2025 karta.png", "A 24126-2025")</f>
        <v/>
      </c>
      <c r="V58">
        <f>HYPERLINK("https://klasma.github.io/Logging_2062/klagomål/A 24126-2025 FSC-klagomål.docx", "A 24126-2025")</f>
        <v/>
      </c>
      <c r="W58">
        <f>HYPERLINK("https://klasma.github.io/Logging_2062/klagomålsmail/A 24126-2025 FSC-klagomål mail.docx", "A 24126-2025")</f>
        <v/>
      </c>
      <c r="X58">
        <f>HYPERLINK("https://klasma.github.io/Logging_2062/tillsyn/A 24126-2025 tillsynsbegäran.docx", "A 24126-2025")</f>
        <v/>
      </c>
      <c r="Y58">
        <f>HYPERLINK("https://klasma.github.io/Logging_2062/tillsynsmail/A 24126-2025 tillsynsbegäran mail.docx", "A 24126-2025")</f>
        <v/>
      </c>
    </row>
    <row r="59" ht="15" customHeight="1">
      <c r="A59" t="inlineStr">
        <is>
          <t>A 23736-2023</t>
        </is>
      </c>
      <c r="B59" s="1" t="n">
        <v>45077</v>
      </c>
      <c r="C59" s="1" t="n">
        <v>45931</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20538-2025</t>
        </is>
      </c>
      <c r="B60" s="1" t="n">
        <v>45775.62283564815</v>
      </c>
      <c r="C60" s="1" t="n">
        <v>45931</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20538-2025 artfynd.xlsx", "A 20538-2025")</f>
        <v/>
      </c>
      <c r="T60">
        <f>HYPERLINK("https://klasma.github.io/Logging_2062/kartor/A 20538-2025 karta.png", "A 20538-2025")</f>
        <v/>
      </c>
      <c r="V60">
        <f>HYPERLINK("https://klasma.github.io/Logging_2062/klagomål/A 20538-2025 FSC-klagomål.docx", "A 20538-2025")</f>
        <v/>
      </c>
      <c r="W60">
        <f>HYPERLINK("https://klasma.github.io/Logging_2062/klagomålsmail/A 20538-2025 FSC-klagomål mail.docx", "A 20538-2025")</f>
        <v/>
      </c>
      <c r="X60">
        <f>HYPERLINK("https://klasma.github.io/Logging_2062/tillsyn/A 20538-2025 tillsynsbegäran.docx", "A 20538-2025")</f>
        <v/>
      </c>
      <c r="Y60">
        <f>HYPERLINK("https://klasma.github.io/Logging_2062/tillsynsmail/A 20538-2025 tillsynsbegäran mail.docx", "A 20538-2025")</f>
        <v/>
      </c>
    </row>
    <row r="61" ht="15" customHeight="1">
      <c r="A61" t="inlineStr">
        <is>
          <t>A 13717-2023</t>
        </is>
      </c>
      <c r="B61" s="1" t="n">
        <v>45007</v>
      </c>
      <c r="C61" s="1" t="n">
        <v>45931</v>
      </c>
      <c r="D61" t="inlineStr">
        <is>
          <t>DALARNAS LÄN</t>
        </is>
      </c>
      <c r="E61" t="inlineStr">
        <is>
          <t>MORA</t>
        </is>
      </c>
      <c r="G61" t="n">
        <v>5.6</v>
      </c>
      <c r="H61" t="n">
        <v>0</v>
      </c>
      <c r="I61" t="n">
        <v>0</v>
      </c>
      <c r="J61" t="n">
        <v>1</v>
      </c>
      <c r="K61" t="n">
        <v>0</v>
      </c>
      <c r="L61" t="n">
        <v>0</v>
      </c>
      <c r="M61" t="n">
        <v>0</v>
      </c>
      <c r="N61" t="n">
        <v>0</v>
      </c>
      <c r="O61" t="n">
        <v>1</v>
      </c>
      <c r="P61" t="n">
        <v>0</v>
      </c>
      <c r="Q61" t="n">
        <v>1</v>
      </c>
      <c r="R61" s="2" t="inlineStr">
        <is>
          <t>Slåtterfibbla</t>
        </is>
      </c>
      <c r="S61">
        <f>HYPERLINK("https://klasma.github.io/Logging_2062/artfynd/A 13717-2023 artfynd.xlsx", "A 13717-2023")</f>
        <v/>
      </c>
      <c r="T61">
        <f>HYPERLINK("https://klasma.github.io/Logging_2062/kartor/A 13717-2023 karta.png", "A 13717-2023")</f>
        <v/>
      </c>
      <c r="U61">
        <f>HYPERLINK("https://klasma.github.io/Logging_2062/knärot/A 13717-2023 karta knärot.png", "A 13717-2023")</f>
        <v/>
      </c>
      <c r="V61">
        <f>HYPERLINK("https://klasma.github.io/Logging_2062/klagomål/A 13717-2023 FSC-klagomål.docx", "A 13717-2023")</f>
        <v/>
      </c>
      <c r="W61">
        <f>HYPERLINK("https://klasma.github.io/Logging_2062/klagomålsmail/A 13717-2023 FSC-klagomål mail.docx", "A 13717-2023")</f>
        <v/>
      </c>
      <c r="X61">
        <f>HYPERLINK("https://klasma.github.io/Logging_2062/tillsyn/A 13717-2023 tillsynsbegäran.docx", "A 13717-2023")</f>
        <v/>
      </c>
      <c r="Y61">
        <f>HYPERLINK("https://klasma.github.io/Logging_2062/tillsynsmail/A 13717-2023 tillsynsbegäran mail.docx", "A 13717-2023")</f>
        <v/>
      </c>
    </row>
    <row r="62" ht="15" customHeight="1">
      <c r="A62" t="inlineStr">
        <is>
          <t>A 30328-2021</t>
        </is>
      </c>
      <c r="B62" s="1" t="n">
        <v>44364</v>
      </c>
      <c r="C62" s="1" t="n">
        <v>45931</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37552-2023</t>
        </is>
      </c>
      <c r="B63" s="1" t="n">
        <v>45159.32799768518</v>
      </c>
      <c r="C63" s="1" t="n">
        <v>45931</v>
      </c>
      <c r="D63" t="inlineStr">
        <is>
          <t>DALARNAS LÄN</t>
        </is>
      </c>
      <c r="E63" t="inlineStr">
        <is>
          <t>MORA</t>
        </is>
      </c>
      <c r="G63" t="n">
        <v>4</v>
      </c>
      <c r="H63" t="n">
        <v>0</v>
      </c>
      <c r="I63" t="n">
        <v>0</v>
      </c>
      <c r="J63" t="n">
        <v>1</v>
      </c>
      <c r="K63" t="n">
        <v>0</v>
      </c>
      <c r="L63" t="n">
        <v>0</v>
      </c>
      <c r="M63" t="n">
        <v>0</v>
      </c>
      <c r="N63" t="n">
        <v>0</v>
      </c>
      <c r="O63" t="n">
        <v>1</v>
      </c>
      <c r="P63" t="n">
        <v>0</v>
      </c>
      <c r="Q63" t="n">
        <v>1</v>
      </c>
      <c r="R63" s="2" t="inlineStr">
        <is>
          <t>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16094-2024</t>
        </is>
      </c>
      <c r="B64" s="1" t="n">
        <v>45406.41648148148</v>
      </c>
      <c r="C64" s="1" t="n">
        <v>45931</v>
      </c>
      <c r="D64" t="inlineStr">
        <is>
          <t>DALARNAS LÄN</t>
        </is>
      </c>
      <c r="E64" t="inlineStr">
        <is>
          <t>MORA</t>
        </is>
      </c>
      <c r="F64" t="inlineStr">
        <is>
          <t>Bergvik skog väst AB</t>
        </is>
      </c>
      <c r="G64" t="n">
        <v>22.6</v>
      </c>
      <c r="H64" t="n">
        <v>0</v>
      </c>
      <c r="I64" t="n">
        <v>0</v>
      </c>
      <c r="J64" t="n">
        <v>1</v>
      </c>
      <c r="K64" t="n">
        <v>0</v>
      </c>
      <c r="L64" t="n">
        <v>0</v>
      </c>
      <c r="M64" t="n">
        <v>0</v>
      </c>
      <c r="N64" t="n">
        <v>0</v>
      </c>
      <c r="O64" t="n">
        <v>1</v>
      </c>
      <c r="P64" t="n">
        <v>0</v>
      </c>
      <c r="Q64" t="n">
        <v>1</v>
      </c>
      <c r="R64" s="2" t="inlineStr">
        <is>
          <t>Reliktbock</t>
        </is>
      </c>
      <c r="S64">
        <f>HYPERLINK("https://klasma.github.io/Logging_2062/artfynd/A 16094-2024 artfynd.xlsx", "A 16094-2024")</f>
        <v/>
      </c>
      <c r="T64">
        <f>HYPERLINK("https://klasma.github.io/Logging_2062/kartor/A 16094-2024 karta.png", "A 16094-2024")</f>
        <v/>
      </c>
      <c r="V64">
        <f>HYPERLINK("https://klasma.github.io/Logging_2062/klagomål/A 16094-2024 FSC-klagomål.docx", "A 16094-2024")</f>
        <v/>
      </c>
      <c r="W64">
        <f>HYPERLINK("https://klasma.github.io/Logging_2062/klagomålsmail/A 16094-2024 FSC-klagomål mail.docx", "A 16094-2024")</f>
        <v/>
      </c>
      <c r="X64">
        <f>HYPERLINK("https://klasma.github.io/Logging_2062/tillsyn/A 16094-2024 tillsynsbegäran.docx", "A 16094-2024")</f>
        <v/>
      </c>
      <c r="Y64">
        <f>HYPERLINK("https://klasma.github.io/Logging_2062/tillsynsmail/A 16094-2024 tillsynsbegäran mail.docx", "A 16094-2024")</f>
        <v/>
      </c>
    </row>
    <row r="65" ht="15" customHeight="1">
      <c r="A65" t="inlineStr">
        <is>
          <t>A 5304-2023</t>
        </is>
      </c>
      <c r="B65" s="1" t="n">
        <v>44959.55116898148</v>
      </c>
      <c r="C65" s="1" t="n">
        <v>45931</v>
      </c>
      <c r="D65" t="inlineStr">
        <is>
          <t>DALARNAS LÄN</t>
        </is>
      </c>
      <c r="E65" t="inlineStr">
        <is>
          <t>MORA</t>
        </is>
      </c>
      <c r="F65" t="inlineStr">
        <is>
          <t>Bergvik skog väst AB</t>
        </is>
      </c>
      <c r="G65" t="n">
        <v>7.3</v>
      </c>
      <c r="H65" t="n">
        <v>0</v>
      </c>
      <c r="I65" t="n">
        <v>0</v>
      </c>
      <c r="J65" t="n">
        <v>1</v>
      </c>
      <c r="K65" t="n">
        <v>0</v>
      </c>
      <c r="L65" t="n">
        <v>0</v>
      </c>
      <c r="M65" t="n">
        <v>0</v>
      </c>
      <c r="N65" t="n">
        <v>0</v>
      </c>
      <c r="O65" t="n">
        <v>1</v>
      </c>
      <c r="P65" t="n">
        <v>0</v>
      </c>
      <c r="Q65" t="n">
        <v>1</v>
      </c>
      <c r="R65" s="2" t="inlineStr">
        <is>
          <t>Backruta</t>
        </is>
      </c>
      <c r="S65">
        <f>HYPERLINK("https://klasma.github.io/Logging_2062/artfynd/A 5304-2023 artfynd.xlsx", "A 5304-2023")</f>
        <v/>
      </c>
      <c r="T65">
        <f>HYPERLINK("https://klasma.github.io/Logging_2062/kartor/A 5304-2023 karta.png", "A 5304-2023")</f>
        <v/>
      </c>
      <c r="V65">
        <f>HYPERLINK("https://klasma.github.io/Logging_2062/klagomål/A 5304-2023 FSC-klagomål.docx", "A 5304-2023")</f>
        <v/>
      </c>
      <c r="W65">
        <f>HYPERLINK("https://klasma.github.io/Logging_2062/klagomålsmail/A 5304-2023 FSC-klagomål mail.docx", "A 5304-2023")</f>
        <v/>
      </c>
      <c r="X65">
        <f>HYPERLINK("https://klasma.github.io/Logging_2062/tillsyn/A 5304-2023 tillsynsbegäran.docx", "A 5304-2023")</f>
        <v/>
      </c>
      <c r="Y65">
        <f>HYPERLINK("https://klasma.github.io/Logging_2062/tillsynsmail/A 5304-2023 tillsynsbegäran mail.docx", "A 5304-2023")</f>
        <v/>
      </c>
    </row>
    <row r="66" ht="15" customHeight="1">
      <c r="A66" t="inlineStr">
        <is>
          <t>A 27113-2024</t>
        </is>
      </c>
      <c r="B66" s="1" t="n">
        <v>45471</v>
      </c>
      <c r="C66" s="1" t="n">
        <v>45931</v>
      </c>
      <c r="D66" t="inlineStr">
        <is>
          <t>DALARNAS LÄN</t>
        </is>
      </c>
      <c r="E66" t="inlineStr">
        <is>
          <t>MORA</t>
        </is>
      </c>
      <c r="G66" t="n">
        <v>10.3</v>
      </c>
      <c r="H66" t="n">
        <v>0</v>
      </c>
      <c r="I66" t="n">
        <v>1</v>
      </c>
      <c r="J66" t="n">
        <v>0</v>
      </c>
      <c r="K66" t="n">
        <v>0</v>
      </c>
      <c r="L66" t="n">
        <v>0</v>
      </c>
      <c r="M66" t="n">
        <v>0</v>
      </c>
      <c r="N66" t="n">
        <v>0</v>
      </c>
      <c r="O66" t="n">
        <v>0</v>
      </c>
      <c r="P66" t="n">
        <v>0</v>
      </c>
      <c r="Q66" t="n">
        <v>1</v>
      </c>
      <c r="R66" s="2" t="inlineStr">
        <is>
          <t>Stor aspticka</t>
        </is>
      </c>
      <c r="S66">
        <f>HYPERLINK("https://klasma.github.io/Logging_2062/artfynd/A 27113-2024 artfynd.xlsx", "A 27113-2024")</f>
        <v/>
      </c>
      <c r="T66">
        <f>HYPERLINK("https://klasma.github.io/Logging_2062/kartor/A 27113-2024 karta.png", "A 27113-2024")</f>
        <v/>
      </c>
      <c r="V66">
        <f>HYPERLINK("https://klasma.github.io/Logging_2062/klagomål/A 27113-2024 FSC-klagomål.docx", "A 27113-2024")</f>
        <v/>
      </c>
      <c r="W66">
        <f>HYPERLINK("https://klasma.github.io/Logging_2062/klagomålsmail/A 27113-2024 FSC-klagomål mail.docx", "A 27113-2024")</f>
        <v/>
      </c>
      <c r="X66">
        <f>HYPERLINK("https://klasma.github.io/Logging_2062/tillsyn/A 27113-2024 tillsynsbegäran.docx", "A 27113-2024")</f>
        <v/>
      </c>
      <c r="Y66">
        <f>HYPERLINK("https://klasma.github.io/Logging_2062/tillsynsmail/A 27113-2024 tillsynsbegäran mail.docx", "A 27113-2024")</f>
        <v/>
      </c>
    </row>
    <row r="67" ht="15" customHeight="1">
      <c r="A67" t="inlineStr">
        <is>
          <t>A 831-2025</t>
        </is>
      </c>
      <c r="B67" s="1" t="n">
        <v>45665.58001157407</v>
      </c>
      <c r="C67" s="1" t="n">
        <v>45931</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57669-2022</t>
        </is>
      </c>
      <c r="B68" s="1" t="n">
        <v>44897</v>
      </c>
      <c r="C68" s="1" t="n">
        <v>45931</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45344-2024</t>
        </is>
      </c>
      <c r="B69" s="1" t="n">
        <v>45576</v>
      </c>
      <c r="C69" s="1" t="n">
        <v>45931</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66990-2020</t>
        </is>
      </c>
      <c r="B70" s="1" t="n">
        <v>44180</v>
      </c>
      <c r="C70" s="1" t="n">
        <v>45931</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45931</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45931</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45931</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45931</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45931</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45931</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66158-2021</t>
        </is>
      </c>
      <c r="B77" s="1" t="n">
        <v>44517.934375</v>
      </c>
      <c r="C77" s="1" t="n">
        <v>45931</v>
      </c>
      <c r="D77" t="inlineStr">
        <is>
          <t>DALARNAS LÄN</t>
        </is>
      </c>
      <c r="E77" t="inlineStr">
        <is>
          <t>MORA</t>
        </is>
      </c>
      <c r="G77" t="n">
        <v>3.3</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45931</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45931</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45931</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45931</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45931</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45931</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1951-2021</t>
        </is>
      </c>
      <c r="B84" s="1" t="n">
        <v>44210</v>
      </c>
      <c r="C84" s="1" t="n">
        <v>45931</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45931</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45931</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45931</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45931</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45931</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45931</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45931</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45931</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45931</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45931</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45931</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45931</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45931</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45931</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45931</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45931</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45931</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45931</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45931</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45931</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45931</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45931</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45931</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45931</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45931</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45931</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45931</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45931</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45931</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45931</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45931</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45931</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45931</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45931</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45931</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45931</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45931</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17622-2022</t>
        </is>
      </c>
      <c r="B123" s="1" t="n">
        <v>44680.4265162037</v>
      </c>
      <c r="C123" s="1" t="n">
        <v>45931</v>
      </c>
      <c r="D123" t="inlineStr">
        <is>
          <t>DALARNAS LÄN</t>
        </is>
      </c>
      <c r="E123" t="inlineStr">
        <is>
          <t>MORA</t>
        </is>
      </c>
      <c r="G123" t="n">
        <v>1.5</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45931</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58413-2021</t>
        </is>
      </c>
      <c r="B125" s="1" t="n">
        <v>44488</v>
      </c>
      <c r="C125" s="1" t="n">
        <v>45931</v>
      </c>
      <c r="D125" t="inlineStr">
        <is>
          <t>DALARNAS LÄN</t>
        </is>
      </c>
      <c r="E125" t="inlineStr">
        <is>
          <t>MORA</t>
        </is>
      </c>
      <c r="F125" t="inlineStr">
        <is>
          <t>Bergvik skog öst AB</t>
        </is>
      </c>
      <c r="G125" t="n">
        <v>5.3</v>
      </c>
      <c r="H125" t="n">
        <v>0</v>
      </c>
      <c r="I125" t="n">
        <v>0</v>
      </c>
      <c r="J125" t="n">
        <v>0</v>
      </c>
      <c r="K125" t="n">
        <v>0</v>
      </c>
      <c r="L125" t="n">
        <v>0</v>
      </c>
      <c r="M125" t="n">
        <v>0</v>
      </c>
      <c r="N125" t="n">
        <v>0</v>
      </c>
      <c r="O125" t="n">
        <v>0</v>
      </c>
      <c r="P125" t="n">
        <v>0</v>
      </c>
      <c r="Q125" t="n">
        <v>0</v>
      </c>
      <c r="R125" s="2" t="inlineStr"/>
    </row>
    <row r="126" ht="15" customHeight="1">
      <c r="A126" t="inlineStr">
        <is>
          <t>A 58961-2021</t>
        </is>
      </c>
      <c r="B126" s="1" t="n">
        <v>44489.94246527777</v>
      </c>
      <c r="C126" s="1" t="n">
        <v>45931</v>
      </c>
      <c r="D126" t="inlineStr">
        <is>
          <t>DALARNAS LÄN</t>
        </is>
      </c>
      <c r="E126" t="inlineStr">
        <is>
          <t>MORA</t>
        </is>
      </c>
      <c r="G126" t="n">
        <v>18</v>
      </c>
      <c r="H126" t="n">
        <v>0</v>
      </c>
      <c r="I126" t="n">
        <v>0</v>
      </c>
      <c r="J126" t="n">
        <v>0</v>
      </c>
      <c r="K126" t="n">
        <v>0</v>
      </c>
      <c r="L126" t="n">
        <v>0</v>
      </c>
      <c r="M126" t="n">
        <v>0</v>
      </c>
      <c r="N126" t="n">
        <v>0</v>
      </c>
      <c r="O126" t="n">
        <v>0</v>
      </c>
      <c r="P126" t="n">
        <v>0</v>
      </c>
      <c r="Q126" t="n">
        <v>0</v>
      </c>
      <c r="R126" s="2" t="inlineStr"/>
    </row>
    <row r="127" ht="15" customHeight="1">
      <c r="A127" t="inlineStr">
        <is>
          <t>A 32474-2022</t>
        </is>
      </c>
      <c r="B127" s="1" t="n">
        <v>44782</v>
      </c>
      <c r="C127" s="1" t="n">
        <v>45931</v>
      </c>
      <c r="D127" t="inlineStr">
        <is>
          <t>DALARNAS LÄN</t>
        </is>
      </c>
      <c r="E127" t="inlineStr">
        <is>
          <t>MORA</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45931</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34927-2022</t>
        </is>
      </c>
      <c r="B129" s="1" t="n">
        <v>44796.60181712963</v>
      </c>
      <c r="C129" s="1" t="n">
        <v>45931</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48456-2022</t>
        </is>
      </c>
      <c r="B130" s="1" t="n">
        <v>44858.66387731482</v>
      </c>
      <c r="C130" s="1" t="n">
        <v>45931</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37771-2022</t>
        </is>
      </c>
      <c r="B131" s="1" t="n">
        <v>44810.63806712963</v>
      </c>
      <c r="C131" s="1" t="n">
        <v>45931</v>
      </c>
      <c r="D131" t="inlineStr">
        <is>
          <t>DALARNAS LÄN</t>
        </is>
      </c>
      <c r="E131" t="inlineStr">
        <is>
          <t>MORA</t>
        </is>
      </c>
      <c r="G131" t="n">
        <v>0.9</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45931</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45931</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67045-2021</t>
        </is>
      </c>
      <c r="B134" s="1" t="n">
        <v>44522</v>
      </c>
      <c r="C134" s="1" t="n">
        <v>45931</v>
      </c>
      <c r="D134" t="inlineStr">
        <is>
          <t>DALARNAS LÄN</t>
        </is>
      </c>
      <c r="E134" t="inlineStr">
        <is>
          <t>MORA</t>
        </is>
      </c>
      <c r="G134" t="n">
        <v>0.2</v>
      </c>
      <c r="H134" t="n">
        <v>0</v>
      </c>
      <c r="I134" t="n">
        <v>0</v>
      </c>
      <c r="J134" t="n">
        <v>0</v>
      </c>
      <c r="K134" t="n">
        <v>0</v>
      </c>
      <c r="L134" t="n">
        <v>0</v>
      </c>
      <c r="M134" t="n">
        <v>0</v>
      </c>
      <c r="N134" t="n">
        <v>0</v>
      </c>
      <c r="O134" t="n">
        <v>0</v>
      </c>
      <c r="P134" t="n">
        <v>0</v>
      </c>
      <c r="Q134" t="n">
        <v>0</v>
      </c>
      <c r="R134" s="2" t="inlineStr"/>
    </row>
    <row r="135" ht="15" customHeight="1">
      <c r="A135" t="inlineStr">
        <is>
          <t>A 68966-2021</t>
        </is>
      </c>
      <c r="B135" s="1" t="n">
        <v>44530</v>
      </c>
      <c r="C135" s="1" t="n">
        <v>45931</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55249-2020</t>
        </is>
      </c>
      <c r="B136" s="1" t="n">
        <v>44130</v>
      </c>
      <c r="C136" s="1" t="n">
        <v>45931</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56501-2021</t>
        </is>
      </c>
      <c r="B137" s="1" t="n">
        <v>44480.57549768518</v>
      </c>
      <c r="C137" s="1" t="n">
        <v>45931</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60250-2020</t>
        </is>
      </c>
      <c r="B138" s="1" t="n">
        <v>44152</v>
      </c>
      <c r="C138" s="1" t="n">
        <v>45931</v>
      </c>
      <c r="D138" t="inlineStr">
        <is>
          <t>DALARNAS LÄN</t>
        </is>
      </c>
      <c r="E138" t="inlineStr">
        <is>
          <t>MORA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45931</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45931</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62301-2020</t>
        </is>
      </c>
      <c r="B141" s="1" t="n">
        <v>44160</v>
      </c>
      <c r="C141" s="1" t="n">
        <v>45931</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45931</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655-2021</t>
        </is>
      </c>
      <c r="B143" s="1" t="n">
        <v>44203</v>
      </c>
      <c r="C143" s="1" t="n">
        <v>45931</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22931-2021</t>
        </is>
      </c>
      <c r="B144" s="1" t="n">
        <v>44326</v>
      </c>
      <c r="C144" s="1" t="n">
        <v>45931</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52573-2021</t>
        </is>
      </c>
      <c r="B145" s="1" t="n">
        <v>44466</v>
      </c>
      <c r="C145" s="1" t="n">
        <v>45931</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28914-2022</t>
        </is>
      </c>
      <c r="B146" s="1" t="n">
        <v>44749.56221064815</v>
      </c>
      <c r="C146" s="1" t="n">
        <v>45931</v>
      </c>
      <c r="D146" t="inlineStr">
        <is>
          <t>DALARNAS LÄN</t>
        </is>
      </c>
      <c r="E146" t="inlineStr">
        <is>
          <t>MORA</t>
        </is>
      </c>
      <c r="F146" t="inlineStr">
        <is>
          <t>Bergvik skog öst AB</t>
        </is>
      </c>
      <c r="G146" t="n">
        <v>0.6</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45931</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45931</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45931</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57848-2020</t>
        </is>
      </c>
      <c r="B150" s="1" t="n">
        <v>44141</v>
      </c>
      <c r="C150" s="1" t="n">
        <v>45931</v>
      </c>
      <c r="D150" t="inlineStr">
        <is>
          <t>DALARNAS LÄN</t>
        </is>
      </c>
      <c r="E150" t="inlineStr">
        <is>
          <t>MORA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56770-2024</t>
        </is>
      </c>
      <c r="B151" s="1" t="n">
        <v>45628.41587962963</v>
      </c>
      <c r="C151" s="1" t="n">
        <v>45931</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27461-2022</t>
        </is>
      </c>
      <c r="B152" s="1" t="n">
        <v>44742.58386574074</v>
      </c>
      <c r="C152" s="1" t="n">
        <v>45931</v>
      </c>
      <c r="D152" t="inlineStr">
        <is>
          <t>DALARNAS LÄN</t>
        </is>
      </c>
      <c r="E152" t="inlineStr">
        <is>
          <t>MORA</t>
        </is>
      </c>
      <c r="F152" t="inlineStr">
        <is>
          <t>Bergvik skog väst AB</t>
        </is>
      </c>
      <c r="G152" t="n">
        <v>1.4</v>
      </c>
      <c r="H152" t="n">
        <v>0</v>
      </c>
      <c r="I152" t="n">
        <v>0</v>
      </c>
      <c r="J152" t="n">
        <v>0</v>
      </c>
      <c r="K152" t="n">
        <v>0</v>
      </c>
      <c r="L152" t="n">
        <v>0</v>
      </c>
      <c r="M152" t="n">
        <v>0</v>
      </c>
      <c r="N152" t="n">
        <v>0</v>
      </c>
      <c r="O152" t="n">
        <v>0</v>
      </c>
      <c r="P152" t="n">
        <v>0</v>
      </c>
      <c r="Q152" t="n">
        <v>0</v>
      </c>
      <c r="R152" s="2" t="inlineStr"/>
    </row>
    <row r="153" ht="15" customHeight="1">
      <c r="A153" t="inlineStr">
        <is>
          <t>A 21410-2023</t>
        </is>
      </c>
      <c r="B153" s="1" t="n">
        <v>45063</v>
      </c>
      <c r="C153" s="1" t="n">
        <v>45931</v>
      </c>
      <c r="D153" t="inlineStr">
        <is>
          <t>DALARNAS LÄN</t>
        </is>
      </c>
      <c r="E153" t="inlineStr">
        <is>
          <t>MORA</t>
        </is>
      </c>
      <c r="G153" t="n">
        <v>7</v>
      </c>
      <c r="H153" t="n">
        <v>0</v>
      </c>
      <c r="I153" t="n">
        <v>0</v>
      </c>
      <c r="J153" t="n">
        <v>0</v>
      </c>
      <c r="K153" t="n">
        <v>0</v>
      </c>
      <c r="L153" t="n">
        <v>0</v>
      </c>
      <c r="M153" t="n">
        <v>0</v>
      </c>
      <c r="N153" t="n">
        <v>0</v>
      </c>
      <c r="O153" t="n">
        <v>0</v>
      </c>
      <c r="P153" t="n">
        <v>0</v>
      </c>
      <c r="Q153" t="n">
        <v>0</v>
      </c>
      <c r="R153" s="2" t="inlineStr"/>
    </row>
    <row r="154" ht="15" customHeight="1">
      <c r="A154" t="inlineStr">
        <is>
          <t>A 43498-2023</t>
        </is>
      </c>
      <c r="B154" s="1" t="n">
        <v>45184</v>
      </c>
      <c r="C154" s="1" t="n">
        <v>45931</v>
      </c>
      <c r="D154" t="inlineStr">
        <is>
          <t>DALARNAS LÄN</t>
        </is>
      </c>
      <c r="E154" t="inlineStr">
        <is>
          <t>MORA</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66157-2021</t>
        </is>
      </c>
      <c r="B155" s="1" t="n">
        <v>44517.92888888889</v>
      </c>
      <c r="C155" s="1" t="n">
        <v>45931</v>
      </c>
      <c r="D155" t="inlineStr">
        <is>
          <t>DALARNAS LÄN</t>
        </is>
      </c>
      <c r="E155" t="inlineStr">
        <is>
          <t>MORA</t>
        </is>
      </c>
      <c r="G155" t="n">
        <v>2.9</v>
      </c>
      <c r="H155" t="n">
        <v>0</v>
      </c>
      <c r="I155" t="n">
        <v>0</v>
      </c>
      <c r="J155" t="n">
        <v>0</v>
      </c>
      <c r="K155" t="n">
        <v>0</v>
      </c>
      <c r="L155" t="n">
        <v>0</v>
      </c>
      <c r="M155" t="n">
        <v>0</v>
      </c>
      <c r="N155" t="n">
        <v>0</v>
      </c>
      <c r="O155" t="n">
        <v>0</v>
      </c>
      <c r="P155" t="n">
        <v>0</v>
      </c>
      <c r="Q155" t="n">
        <v>0</v>
      </c>
      <c r="R155" s="2" t="inlineStr"/>
    </row>
    <row r="156" ht="15" customHeight="1">
      <c r="A156" t="inlineStr">
        <is>
          <t>A 46801-2022</t>
        </is>
      </c>
      <c r="B156" s="1" t="n">
        <v>44851</v>
      </c>
      <c r="C156" s="1" t="n">
        <v>45931</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70141-2021</t>
        </is>
      </c>
      <c r="B157" s="1" t="n">
        <v>44533</v>
      </c>
      <c r="C157" s="1" t="n">
        <v>45931</v>
      </c>
      <c r="D157" t="inlineStr">
        <is>
          <t>DALARNAS LÄN</t>
        </is>
      </c>
      <c r="E157" t="inlineStr">
        <is>
          <t>MORA</t>
        </is>
      </c>
      <c r="G157" t="n">
        <v>4.1</v>
      </c>
      <c r="H157" t="n">
        <v>0</v>
      </c>
      <c r="I157" t="n">
        <v>0</v>
      </c>
      <c r="J157" t="n">
        <v>0</v>
      </c>
      <c r="K157" t="n">
        <v>0</v>
      </c>
      <c r="L157" t="n">
        <v>0</v>
      </c>
      <c r="M157" t="n">
        <v>0</v>
      </c>
      <c r="N157" t="n">
        <v>0</v>
      </c>
      <c r="O157" t="n">
        <v>0</v>
      </c>
      <c r="P157" t="n">
        <v>0</v>
      </c>
      <c r="Q157" t="n">
        <v>0</v>
      </c>
      <c r="R157" s="2" t="inlineStr"/>
    </row>
    <row r="158" ht="15" customHeight="1">
      <c r="A158" t="inlineStr">
        <is>
          <t>A 56767-2023</t>
        </is>
      </c>
      <c r="B158" s="1" t="n">
        <v>45244</v>
      </c>
      <c r="C158" s="1" t="n">
        <v>45931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40949-2023</t>
        </is>
      </c>
      <c r="B159" s="1" t="n">
        <v>45173</v>
      </c>
      <c r="C159" s="1" t="n">
        <v>45931</v>
      </c>
      <c r="D159" t="inlineStr">
        <is>
          <t>DALARNAS LÄN</t>
        </is>
      </c>
      <c r="E159" t="inlineStr">
        <is>
          <t>MORA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15499-2024</t>
        </is>
      </c>
      <c r="B160" s="1" t="n">
        <v>45401.53798611111</v>
      </c>
      <c r="C160" s="1" t="n">
        <v>45931</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66232-2021</t>
        </is>
      </c>
      <c r="B161" s="1" t="n">
        <v>44518.39234953704</v>
      </c>
      <c r="C161" s="1" t="n">
        <v>45931</v>
      </c>
      <c r="D161" t="inlineStr">
        <is>
          <t>DALARNAS LÄN</t>
        </is>
      </c>
      <c r="E161" t="inlineStr">
        <is>
          <t>MORA</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43879-2022</t>
        </is>
      </c>
      <c r="B162" s="1" t="n">
        <v>44838.46721064814</v>
      </c>
      <c r="C162" s="1" t="n">
        <v>45931</v>
      </c>
      <c r="D162" t="inlineStr">
        <is>
          <t>DALARNAS LÄN</t>
        </is>
      </c>
      <c r="E162" t="inlineStr">
        <is>
          <t>MORA</t>
        </is>
      </c>
      <c r="G162" t="n">
        <v>3.4</v>
      </c>
      <c r="H162" t="n">
        <v>0</v>
      </c>
      <c r="I162" t="n">
        <v>0</v>
      </c>
      <c r="J162" t="n">
        <v>0</v>
      </c>
      <c r="K162" t="n">
        <v>0</v>
      </c>
      <c r="L162" t="n">
        <v>0</v>
      </c>
      <c r="M162" t="n">
        <v>0</v>
      </c>
      <c r="N162" t="n">
        <v>0</v>
      </c>
      <c r="O162" t="n">
        <v>0</v>
      </c>
      <c r="P162" t="n">
        <v>0</v>
      </c>
      <c r="Q162" t="n">
        <v>0</v>
      </c>
      <c r="R162" s="2" t="inlineStr"/>
    </row>
    <row r="163" ht="15" customHeight="1">
      <c r="A163" t="inlineStr">
        <is>
          <t>A 39888-2024</t>
        </is>
      </c>
      <c r="B163" s="1" t="n">
        <v>45553.47538194444</v>
      </c>
      <c r="C163" s="1" t="n">
        <v>45931</v>
      </c>
      <c r="D163" t="inlineStr">
        <is>
          <t>DALARNAS LÄN</t>
        </is>
      </c>
      <c r="E163" t="inlineStr">
        <is>
          <t>MORA</t>
        </is>
      </c>
      <c r="G163" t="n">
        <v>5.4</v>
      </c>
      <c r="H163" t="n">
        <v>0</v>
      </c>
      <c r="I163" t="n">
        <v>0</v>
      </c>
      <c r="J163" t="n">
        <v>0</v>
      </c>
      <c r="K163" t="n">
        <v>0</v>
      </c>
      <c r="L163" t="n">
        <v>0</v>
      </c>
      <c r="M163" t="n">
        <v>0</v>
      </c>
      <c r="N163" t="n">
        <v>0</v>
      </c>
      <c r="O163" t="n">
        <v>0</v>
      </c>
      <c r="P163" t="n">
        <v>0</v>
      </c>
      <c r="Q163" t="n">
        <v>0</v>
      </c>
      <c r="R163" s="2" t="inlineStr"/>
    </row>
    <row r="164" ht="15" customHeight="1">
      <c r="A164" t="inlineStr">
        <is>
          <t>A 12828-2023</t>
        </is>
      </c>
      <c r="B164" s="1" t="n">
        <v>45001</v>
      </c>
      <c r="C164" s="1" t="n">
        <v>45931</v>
      </c>
      <c r="D164" t="inlineStr">
        <is>
          <t>DALARNAS LÄN</t>
        </is>
      </c>
      <c r="E164" t="inlineStr">
        <is>
          <t>MORA</t>
        </is>
      </c>
      <c r="F164" t="inlineStr">
        <is>
          <t>Bergvik skog väst AB</t>
        </is>
      </c>
      <c r="G164" t="n">
        <v>5.4</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45931</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53750-2024</t>
        </is>
      </c>
      <c r="B166" s="1" t="n">
        <v>45615.48465277778</v>
      </c>
      <c r="C166" s="1" t="n">
        <v>45931</v>
      </c>
      <c r="D166" t="inlineStr">
        <is>
          <t>DALARNAS LÄN</t>
        </is>
      </c>
      <c r="E166" t="inlineStr">
        <is>
          <t>MORA</t>
        </is>
      </c>
      <c r="G166" t="n">
        <v>2.3</v>
      </c>
      <c r="H166" t="n">
        <v>0</v>
      </c>
      <c r="I166" t="n">
        <v>0</v>
      </c>
      <c r="J166" t="n">
        <v>0</v>
      </c>
      <c r="K166" t="n">
        <v>0</v>
      </c>
      <c r="L166" t="n">
        <v>0</v>
      </c>
      <c r="M166" t="n">
        <v>0</v>
      </c>
      <c r="N166" t="n">
        <v>0</v>
      </c>
      <c r="O166" t="n">
        <v>0</v>
      </c>
      <c r="P166" t="n">
        <v>0</v>
      </c>
      <c r="Q166" t="n">
        <v>0</v>
      </c>
      <c r="R166" s="2" t="inlineStr"/>
    </row>
    <row r="167" ht="15" customHeight="1">
      <c r="A167" t="inlineStr">
        <is>
          <t>A 5527-2024</t>
        </is>
      </c>
      <c r="B167" s="1" t="n">
        <v>45334.38981481481</v>
      </c>
      <c r="C167" s="1" t="n">
        <v>45931</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44307-2021</t>
        </is>
      </c>
      <c r="B168" s="1" t="n">
        <v>44435</v>
      </c>
      <c r="C168" s="1" t="n">
        <v>45931</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37971-2024</t>
        </is>
      </c>
      <c r="B169" s="1" t="n">
        <v>45544</v>
      </c>
      <c r="C169" s="1" t="n">
        <v>45931</v>
      </c>
      <c r="D169" t="inlineStr">
        <is>
          <t>DALARNAS LÄN</t>
        </is>
      </c>
      <c r="E169" t="inlineStr">
        <is>
          <t>MORA</t>
        </is>
      </c>
      <c r="G169" t="n">
        <v>2.3</v>
      </c>
      <c r="H169" t="n">
        <v>0</v>
      </c>
      <c r="I169" t="n">
        <v>0</v>
      </c>
      <c r="J169" t="n">
        <v>0</v>
      </c>
      <c r="K169" t="n">
        <v>0</v>
      </c>
      <c r="L169" t="n">
        <v>0</v>
      </c>
      <c r="M169" t="n">
        <v>0</v>
      </c>
      <c r="N169" t="n">
        <v>0</v>
      </c>
      <c r="O169" t="n">
        <v>0</v>
      </c>
      <c r="P169" t="n">
        <v>0</v>
      </c>
      <c r="Q169" t="n">
        <v>0</v>
      </c>
      <c r="R169" s="2" t="inlineStr"/>
    </row>
    <row r="170" ht="15" customHeight="1">
      <c r="A170" t="inlineStr">
        <is>
          <t>A 34272-2024</t>
        </is>
      </c>
      <c r="B170" s="1" t="n">
        <v>45524.61752314815</v>
      </c>
      <c r="C170" s="1" t="n">
        <v>45931</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28131-2024</t>
        </is>
      </c>
      <c r="B171" s="1" t="n">
        <v>45476.68435185185</v>
      </c>
      <c r="C171" s="1" t="n">
        <v>45931</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28132-2024</t>
        </is>
      </c>
      <c r="B172" s="1" t="n">
        <v>45476.68616898148</v>
      </c>
      <c r="C172" s="1" t="n">
        <v>45931</v>
      </c>
      <c r="D172" t="inlineStr">
        <is>
          <t>DALARNAS LÄN</t>
        </is>
      </c>
      <c r="E172" t="inlineStr">
        <is>
          <t>MORA</t>
        </is>
      </c>
      <c r="G172" t="n">
        <v>0.2</v>
      </c>
      <c r="H172" t="n">
        <v>0</v>
      </c>
      <c r="I172" t="n">
        <v>0</v>
      </c>
      <c r="J172" t="n">
        <v>0</v>
      </c>
      <c r="K172" t="n">
        <v>0</v>
      </c>
      <c r="L172" t="n">
        <v>0</v>
      </c>
      <c r="M172" t="n">
        <v>0</v>
      </c>
      <c r="N172" t="n">
        <v>0</v>
      </c>
      <c r="O172" t="n">
        <v>0</v>
      </c>
      <c r="P172" t="n">
        <v>0</v>
      </c>
      <c r="Q172" t="n">
        <v>0</v>
      </c>
      <c r="R172" s="2" t="inlineStr"/>
    </row>
    <row r="173" ht="15" customHeight="1">
      <c r="A173" t="inlineStr">
        <is>
          <t>A 57608-2021</t>
        </is>
      </c>
      <c r="B173" s="1" t="n">
        <v>44484</v>
      </c>
      <c r="C173" s="1" t="n">
        <v>45931</v>
      </c>
      <c r="D173" t="inlineStr">
        <is>
          <t>DALARNAS LÄN</t>
        </is>
      </c>
      <c r="E173" t="inlineStr">
        <is>
          <t>MORA</t>
        </is>
      </c>
      <c r="G173" t="n">
        <v>6.3</v>
      </c>
      <c r="H173" t="n">
        <v>0</v>
      </c>
      <c r="I173" t="n">
        <v>0</v>
      </c>
      <c r="J173" t="n">
        <v>0</v>
      </c>
      <c r="K173" t="n">
        <v>0</v>
      </c>
      <c r="L173" t="n">
        <v>0</v>
      </c>
      <c r="M173" t="n">
        <v>0</v>
      </c>
      <c r="N173" t="n">
        <v>0</v>
      </c>
      <c r="O173" t="n">
        <v>0</v>
      </c>
      <c r="P173" t="n">
        <v>0</v>
      </c>
      <c r="Q173" t="n">
        <v>0</v>
      </c>
      <c r="R173" s="2" t="inlineStr"/>
    </row>
    <row r="174" ht="15" customHeight="1">
      <c r="A174" t="inlineStr">
        <is>
          <t>A 18122-2025</t>
        </is>
      </c>
      <c r="B174" s="1" t="n">
        <v>45761.59221064814</v>
      </c>
      <c r="C174" s="1" t="n">
        <v>45931</v>
      </c>
      <c r="D174" t="inlineStr">
        <is>
          <t>DALARNAS LÄN</t>
        </is>
      </c>
      <c r="E174" t="inlineStr">
        <is>
          <t>MORA</t>
        </is>
      </c>
      <c r="F174" t="inlineStr">
        <is>
          <t>Bergvik skog öst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20299-2023</t>
        </is>
      </c>
      <c r="B175" s="1" t="n">
        <v>45056</v>
      </c>
      <c r="C175" s="1" t="n">
        <v>45931</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46923-2024</t>
        </is>
      </c>
      <c r="B176" s="1" t="n">
        <v>45584.42887731481</v>
      </c>
      <c r="C176" s="1" t="n">
        <v>45931</v>
      </c>
      <c r="D176" t="inlineStr">
        <is>
          <t>DALARNAS LÄN</t>
        </is>
      </c>
      <c r="E176" t="inlineStr">
        <is>
          <t>MORA</t>
        </is>
      </c>
      <c r="G176" t="n">
        <v>3.4</v>
      </c>
      <c r="H176" t="n">
        <v>0</v>
      </c>
      <c r="I176" t="n">
        <v>0</v>
      </c>
      <c r="J176" t="n">
        <v>0</v>
      </c>
      <c r="K176" t="n">
        <v>0</v>
      </c>
      <c r="L176" t="n">
        <v>0</v>
      </c>
      <c r="M176" t="n">
        <v>0</v>
      </c>
      <c r="N176" t="n">
        <v>0</v>
      </c>
      <c r="O176" t="n">
        <v>0</v>
      </c>
      <c r="P176" t="n">
        <v>0</v>
      </c>
      <c r="Q176" t="n">
        <v>0</v>
      </c>
      <c r="R176" s="2" t="inlineStr"/>
    </row>
    <row r="177" ht="15" customHeight="1">
      <c r="A177" t="inlineStr">
        <is>
          <t>A 23586-2023</t>
        </is>
      </c>
      <c r="B177" s="1" t="n">
        <v>45077</v>
      </c>
      <c r="C177" s="1" t="n">
        <v>45931</v>
      </c>
      <c r="D177" t="inlineStr">
        <is>
          <t>DALARNAS LÄN</t>
        </is>
      </c>
      <c r="E177" t="inlineStr">
        <is>
          <t>MORA</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13262-2022</t>
        </is>
      </c>
      <c r="B178" s="1" t="n">
        <v>44644.70184027778</v>
      </c>
      <c r="C178" s="1" t="n">
        <v>45931</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5644-2024</t>
        </is>
      </c>
      <c r="B179" s="1" t="n">
        <v>45334</v>
      </c>
      <c r="C179" s="1" t="n">
        <v>45931</v>
      </c>
      <c r="D179" t="inlineStr">
        <is>
          <t>DALARNAS LÄN</t>
        </is>
      </c>
      <c r="E179" t="inlineStr">
        <is>
          <t>MORA</t>
        </is>
      </c>
      <c r="F179" t="inlineStr">
        <is>
          <t>Bergvik skog väst AB</t>
        </is>
      </c>
      <c r="G179" t="n">
        <v>0.6</v>
      </c>
      <c r="H179" t="n">
        <v>0</v>
      </c>
      <c r="I179" t="n">
        <v>0</v>
      </c>
      <c r="J179" t="n">
        <v>0</v>
      </c>
      <c r="K179" t="n">
        <v>0</v>
      </c>
      <c r="L179" t="n">
        <v>0</v>
      </c>
      <c r="M179" t="n">
        <v>0</v>
      </c>
      <c r="N179" t="n">
        <v>0</v>
      </c>
      <c r="O179" t="n">
        <v>0</v>
      </c>
      <c r="P179" t="n">
        <v>0</v>
      </c>
      <c r="Q179" t="n">
        <v>0</v>
      </c>
      <c r="R179" s="2" t="inlineStr"/>
    </row>
    <row r="180" ht="15" customHeight="1">
      <c r="A180" t="inlineStr">
        <is>
          <t>A 47036-2023</t>
        </is>
      </c>
      <c r="B180" s="1" t="n">
        <v>45196</v>
      </c>
      <c r="C180" s="1" t="n">
        <v>45931</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1897-2023</t>
        </is>
      </c>
      <c r="B181" s="1" t="n">
        <v>44937</v>
      </c>
      <c r="C181" s="1" t="n">
        <v>45931</v>
      </c>
      <c r="D181" t="inlineStr">
        <is>
          <t>DALARNAS LÄN</t>
        </is>
      </c>
      <c r="E181" t="inlineStr">
        <is>
          <t>MORA</t>
        </is>
      </c>
      <c r="G181" t="n">
        <v>0.8</v>
      </c>
      <c r="H181" t="n">
        <v>0</v>
      </c>
      <c r="I181" t="n">
        <v>0</v>
      </c>
      <c r="J181" t="n">
        <v>0</v>
      </c>
      <c r="K181" t="n">
        <v>0</v>
      </c>
      <c r="L181" t="n">
        <v>0</v>
      </c>
      <c r="M181" t="n">
        <v>0</v>
      </c>
      <c r="N181" t="n">
        <v>0</v>
      </c>
      <c r="O181" t="n">
        <v>0</v>
      </c>
      <c r="P181" t="n">
        <v>0</v>
      </c>
      <c r="Q181" t="n">
        <v>0</v>
      </c>
      <c r="R181" s="2" t="inlineStr"/>
    </row>
    <row r="182" ht="15" customHeight="1">
      <c r="A182" t="inlineStr">
        <is>
          <t>A 20549-2025</t>
        </is>
      </c>
      <c r="B182" s="1" t="n">
        <v>45775.63459490741</v>
      </c>
      <c r="C182" s="1" t="n">
        <v>45931</v>
      </c>
      <c r="D182" t="inlineStr">
        <is>
          <t>DALARNAS LÄN</t>
        </is>
      </c>
      <c r="E182" t="inlineStr">
        <is>
          <t>MORA</t>
        </is>
      </c>
      <c r="G182" t="n">
        <v>1.6</v>
      </c>
      <c r="H182" t="n">
        <v>0</v>
      </c>
      <c r="I182" t="n">
        <v>0</v>
      </c>
      <c r="J182" t="n">
        <v>0</v>
      </c>
      <c r="K182" t="n">
        <v>0</v>
      </c>
      <c r="L182" t="n">
        <v>0</v>
      </c>
      <c r="M182" t="n">
        <v>0</v>
      </c>
      <c r="N182" t="n">
        <v>0</v>
      </c>
      <c r="O182" t="n">
        <v>0</v>
      </c>
      <c r="P182" t="n">
        <v>0</v>
      </c>
      <c r="Q182" t="n">
        <v>0</v>
      </c>
      <c r="R182" s="2" t="inlineStr"/>
    </row>
    <row r="183" ht="15" customHeight="1">
      <c r="A183" t="inlineStr">
        <is>
          <t>A 19193-2025</t>
        </is>
      </c>
      <c r="B183" s="1" t="n">
        <v>45769.42203703704</v>
      </c>
      <c r="C183" s="1" t="n">
        <v>45931</v>
      </c>
      <c r="D183" t="inlineStr">
        <is>
          <t>DALARNAS LÄN</t>
        </is>
      </c>
      <c r="E183" t="inlineStr">
        <is>
          <t>MORA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54257-2023</t>
        </is>
      </c>
      <c r="B184" s="1" t="n">
        <v>45232.64195601852</v>
      </c>
      <c r="C184" s="1" t="n">
        <v>45931</v>
      </c>
      <c r="D184" t="inlineStr">
        <is>
          <t>DALARNAS LÄN</t>
        </is>
      </c>
      <c r="E184" t="inlineStr">
        <is>
          <t>MORA</t>
        </is>
      </c>
      <c r="G184" t="n">
        <v>4</v>
      </c>
      <c r="H184" t="n">
        <v>0</v>
      </c>
      <c r="I184" t="n">
        <v>0</v>
      </c>
      <c r="J184" t="n">
        <v>0</v>
      </c>
      <c r="K184" t="n">
        <v>0</v>
      </c>
      <c r="L184" t="n">
        <v>0</v>
      </c>
      <c r="M184" t="n">
        <v>0</v>
      </c>
      <c r="N184" t="n">
        <v>0</v>
      </c>
      <c r="O184" t="n">
        <v>0</v>
      </c>
      <c r="P184" t="n">
        <v>0</v>
      </c>
      <c r="Q184" t="n">
        <v>0</v>
      </c>
      <c r="R184" s="2" t="inlineStr"/>
    </row>
    <row r="185" ht="15" customHeight="1">
      <c r="A185" t="inlineStr">
        <is>
          <t>A 37385-2022</t>
        </is>
      </c>
      <c r="B185" s="1" t="n">
        <v>44806</v>
      </c>
      <c r="C185" s="1" t="n">
        <v>45931</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17145-2024</t>
        </is>
      </c>
      <c r="B186" s="1" t="n">
        <v>45412</v>
      </c>
      <c r="C186" s="1" t="n">
        <v>45931</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51780-2023</t>
        </is>
      </c>
      <c r="B187" s="1" t="n">
        <v>45222</v>
      </c>
      <c r="C187" s="1" t="n">
        <v>45931</v>
      </c>
      <c r="D187" t="inlineStr">
        <is>
          <t>DALARNAS LÄN</t>
        </is>
      </c>
      <c r="E187" t="inlineStr">
        <is>
          <t>MORA</t>
        </is>
      </c>
      <c r="G187" t="n">
        <v>9.9</v>
      </c>
      <c r="H187" t="n">
        <v>0</v>
      </c>
      <c r="I187" t="n">
        <v>0</v>
      </c>
      <c r="J187" t="n">
        <v>0</v>
      </c>
      <c r="K187" t="n">
        <v>0</v>
      </c>
      <c r="L187" t="n">
        <v>0</v>
      </c>
      <c r="M187" t="n">
        <v>0</v>
      </c>
      <c r="N187" t="n">
        <v>0</v>
      </c>
      <c r="O187" t="n">
        <v>0</v>
      </c>
      <c r="P187" t="n">
        <v>0</v>
      </c>
      <c r="Q187" t="n">
        <v>0</v>
      </c>
      <c r="R187" s="2" t="inlineStr"/>
    </row>
    <row r="188" ht="15" customHeight="1">
      <c r="A188" t="inlineStr">
        <is>
          <t>A 61217-2023</t>
        </is>
      </c>
      <c r="B188" s="1" t="n">
        <v>45264.43802083333</v>
      </c>
      <c r="C188" s="1" t="n">
        <v>45931</v>
      </c>
      <c r="D188" t="inlineStr">
        <is>
          <t>DALARNAS LÄN</t>
        </is>
      </c>
      <c r="E188" t="inlineStr">
        <is>
          <t>MORA</t>
        </is>
      </c>
      <c r="F188" t="inlineStr">
        <is>
          <t>Allmännings- och besparingsskogar</t>
        </is>
      </c>
      <c r="G188" t="n">
        <v>2</v>
      </c>
      <c r="H188" t="n">
        <v>0</v>
      </c>
      <c r="I188" t="n">
        <v>0</v>
      </c>
      <c r="J188" t="n">
        <v>0</v>
      </c>
      <c r="K188" t="n">
        <v>0</v>
      </c>
      <c r="L188" t="n">
        <v>0</v>
      </c>
      <c r="M188" t="n">
        <v>0</v>
      </c>
      <c r="N188" t="n">
        <v>0</v>
      </c>
      <c r="O188" t="n">
        <v>0</v>
      </c>
      <c r="P188" t="n">
        <v>0</v>
      </c>
      <c r="Q188" t="n">
        <v>0</v>
      </c>
      <c r="R188" s="2" t="inlineStr"/>
    </row>
    <row r="189" ht="15" customHeight="1">
      <c r="A189" t="inlineStr">
        <is>
          <t>A 61218-2023</t>
        </is>
      </c>
      <c r="B189" s="1" t="n">
        <v>45264</v>
      </c>
      <c r="C189" s="1" t="n">
        <v>45931</v>
      </c>
      <c r="D189" t="inlineStr">
        <is>
          <t>DALARNAS LÄN</t>
        </is>
      </c>
      <c r="E189" t="inlineStr">
        <is>
          <t>MORA</t>
        </is>
      </c>
      <c r="F189" t="inlineStr">
        <is>
          <t>Allmännings- och besparingsskogar</t>
        </is>
      </c>
      <c r="G189" t="n">
        <v>2.6</v>
      </c>
      <c r="H189" t="n">
        <v>0</v>
      </c>
      <c r="I189" t="n">
        <v>0</v>
      </c>
      <c r="J189" t="n">
        <v>0</v>
      </c>
      <c r="K189" t="n">
        <v>0</v>
      </c>
      <c r="L189" t="n">
        <v>0</v>
      </c>
      <c r="M189" t="n">
        <v>0</v>
      </c>
      <c r="N189" t="n">
        <v>0</v>
      </c>
      <c r="O189" t="n">
        <v>0</v>
      </c>
      <c r="P189" t="n">
        <v>0</v>
      </c>
      <c r="Q189" t="n">
        <v>0</v>
      </c>
      <c r="R189" s="2" t="inlineStr"/>
    </row>
    <row r="190" ht="15" customHeight="1">
      <c r="A190" t="inlineStr">
        <is>
          <t>A 46188-2022</t>
        </is>
      </c>
      <c r="B190" s="1" t="n">
        <v>44847.518125</v>
      </c>
      <c r="C190" s="1" t="n">
        <v>45931</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43641-2022</t>
        </is>
      </c>
      <c r="B191" s="1" t="n">
        <v>44837</v>
      </c>
      <c r="C191" s="1" t="n">
        <v>45931</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25749-2023</t>
        </is>
      </c>
      <c r="B192" s="1" t="n">
        <v>45090</v>
      </c>
      <c r="C192" s="1" t="n">
        <v>45931</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35363-2024</t>
        </is>
      </c>
      <c r="B193" s="1" t="n">
        <v>45531.34050925926</v>
      </c>
      <c r="C193" s="1" t="n">
        <v>45931</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58972-2023</t>
        </is>
      </c>
      <c r="B194" s="1" t="n">
        <v>45252</v>
      </c>
      <c r="C194" s="1" t="n">
        <v>45931</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58171-2024</t>
        </is>
      </c>
      <c r="B195" s="1" t="n">
        <v>45632.46545138889</v>
      </c>
      <c r="C195" s="1" t="n">
        <v>45931</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19814-2025</t>
        </is>
      </c>
      <c r="B196" s="1" t="n">
        <v>45771.45686342593</v>
      </c>
      <c r="C196" s="1" t="n">
        <v>45931</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17516-2024</t>
        </is>
      </c>
      <c r="B197" s="1" t="n">
        <v>45415.58502314815</v>
      </c>
      <c r="C197" s="1" t="n">
        <v>45931</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33513-2024</t>
        </is>
      </c>
      <c r="B198" s="1" t="n">
        <v>45519.644375</v>
      </c>
      <c r="C198" s="1" t="n">
        <v>45931</v>
      </c>
      <c r="D198" t="inlineStr">
        <is>
          <t>DALARNAS LÄN</t>
        </is>
      </c>
      <c r="E198" t="inlineStr">
        <is>
          <t>MORA</t>
        </is>
      </c>
      <c r="G198" t="n">
        <v>5.9</v>
      </c>
      <c r="H198" t="n">
        <v>0</v>
      </c>
      <c r="I198" t="n">
        <v>0</v>
      </c>
      <c r="J198" t="n">
        <v>0</v>
      </c>
      <c r="K198" t="n">
        <v>0</v>
      </c>
      <c r="L198" t="n">
        <v>0</v>
      </c>
      <c r="M198" t="n">
        <v>0</v>
      </c>
      <c r="N198" t="n">
        <v>0</v>
      </c>
      <c r="O198" t="n">
        <v>0</v>
      </c>
      <c r="P198" t="n">
        <v>0</v>
      </c>
      <c r="Q198" t="n">
        <v>0</v>
      </c>
      <c r="R198" s="2" t="inlineStr"/>
    </row>
    <row r="199" ht="15" customHeight="1">
      <c r="A199" t="inlineStr">
        <is>
          <t>A 39856-2024</t>
        </is>
      </c>
      <c r="B199" s="1" t="n">
        <v>45553.44084490741</v>
      </c>
      <c r="C199" s="1" t="n">
        <v>45931</v>
      </c>
      <c r="D199" t="inlineStr">
        <is>
          <t>DALARNAS LÄN</t>
        </is>
      </c>
      <c r="E199" t="inlineStr">
        <is>
          <t>MORA</t>
        </is>
      </c>
      <c r="G199" t="n">
        <v>4.8</v>
      </c>
      <c r="H199" t="n">
        <v>0</v>
      </c>
      <c r="I199" t="n">
        <v>0</v>
      </c>
      <c r="J199" t="n">
        <v>0</v>
      </c>
      <c r="K199" t="n">
        <v>0</v>
      </c>
      <c r="L199" t="n">
        <v>0</v>
      </c>
      <c r="M199" t="n">
        <v>0</v>
      </c>
      <c r="N199" t="n">
        <v>0</v>
      </c>
      <c r="O199" t="n">
        <v>0</v>
      </c>
      <c r="P199" t="n">
        <v>0</v>
      </c>
      <c r="Q199" t="n">
        <v>0</v>
      </c>
      <c r="R199" s="2" t="inlineStr"/>
    </row>
    <row r="200" ht="15" customHeight="1">
      <c r="A200" t="inlineStr">
        <is>
          <t>A 8100-2024</t>
        </is>
      </c>
      <c r="B200" s="1" t="n">
        <v>45351.46583333334</v>
      </c>
      <c r="C200" s="1" t="n">
        <v>45931</v>
      </c>
      <c r="D200" t="inlineStr">
        <is>
          <t>DALARNAS LÄN</t>
        </is>
      </c>
      <c r="E200" t="inlineStr">
        <is>
          <t>MORA</t>
        </is>
      </c>
      <c r="G200" t="n">
        <v>3.2</v>
      </c>
      <c r="H200" t="n">
        <v>0</v>
      </c>
      <c r="I200" t="n">
        <v>0</v>
      </c>
      <c r="J200" t="n">
        <v>0</v>
      </c>
      <c r="K200" t="n">
        <v>0</v>
      </c>
      <c r="L200" t="n">
        <v>0</v>
      </c>
      <c r="M200" t="n">
        <v>0</v>
      </c>
      <c r="N200" t="n">
        <v>0</v>
      </c>
      <c r="O200" t="n">
        <v>0</v>
      </c>
      <c r="P200" t="n">
        <v>0</v>
      </c>
      <c r="Q200" t="n">
        <v>0</v>
      </c>
      <c r="R200" s="2" t="inlineStr"/>
    </row>
    <row r="201" ht="15" customHeight="1">
      <c r="A201" t="inlineStr">
        <is>
          <t>A 59182-2023</t>
        </is>
      </c>
      <c r="B201" s="1" t="n">
        <v>45253</v>
      </c>
      <c r="C201" s="1" t="n">
        <v>45931</v>
      </c>
      <c r="D201" t="inlineStr">
        <is>
          <t>DALARNAS LÄN</t>
        </is>
      </c>
      <c r="E201" t="inlineStr">
        <is>
          <t>MORA</t>
        </is>
      </c>
      <c r="G201" t="n">
        <v>3.3</v>
      </c>
      <c r="H201" t="n">
        <v>0</v>
      </c>
      <c r="I201" t="n">
        <v>0</v>
      </c>
      <c r="J201" t="n">
        <v>0</v>
      </c>
      <c r="K201" t="n">
        <v>0</v>
      </c>
      <c r="L201" t="n">
        <v>0</v>
      </c>
      <c r="M201" t="n">
        <v>0</v>
      </c>
      <c r="N201" t="n">
        <v>0</v>
      </c>
      <c r="O201" t="n">
        <v>0</v>
      </c>
      <c r="P201" t="n">
        <v>0</v>
      </c>
      <c r="Q201" t="n">
        <v>0</v>
      </c>
      <c r="R201" s="2" t="inlineStr"/>
    </row>
    <row r="202" ht="15" customHeight="1">
      <c r="A202" t="inlineStr">
        <is>
          <t>A 501-2024</t>
        </is>
      </c>
      <c r="B202" s="1" t="n">
        <v>45299</v>
      </c>
      <c r="C202" s="1" t="n">
        <v>45931</v>
      </c>
      <c r="D202" t="inlineStr">
        <is>
          <t>DALARNAS LÄN</t>
        </is>
      </c>
      <c r="E202" t="inlineStr">
        <is>
          <t>MORA</t>
        </is>
      </c>
      <c r="G202" t="n">
        <v>2.5</v>
      </c>
      <c r="H202" t="n">
        <v>0</v>
      </c>
      <c r="I202" t="n">
        <v>0</v>
      </c>
      <c r="J202" t="n">
        <v>0</v>
      </c>
      <c r="K202" t="n">
        <v>0</v>
      </c>
      <c r="L202" t="n">
        <v>0</v>
      </c>
      <c r="M202" t="n">
        <v>0</v>
      </c>
      <c r="N202" t="n">
        <v>0</v>
      </c>
      <c r="O202" t="n">
        <v>0</v>
      </c>
      <c r="P202" t="n">
        <v>0</v>
      </c>
      <c r="Q202" t="n">
        <v>0</v>
      </c>
      <c r="R202" s="2" t="inlineStr"/>
    </row>
    <row r="203" ht="15" customHeight="1">
      <c r="A203" t="inlineStr">
        <is>
          <t>A 64327-2023</t>
        </is>
      </c>
      <c r="B203" s="1" t="n">
        <v>45280</v>
      </c>
      <c r="C203" s="1" t="n">
        <v>45931</v>
      </c>
      <c r="D203" t="inlineStr">
        <is>
          <t>DALARNAS LÄN</t>
        </is>
      </c>
      <c r="E203" t="inlineStr">
        <is>
          <t>MORA</t>
        </is>
      </c>
      <c r="G203" t="n">
        <v>0.8</v>
      </c>
      <c r="H203" t="n">
        <v>0</v>
      </c>
      <c r="I203" t="n">
        <v>0</v>
      </c>
      <c r="J203" t="n">
        <v>0</v>
      </c>
      <c r="K203" t="n">
        <v>0</v>
      </c>
      <c r="L203" t="n">
        <v>0</v>
      </c>
      <c r="M203" t="n">
        <v>0</v>
      </c>
      <c r="N203" t="n">
        <v>0</v>
      </c>
      <c r="O203" t="n">
        <v>0</v>
      </c>
      <c r="P203" t="n">
        <v>0</v>
      </c>
      <c r="Q203" t="n">
        <v>0</v>
      </c>
      <c r="R203" s="2" t="inlineStr"/>
    </row>
    <row r="204" ht="15" customHeight="1">
      <c r="A204" t="inlineStr">
        <is>
          <t>A 9855-2024</t>
        </is>
      </c>
      <c r="B204" s="1" t="n">
        <v>45363.40368055556</v>
      </c>
      <c r="C204" s="1" t="n">
        <v>45931</v>
      </c>
      <c r="D204" t="inlineStr">
        <is>
          <t>DALARNAS LÄN</t>
        </is>
      </c>
      <c r="E204" t="inlineStr">
        <is>
          <t>MORA</t>
        </is>
      </c>
      <c r="G204" t="n">
        <v>8.6</v>
      </c>
      <c r="H204" t="n">
        <v>0</v>
      </c>
      <c r="I204" t="n">
        <v>0</v>
      </c>
      <c r="J204" t="n">
        <v>0</v>
      </c>
      <c r="K204" t="n">
        <v>0</v>
      </c>
      <c r="L204" t="n">
        <v>0</v>
      </c>
      <c r="M204" t="n">
        <v>0</v>
      </c>
      <c r="N204" t="n">
        <v>0</v>
      </c>
      <c r="O204" t="n">
        <v>0</v>
      </c>
      <c r="P204" t="n">
        <v>0</v>
      </c>
      <c r="Q204" t="n">
        <v>0</v>
      </c>
      <c r="R204" s="2" t="inlineStr"/>
    </row>
    <row r="205" ht="15" customHeight="1">
      <c r="A205" t="inlineStr">
        <is>
          <t>A 22732-2024</t>
        </is>
      </c>
      <c r="B205" s="1" t="n">
        <v>45448.38677083333</v>
      </c>
      <c r="C205" s="1" t="n">
        <v>45931</v>
      </c>
      <c r="D205" t="inlineStr">
        <is>
          <t>DALARNAS LÄN</t>
        </is>
      </c>
      <c r="E205" t="inlineStr">
        <is>
          <t>MORA</t>
        </is>
      </c>
      <c r="G205" t="n">
        <v>3.6</v>
      </c>
      <c r="H205" t="n">
        <v>0</v>
      </c>
      <c r="I205" t="n">
        <v>0</v>
      </c>
      <c r="J205" t="n">
        <v>0</v>
      </c>
      <c r="K205" t="n">
        <v>0</v>
      </c>
      <c r="L205" t="n">
        <v>0</v>
      </c>
      <c r="M205" t="n">
        <v>0</v>
      </c>
      <c r="N205" t="n">
        <v>0</v>
      </c>
      <c r="O205" t="n">
        <v>0</v>
      </c>
      <c r="P205" t="n">
        <v>0</v>
      </c>
      <c r="Q205" t="n">
        <v>0</v>
      </c>
      <c r="R205" s="2" t="inlineStr"/>
    </row>
    <row r="206" ht="15" customHeight="1">
      <c r="A206" t="inlineStr">
        <is>
          <t>A 17494-2025</t>
        </is>
      </c>
      <c r="B206" s="1" t="n">
        <v>45757.52033564815</v>
      </c>
      <c r="C206" s="1" t="n">
        <v>45931</v>
      </c>
      <c r="D206" t="inlineStr">
        <is>
          <t>DALARNAS LÄN</t>
        </is>
      </c>
      <c r="E206" t="inlineStr">
        <is>
          <t>MORA</t>
        </is>
      </c>
      <c r="G206" t="n">
        <v>5.3</v>
      </c>
      <c r="H206" t="n">
        <v>0</v>
      </c>
      <c r="I206" t="n">
        <v>0</v>
      </c>
      <c r="J206" t="n">
        <v>0</v>
      </c>
      <c r="K206" t="n">
        <v>0</v>
      </c>
      <c r="L206" t="n">
        <v>0</v>
      </c>
      <c r="M206" t="n">
        <v>0</v>
      </c>
      <c r="N206" t="n">
        <v>0</v>
      </c>
      <c r="O206" t="n">
        <v>0</v>
      </c>
      <c r="P206" t="n">
        <v>0</v>
      </c>
      <c r="Q206" t="n">
        <v>0</v>
      </c>
      <c r="R206" s="2" t="inlineStr"/>
    </row>
    <row r="207" ht="15" customHeight="1">
      <c r="A207" t="inlineStr">
        <is>
          <t>A 58958-2022</t>
        </is>
      </c>
      <c r="B207" s="1" t="n">
        <v>44903.6605324074</v>
      </c>
      <c r="C207" s="1" t="n">
        <v>45931</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24772-2024</t>
        </is>
      </c>
      <c r="B208" s="1" t="n">
        <v>45460.70204861111</v>
      </c>
      <c r="C208" s="1" t="n">
        <v>45931</v>
      </c>
      <c r="D208" t="inlineStr">
        <is>
          <t>DALARNAS LÄN</t>
        </is>
      </c>
      <c r="E208" t="inlineStr">
        <is>
          <t>MORA</t>
        </is>
      </c>
      <c r="G208" t="n">
        <v>0.9</v>
      </c>
      <c r="H208" t="n">
        <v>0</v>
      </c>
      <c r="I208" t="n">
        <v>0</v>
      </c>
      <c r="J208" t="n">
        <v>0</v>
      </c>
      <c r="K208" t="n">
        <v>0</v>
      </c>
      <c r="L208" t="n">
        <v>0</v>
      </c>
      <c r="M208" t="n">
        <v>0</v>
      </c>
      <c r="N208" t="n">
        <v>0</v>
      </c>
      <c r="O208" t="n">
        <v>0</v>
      </c>
      <c r="P208" t="n">
        <v>0</v>
      </c>
      <c r="Q208" t="n">
        <v>0</v>
      </c>
      <c r="R208" s="2" t="inlineStr"/>
    </row>
    <row r="209" ht="15" customHeight="1">
      <c r="A209" t="inlineStr">
        <is>
          <t>A 12987-2024</t>
        </is>
      </c>
      <c r="B209" s="1" t="n">
        <v>45385.55375</v>
      </c>
      <c r="C209" s="1" t="n">
        <v>45931</v>
      </c>
      <c r="D209" t="inlineStr">
        <is>
          <t>DALARNAS LÄN</t>
        </is>
      </c>
      <c r="E209" t="inlineStr">
        <is>
          <t>MORA</t>
        </is>
      </c>
      <c r="G209" t="n">
        <v>1.3</v>
      </c>
      <c r="H209" t="n">
        <v>0</v>
      </c>
      <c r="I209" t="n">
        <v>0</v>
      </c>
      <c r="J209" t="n">
        <v>0</v>
      </c>
      <c r="K209" t="n">
        <v>0</v>
      </c>
      <c r="L209" t="n">
        <v>0</v>
      </c>
      <c r="M209" t="n">
        <v>0</v>
      </c>
      <c r="N209" t="n">
        <v>0</v>
      </c>
      <c r="O209" t="n">
        <v>0</v>
      </c>
      <c r="P209" t="n">
        <v>0</v>
      </c>
      <c r="Q209" t="n">
        <v>0</v>
      </c>
      <c r="R209" s="2" t="inlineStr"/>
    </row>
    <row r="210" ht="15" customHeight="1">
      <c r="A210" t="inlineStr">
        <is>
          <t>A 47784-2024</t>
        </is>
      </c>
      <c r="B210" s="1" t="n">
        <v>45588.59290509259</v>
      </c>
      <c r="C210" s="1" t="n">
        <v>45931</v>
      </c>
      <c r="D210" t="inlineStr">
        <is>
          <t>DALARNAS LÄN</t>
        </is>
      </c>
      <c r="E210" t="inlineStr">
        <is>
          <t>MORA</t>
        </is>
      </c>
      <c r="G210" t="n">
        <v>15.3</v>
      </c>
      <c r="H210" t="n">
        <v>0</v>
      </c>
      <c r="I210" t="n">
        <v>0</v>
      </c>
      <c r="J210" t="n">
        <v>0</v>
      </c>
      <c r="K210" t="n">
        <v>0</v>
      </c>
      <c r="L210" t="n">
        <v>0</v>
      </c>
      <c r="M210" t="n">
        <v>0</v>
      </c>
      <c r="N210" t="n">
        <v>0</v>
      </c>
      <c r="O210" t="n">
        <v>0</v>
      </c>
      <c r="P210" t="n">
        <v>0</v>
      </c>
      <c r="Q210" t="n">
        <v>0</v>
      </c>
      <c r="R210" s="2" t="inlineStr"/>
    </row>
    <row r="211" ht="15" customHeight="1">
      <c r="A211" t="inlineStr">
        <is>
          <t>A 29188-2023</t>
        </is>
      </c>
      <c r="B211" s="1" t="n">
        <v>45105.54270833333</v>
      </c>
      <c r="C211" s="1" t="n">
        <v>45931</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442-2024</t>
        </is>
      </c>
      <c r="B212" s="1" t="n">
        <v>45296.60353009259</v>
      </c>
      <c r="C212" s="1" t="n">
        <v>45931</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15172-2025</t>
        </is>
      </c>
      <c r="B213" s="1" t="n">
        <v>45744.50722222222</v>
      </c>
      <c r="C213" s="1" t="n">
        <v>45931</v>
      </c>
      <c r="D213" t="inlineStr">
        <is>
          <t>DALARNAS LÄN</t>
        </is>
      </c>
      <c r="E213" t="inlineStr">
        <is>
          <t>MORA</t>
        </is>
      </c>
      <c r="G213" t="n">
        <v>3.2</v>
      </c>
      <c r="H213" t="n">
        <v>0</v>
      </c>
      <c r="I213" t="n">
        <v>0</v>
      </c>
      <c r="J213" t="n">
        <v>0</v>
      </c>
      <c r="K213" t="n">
        <v>0</v>
      </c>
      <c r="L213" t="n">
        <v>0</v>
      </c>
      <c r="M213" t="n">
        <v>0</v>
      </c>
      <c r="N213" t="n">
        <v>0</v>
      </c>
      <c r="O213" t="n">
        <v>0</v>
      </c>
      <c r="P213" t="n">
        <v>0</v>
      </c>
      <c r="Q213" t="n">
        <v>0</v>
      </c>
      <c r="R213" s="2" t="inlineStr"/>
    </row>
    <row r="214" ht="15" customHeight="1">
      <c r="A214" t="inlineStr">
        <is>
          <t>A 34923-2022</t>
        </is>
      </c>
      <c r="B214" s="1" t="n">
        <v>44796</v>
      </c>
      <c r="C214" s="1" t="n">
        <v>45931</v>
      </c>
      <c r="D214" t="inlineStr">
        <is>
          <t>DALARNAS LÄN</t>
        </is>
      </c>
      <c r="E214" t="inlineStr">
        <is>
          <t>MORA</t>
        </is>
      </c>
      <c r="G214" t="n">
        <v>5</v>
      </c>
      <c r="H214" t="n">
        <v>0</v>
      </c>
      <c r="I214" t="n">
        <v>0</v>
      </c>
      <c r="J214" t="n">
        <v>0</v>
      </c>
      <c r="K214" t="n">
        <v>0</v>
      </c>
      <c r="L214" t="n">
        <v>0</v>
      </c>
      <c r="M214" t="n">
        <v>0</v>
      </c>
      <c r="N214" t="n">
        <v>0</v>
      </c>
      <c r="O214" t="n">
        <v>0</v>
      </c>
      <c r="P214" t="n">
        <v>0</v>
      </c>
      <c r="Q214" t="n">
        <v>0</v>
      </c>
      <c r="R214" s="2" t="inlineStr"/>
    </row>
    <row r="215" ht="15" customHeight="1">
      <c r="A215" t="inlineStr">
        <is>
          <t>A 59174-2023</t>
        </is>
      </c>
      <c r="B215" s="1" t="n">
        <v>45253.43202546296</v>
      </c>
      <c r="C215" s="1" t="n">
        <v>45931</v>
      </c>
      <c r="D215" t="inlineStr">
        <is>
          <t>DALARNAS LÄN</t>
        </is>
      </c>
      <c r="E215" t="inlineStr">
        <is>
          <t>MORA</t>
        </is>
      </c>
      <c r="G215" t="n">
        <v>2.5</v>
      </c>
      <c r="H215" t="n">
        <v>0</v>
      </c>
      <c r="I215" t="n">
        <v>0</v>
      </c>
      <c r="J215" t="n">
        <v>0</v>
      </c>
      <c r="K215" t="n">
        <v>0</v>
      </c>
      <c r="L215" t="n">
        <v>0</v>
      </c>
      <c r="M215" t="n">
        <v>0</v>
      </c>
      <c r="N215" t="n">
        <v>0</v>
      </c>
      <c r="O215" t="n">
        <v>0</v>
      </c>
      <c r="P215" t="n">
        <v>0</v>
      </c>
      <c r="Q215" t="n">
        <v>0</v>
      </c>
      <c r="R215" s="2" t="inlineStr"/>
    </row>
    <row r="216" ht="15" customHeight="1">
      <c r="A216" t="inlineStr">
        <is>
          <t>A 36184-2021</t>
        </is>
      </c>
      <c r="B216" s="1" t="n">
        <v>44389</v>
      </c>
      <c r="C216" s="1" t="n">
        <v>45931</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17278-2025</t>
        </is>
      </c>
      <c r="B217" s="1" t="n">
        <v>45756.56131944444</v>
      </c>
      <c r="C217" s="1" t="n">
        <v>45931</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64099-2023</t>
        </is>
      </c>
      <c r="B218" s="1" t="n">
        <v>45279.46009259259</v>
      </c>
      <c r="C218" s="1" t="n">
        <v>45931</v>
      </c>
      <c r="D218" t="inlineStr">
        <is>
          <t>DALARNAS LÄN</t>
        </is>
      </c>
      <c r="E218" t="inlineStr">
        <is>
          <t>MORA</t>
        </is>
      </c>
      <c r="G218" t="n">
        <v>0.6</v>
      </c>
      <c r="H218" t="n">
        <v>0</v>
      </c>
      <c r="I218" t="n">
        <v>0</v>
      </c>
      <c r="J218" t="n">
        <v>0</v>
      </c>
      <c r="K218" t="n">
        <v>0</v>
      </c>
      <c r="L218" t="n">
        <v>0</v>
      </c>
      <c r="M218" t="n">
        <v>0</v>
      </c>
      <c r="N218" t="n">
        <v>0</v>
      </c>
      <c r="O218" t="n">
        <v>0</v>
      </c>
      <c r="P218" t="n">
        <v>0</v>
      </c>
      <c r="Q218" t="n">
        <v>0</v>
      </c>
      <c r="R218" s="2" t="inlineStr"/>
    </row>
    <row r="219" ht="15" customHeight="1">
      <c r="A219" t="inlineStr">
        <is>
          <t>A 33627-2024</t>
        </is>
      </c>
      <c r="B219" s="1" t="n">
        <v>45520</v>
      </c>
      <c r="C219" s="1" t="n">
        <v>45931</v>
      </c>
      <c r="D219" t="inlineStr">
        <is>
          <t>DALARNAS LÄN</t>
        </is>
      </c>
      <c r="E219" t="inlineStr">
        <is>
          <t>MORA</t>
        </is>
      </c>
      <c r="G219" t="n">
        <v>1.1</v>
      </c>
      <c r="H219" t="n">
        <v>0</v>
      </c>
      <c r="I219" t="n">
        <v>0</v>
      </c>
      <c r="J219" t="n">
        <v>0</v>
      </c>
      <c r="K219" t="n">
        <v>0</v>
      </c>
      <c r="L219" t="n">
        <v>0</v>
      </c>
      <c r="M219" t="n">
        <v>0</v>
      </c>
      <c r="N219" t="n">
        <v>0</v>
      </c>
      <c r="O219" t="n">
        <v>0</v>
      </c>
      <c r="P219" t="n">
        <v>0</v>
      </c>
      <c r="Q219" t="n">
        <v>0</v>
      </c>
      <c r="R219" s="2" t="inlineStr"/>
    </row>
    <row r="220" ht="15" customHeight="1">
      <c r="A220" t="inlineStr">
        <is>
          <t>A 21244-2024</t>
        </is>
      </c>
      <c r="B220" s="1" t="n">
        <v>45440.59936342593</v>
      </c>
      <c r="C220" s="1" t="n">
        <v>45931</v>
      </c>
      <c r="D220" t="inlineStr">
        <is>
          <t>DALARNAS LÄN</t>
        </is>
      </c>
      <c r="E220" t="inlineStr">
        <is>
          <t>MORA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18202-2024</t>
        </is>
      </c>
      <c r="B221" s="1" t="n">
        <v>45420.68172453704</v>
      </c>
      <c r="C221" s="1" t="n">
        <v>45931</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23057-2024</t>
        </is>
      </c>
      <c r="B222" s="1" t="n">
        <v>45450</v>
      </c>
      <c r="C222" s="1" t="n">
        <v>45931</v>
      </c>
      <c r="D222" t="inlineStr">
        <is>
          <t>DALARNAS LÄN</t>
        </is>
      </c>
      <c r="E222" t="inlineStr">
        <is>
          <t>MORA</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60674-2023</t>
        </is>
      </c>
      <c r="B223" s="1" t="n">
        <v>45260.46609953704</v>
      </c>
      <c r="C223" s="1" t="n">
        <v>45931</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37471-2024</t>
        </is>
      </c>
      <c r="B224" s="1" t="n">
        <v>45540.85054398148</v>
      </c>
      <c r="C224" s="1" t="n">
        <v>45931</v>
      </c>
      <c r="D224" t="inlineStr">
        <is>
          <t>DALARNAS LÄN</t>
        </is>
      </c>
      <c r="E224" t="inlineStr">
        <is>
          <t>MORA</t>
        </is>
      </c>
      <c r="G224" t="n">
        <v>3.5</v>
      </c>
      <c r="H224" t="n">
        <v>0</v>
      </c>
      <c r="I224" t="n">
        <v>0</v>
      </c>
      <c r="J224" t="n">
        <v>0</v>
      </c>
      <c r="K224" t="n">
        <v>0</v>
      </c>
      <c r="L224" t="n">
        <v>0</v>
      </c>
      <c r="M224" t="n">
        <v>0</v>
      </c>
      <c r="N224" t="n">
        <v>0</v>
      </c>
      <c r="O224" t="n">
        <v>0</v>
      </c>
      <c r="P224" t="n">
        <v>0</v>
      </c>
      <c r="Q224" t="n">
        <v>0</v>
      </c>
      <c r="R224" s="2" t="inlineStr"/>
    </row>
    <row r="225" ht="15" customHeight="1">
      <c r="A225" t="inlineStr">
        <is>
          <t>A 61293-2022</t>
        </is>
      </c>
      <c r="B225" s="1" t="n">
        <v>44915.62751157407</v>
      </c>
      <c r="C225" s="1" t="n">
        <v>45931</v>
      </c>
      <c r="D225" t="inlineStr">
        <is>
          <t>DALARNAS LÄN</t>
        </is>
      </c>
      <c r="E225" t="inlineStr">
        <is>
          <t>MORA</t>
        </is>
      </c>
      <c r="G225" t="n">
        <v>0.3</v>
      </c>
      <c r="H225" t="n">
        <v>0</v>
      </c>
      <c r="I225" t="n">
        <v>0</v>
      </c>
      <c r="J225" t="n">
        <v>0</v>
      </c>
      <c r="K225" t="n">
        <v>0</v>
      </c>
      <c r="L225" t="n">
        <v>0</v>
      </c>
      <c r="M225" t="n">
        <v>0</v>
      </c>
      <c r="N225" t="n">
        <v>0</v>
      </c>
      <c r="O225" t="n">
        <v>0</v>
      </c>
      <c r="P225" t="n">
        <v>0</v>
      </c>
      <c r="Q225" t="n">
        <v>0</v>
      </c>
      <c r="R225" s="2" t="inlineStr"/>
    </row>
    <row r="226" ht="15" customHeight="1">
      <c r="A226" t="inlineStr">
        <is>
          <t>A 60360-2023</t>
        </is>
      </c>
      <c r="B226" s="1" t="n">
        <v>45259</v>
      </c>
      <c r="C226" s="1" t="n">
        <v>45931</v>
      </c>
      <c r="D226" t="inlineStr">
        <is>
          <t>DALARNAS LÄN</t>
        </is>
      </c>
      <c r="E226" t="inlineStr">
        <is>
          <t>MORA</t>
        </is>
      </c>
      <c r="G226" t="n">
        <v>2.9</v>
      </c>
      <c r="H226" t="n">
        <v>0</v>
      </c>
      <c r="I226" t="n">
        <v>0</v>
      </c>
      <c r="J226" t="n">
        <v>0</v>
      </c>
      <c r="K226" t="n">
        <v>0</v>
      </c>
      <c r="L226" t="n">
        <v>0</v>
      </c>
      <c r="M226" t="n">
        <v>0</v>
      </c>
      <c r="N226" t="n">
        <v>0</v>
      </c>
      <c r="O226" t="n">
        <v>0</v>
      </c>
      <c r="P226" t="n">
        <v>0</v>
      </c>
      <c r="Q226" t="n">
        <v>0</v>
      </c>
      <c r="R226" s="2" t="inlineStr"/>
    </row>
    <row r="227" ht="15" customHeight="1">
      <c r="A227" t="inlineStr">
        <is>
          <t>A 18139-2025</t>
        </is>
      </c>
      <c r="B227" s="1" t="n">
        <v>45761.60459490741</v>
      </c>
      <c r="C227" s="1" t="n">
        <v>45931</v>
      </c>
      <c r="D227" t="inlineStr">
        <is>
          <t>DALARNAS LÄN</t>
        </is>
      </c>
      <c r="E227" t="inlineStr">
        <is>
          <t>MORA</t>
        </is>
      </c>
      <c r="F227" t="inlineStr">
        <is>
          <t>Bergvik skog öst AB</t>
        </is>
      </c>
      <c r="G227" t="n">
        <v>3</v>
      </c>
      <c r="H227" t="n">
        <v>0</v>
      </c>
      <c r="I227" t="n">
        <v>0</v>
      </c>
      <c r="J227" t="n">
        <v>0</v>
      </c>
      <c r="K227" t="n">
        <v>0</v>
      </c>
      <c r="L227" t="n">
        <v>0</v>
      </c>
      <c r="M227" t="n">
        <v>0</v>
      </c>
      <c r="N227" t="n">
        <v>0</v>
      </c>
      <c r="O227" t="n">
        <v>0</v>
      </c>
      <c r="P227" t="n">
        <v>0</v>
      </c>
      <c r="Q227" t="n">
        <v>0</v>
      </c>
      <c r="R227" s="2" t="inlineStr"/>
    </row>
    <row r="228" ht="15" customHeight="1">
      <c r="A228" t="inlineStr">
        <is>
          <t>A 25494-2024</t>
        </is>
      </c>
      <c r="B228" s="1" t="n">
        <v>45463</v>
      </c>
      <c r="C228" s="1" t="n">
        <v>45931</v>
      </c>
      <c r="D228" t="inlineStr">
        <is>
          <t>DALARNAS LÄN</t>
        </is>
      </c>
      <c r="E228" t="inlineStr">
        <is>
          <t>MORA</t>
        </is>
      </c>
      <c r="G228" t="n">
        <v>4.9</v>
      </c>
      <c r="H228" t="n">
        <v>0</v>
      </c>
      <c r="I228" t="n">
        <v>0</v>
      </c>
      <c r="J228" t="n">
        <v>0</v>
      </c>
      <c r="K228" t="n">
        <v>0</v>
      </c>
      <c r="L228" t="n">
        <v>0</v>
      </c>
      <c r="M228" t="n">
        <v>0</v>
      </c>
      <c r="N228" t="n">
        <v>0</v>
      </c>
      <c r="O228" t="n">
        <v>0</v>
      </c>
      <c r="P228" t="n">
        <v>0</v>
      </c>
      <c r="Q228" t="n">
        <v>0</v>
      </c>
      <c r="R228" s="2" t="inlineStr"/>
    </row>
    <row r="229" ht="15" customHeight="1">
      <c r="A229" t="inlineStr">
        <is>
          <t>A 25499-2024</t>
        </is>
      </c>
      <c r="B229" s="1" t="n">
        <v>45463</v>
      </c>
      <c r="C229" s="1" t="n">
        <v>45931</v>
      </c>
      <c r="D229" t="inlineStr">
        <is>
          <t>DALARNAS LÄN</t>
        </is>
      </c>
      <c r="E229" t="inlineStr">
        <is>
          <t>MORA</t>
        </is>
      </c>
      <c r="G229" t="n">
        <v>0.8</v>
      </c>
      <c r="H229" t="n">
        <v>0</v>
      </c>
      <c r="I229" t="n">
        <v>0</v>
      </c>
      <c r="J229" t="n">
        <v>0</v>
      </c>
      <c r="K229" t="n">
        <v>0</v>
      </c>
      <c r="L229" t="n">
        <v>0</v>
      </c>
      <c r="M229" t="n">
        <v>0</v>
      </c>
      <c r="N229" t="n">
        <v>0</v>
      </c>
      <c r="O229" t="n">
        <v>0</v>
      </c>
      <c r="P229" t="n">
        <v>0</v>
      </c>
      <c r="Q229" t="n">
        <v>0</v>
      </c>
      <c r="R229" s="2" t="inlineStr"/>
    </row>
    <row r="230" ht="15" customHeight="1">
      <c r="A230" t="inlineStr">
        <is>
          <t>A 33531-2024</t>
        </is>
      </c>
      <c r="B230" s="1" t="n">
        <v>45519.67503472222</v>
      </c>
      <c r="C230" s="1" t="n">
        <v>45931</v>
      </c>
      <c r="D230" t="inlineStr">
        <is>
          <t>DALARNAS LÄN</t>
        </is>
      </c>
      <c r="E230" t="inlineStr">
        <is>
          <t>MORA</t>
        </is>
      </c>
      <c r="G230" t="n">
        <v>14.8</v>
      </c>
      <c r="H230" t="n">
        <v>0</v>
      </c>
      <c r="I230" t="n">
        <v>0</v>
      </c>
      <c r="J230" t="n">
        <v>0</v>
      </c>
      <c r="K230" t="n">
        <v>0</v>
      </c>
      <c r="L230" t="n">
        <v>0</v>
      </c>
      <c r="M230" t="n">
        <v>0</v>
      </c>
      <c r="N230" t="n">
        <v>0</v>
      </c>
      <c r="O230" t="n">
        <v>0</v>
      </c>
      <c r="P230" t="n">
        <v>0</v>
      </c>
      <c r="Q230" t="n">
        <v>0</v>
      </c>
      <c r="R230" s="2" t="inlineStr"/>
    </row>
    <row r="231" ht="15" customHeight="1">
      <c r="A231" t="inlineStr">
        <is>
          <t>A 49159-2023</t>
        </is>
      </c>
      <c r="B231" s="1" t="n">
        <v>45210</v>
      </c>
      <c r="C231" s="1" t="n">
        <v>45931</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22785-2023</t>
        </is>
      </c>
      <c r="B232" s="1" t="n">
        <v>45072.34796296297</v>
      </c>
      <c r="C232" s="1" t="n">
        <v>45931</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61405-2023</t>
        </is>
      </c>
      <c r="B233" s="1" t="n">
        <v>45264.65987268519</v>
      </c>
      <c r="C233" s="1" t="n">
        <v>45931</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53754-2024</t>
        </is>
      </c>
      <c r="B234" s="1" t="n">
        <v>45615.49371527778</v>
      </c>
      <c r="C234" s="1" t="n">
        <v>45931</v>
      </c>
      <c r="D234" t="inlineStr">
        <is>
          <t>DALARNAS LÄN</t>
        </is>
      </c>
      <c r="E234" t="inlineStr">
        <is>
          <t>MORA</t>
        </is>
      </c>
      <c r="G234" t="n">
        <v>4.8</v>
      </c>
      <c r="H234" t="n">
        <v>0</v>
      </c>
      <c r="I234" t="n">
        <v>0</v>
      </c>
      <c r="J234" t="n">
        <v>0</v>
      </c>
      <c r="K234" t="n">
        <v>0</v>
      </c>
      <c r="L234" t="n">
        <v>0</v>
      </c>
      <c r="M234" t="n">
        <v>0</v>
      </c>
      <c r="N234" t="n">
        <v>0</v>
      </c>
      <c r="O234" t="n">
        <v>0</v>
      </c>
      <c r="P234" t="n">
        <v>0</v>
      </c>
      <c r="Q234" t="n">
        <v>0</v>
      </c>
      <c r="R234" s="2" t="inlineStr"/>
    </row>
    <row r="235" ht="15" customHeight="1">
      <c r="A235" t="inlineStr">
        <is>
          <t>A 20989-2024</t>
        </is>
      </c>
      <c r="B235" s="1" t="n">
        <v>45439</v>
      </c>
      <c r="C235" s="1" t="n">
        <v>45931</v>
      </c>
      <c r="D235" t="inlineStr">
        <is>
          <t>DALARNAS LÄN</t>
        </is>
      </c>
      <c r="E235" t="inlineStr">
        <is>
          <t>MORA</t>
        </is>
      </c>
      <c r="F235" t="inlineStr">
        <is>
          <t>Bergvik skog öst AB</t>
        </is>
      </c>
      <c r="G235" t="n">
        <v>14.7</v>
      </c>
      <c r="H235" t="n">
        <v>0</v>
      </c>
      <c r="I235" t="n">
        <v>0</v>
      </c>
      <c r="J235" t="n">
        <v>0</v>
      </c>
      <c r="K235" t="n">
        <v>0</v>
      </c>
      <c r="L235" t="n">
        <v>0</v>
      </c>
      <c r="M235" t="n">
        <v>0</v>
      </c>
      <c r="N235" t="n">
        <v>0</v>
      </c>
      <c r="O235" t="n">
        <v>0</v>
      </c>
      <c r="P235" t="n">
        <v>0</v>
      </c>
      <c r="Q235" t="n">
        <v>0</v>
      </c>
      <c r="R235" s="2" t="inlineStr"/>
    </row>
    <row r="236" ht="15" customHeight="1">
      <c r="A236" t="inlineStr">
        <is>
          <t>A 20930-2024</t>
        </is>
      </c>
      <c r="B236" s="1" t="n">
        <v>45439.51907407407</v>
      </c>
      <c r="C236" s="1" t="n">
        <v>45931</v>
      </c>
      <c r="D236" t="inlineStr">
        <is>
          <t>DALARNAS LÄN</t>
        </is>
      </c>
      <c r="E236" t="inlineStr">
        <is>
          <t>MORA</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57475-2022</t>
        </is>
      </c>
      <c r="B237" s="1" t="n">
        <v>44896</v>
      </c>
      <c r="C237" s="1" t="n">
        <v>45931</v>
      </c>
      <c r="D237" t="inlineStr">
        <is>
          <t>DALARNAS LÄN</t>
        </is>
      </c>
      <c r="E237" t="inlineStr">
        <is>
          <t>MORA</t>
        </is>
      </c>
      <c r="G237" t="n">
        <v>5.7</v>
      </c>
      <c r="H237" t="n">
        <v>0</v>
      </c>
      <c r="I237" t="n">
        <v>0</v>
      </c>
      <c r="J237" t="n">
        <v>0</v>
      </c>
      <c r="K237" t="n">
        <v>0</v>
      </c>
      <c r="L237" t="n">
        <v>0</v>
      </c>
      <c r="M237" t="n">
        <v>0</v>
      </c>
      <c r="N237" t="n">
        <v>0</v>
      </c>
      <c r="O237" t="n">
        <v>0</v>
      </c>
      <c r="P237" t="n">
        <v>0</v>
      </c>
      <c r="Q237" t="n">
        <v>0</v>
      </c>
      <c r="R237" s="2" t="inlineStr"/>
    </row>
    <row r="238" ht="15" customHeight="1">
      <c r="A238" t="inlineStr">
        <is>
          <t>A 18444-2024</t>
        </is>
      </c>
      <c r="B238" s="1" t="n">
        <v>45425.45568287037</v>
      </c>
      <c r="C238" s="1" t="n">
        <v>45931</v>
      </c>
      <c r="D238" t="inlineStr">
        <is>
          <t>DALARNAS LÄN</t>
        </is>
      </c>
      <c r="E238" t="inlineStr">
        <is>
          <t>MORA</t>
        </is>
      </c>
      <c r="G238" t="n">
        <v>5</v>
      </c>
      <c r="H238" t="n">
        <v>0</v>
      </c>
      <c r="I238" t="n">
        <v>0</v>
      </c>
      <c r="J238" t="n">
        <v>0</v>
      </c>
      <c r="K238" t="n">
        <v>0</v>
      </c>
      <c r="L238" t="n">
        <v>0</v>
      </c>
      <c r="M238" t="n">
        <v>0</v>
      </c>
      <c r="N238" t="n">
        <v>0</v>
      </c>
      <c r="O238" t="n">
        <v>0</v>
      </c>
      <c r="P238" t="n">
        <v>0</v>
      </c>
      <c r="Q238" t="n">
        <v>0</v>
      </c>
      <c r="R238" s="2" t="inlineStr"/>
    </row>
    <row r="239" ht="15" customHeight="1">
      <c r="A239" t="inlineStr">
        <is>
          <t>A 46537-2025</t>
        </is>
      </c>
      <c r="B239" s="1" t="n">
        <v>45926.34195601852</v>
      </c>
      <c r="C239" s="1" t="n">
        <v>45931</v>
      </c>
      <c r="D239" t="inlineStr">
        <is>
          <t>DALARNAS LÄN</t>
        </is>
      </c>
      <c r="E239" t="inlineStr">
        <is>
          <t>MORA</t>
        </is>
      </c>
      <c r="G239" t="n">
        <v>10.6</v>
      </c>
      <c r="H239" t="n">
        <v>0</v>
      </c>
      <c r="I239" t="n">
        <v>0</v>
      </c>
      <c r="J239" t="n">
        <v>0</v>
      </c>
      <c r="K239" t="n">
        <v>0</v>
      </c>
      <c r="L239" t="n">
        <v>0</v>
      </c>
      <c r="M239" t="n">
        <v>0</v>
      </c>
      <c r="N239" t="n">
        <v>0</v>
      </c>
      <c r="O239" t="n">
        <v>0</v>
      </c>
      <c r="P239" t="n">
        <v>0</v>
      </c>
      <c r="Q239" t="n">
        <v>0</v>
      </c>
      <c r="R239" s="2" t="inlineStr"/>
    </row>
    <row r="240" ht="15" customHeight="1">
      <c r="A240" t="inlineStr">
        <is>
          <t>A 18992-2024</t>
        </is>
      </c>
      <c r="B240" s="1" t="n">
        <v>45427.61516203704</v>
      </c>
      <c r="C240" s="1" t="n">
        <v>45931</v>
      </c>
      <c r="D240" t="inlineStr">
        <is>
          <t>DALARNAS LÄN</t>
        </is>
      </c>
      <c r="E240" t="inlineStr">
        <is>
          <t>MORA</t>
        </is>
      </c>
      <c r="G240" t="n">
        <v>9.9</v>
      </c>
      <c r="H240" t="n">
        <v>0</v>
      </c>
      <c r="I240" t="n">
        <v>0</v>
      </c>
      <c r="J240" t="n">
        <v>0</v>
      </c>
      <c r="K240" t="n">
        <v>0</v>
      </c>
      <c r="L240" t="n">
        <v>0</v>
      </c>
      <c r="M240" t="n">
        <v>0</v>
      </c>
      <c r="N240" t="n">
        <v>0</v>
      </c>
      <c r="O240" t="n">
        <v>0</v>
      </c>
      <c r="P240" t="n">
        <v>0</v>
      </c>
      <c r="Q240" t="n">
        <v>0</v>
      </c>
      <c r="R240" s="2" t="inlineStr"/>
    </row>
    <row r="241" ht="15" customHeight="1">
      <c r="A241" t="inlineStr">
        <is>
          <t>A 46414-2024</t>
        </is>
      </c>
      <c r="B241" s="1" t="n">
        <v>45582.45226851852</v>
      </c>
      <c r="C241" s="1" t="n">
        <v>45931</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46417-2024</t>
        </is>
      </c>
      <c r="B242" s="1" t="n">
        <v>45582.45449074074</v>
      </c>
      <c r="C242" s="1" t="n">
        <v>45931</v>
      </c>
      <c r="D242" t="inlineStr">
        <is>
          <t>DALARNAS LÄN</t>
        </is>
      </c>
      <c r="E242" t="inlineStr">
        <is>
          <t>MORA</t>
        </is>
      </c>
      <c r="G242" t="n">
        <v>0.8</v>
      </c>
      <c r="H242" t="n">
        <v>0</v>
      </c>
      <c r="I242" t="n">
        <v>0</v>
      </c>
      <c r="J242" t="n">
        <v>0</v>
      </c>
      <c r="K242" t="n">
        <v>0</v>
      </c>
      <c r="L242" t="n">
        <v>0</v>
      </c>
      <c r="M242" t="n">
        <v>0</v>
      </c>
      <c r="N242" t="n">
        <v>0</v>
      </c>
      <c r="O242" t="n">
        <v>0</v>
      </c>
      <c r="P242" t="n">
        <v>0</v>
      </c>
      <c r="Q242" t="n">
        <v>0</v>
      </c>
      <c r="R242" s="2" t="inlineStr"/>
    </row>
    <row r="243" ht="15" customHeight="1">
      <c r="A243" t="inlineStr">
        <is>
          <t>A 7972-2024</t>
        </is>
      </c>
      <c r="B243" s="1" t="n">
        <v>45350</v>
      </c>
      <c r="C243" s="1" t="n">
        <v>45931</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43432-2024</t>
        </is>
      </c>
      <c r="B244" s="1" t="n">
        <v>45568.64337962963</v>
      </c>
      <c r="C244" s="1" t="n">
        <v>45931</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60673-2023</t>
        </is>
      </c>
      <c r="B245" s="1" t="n">
        <v>45260.46438657407</v>
      </c>
      <c r="C245" s="1" t="n">
        <v>45931</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17280-2025</t>
        </is>
      </c>
      <c r="B246" s="1" t="n">
        <v>45756</v>
      </c>
      <c r="C246" s="1" t="n">
        <v>45931</v>
      </c>
      <c r="D246" t="inlineStr">
        <is>
          <t>DALARNAS LÄN</t>
        </is>
      </c>
      <c r="E246" t="inlineStr">
        <is>
          <t>MORA</t>
        </is>
      </c>
      <c r="G246" t="n">
        <v>2.1</v>
      </c>
      <c r="H246" t="n">
        <v>0</v>
      </c>
      <c r="I246" t="n">
        <v>0</v>
      </c>
      <c r="J246" t="n">
        <v>0</v>
      </c>
      <c r="K246" t="n">
        <v>0</v>
      </c>
      <c r="L246" t="n">
        <v>0</v>
      </c>
      <c r="M246" t="n">
        <v>0</v>
      </c>
      <c r="N246" t="n">
        <v>0</v>
      </c>
      <c r="O246" t="n">
        <v>0</v>
      </c>
      <c r="P246" t="n">
        <v>0</v>
      </c>
      <c r="Q246" t="n">
        <v>0</v>
      </c>
      <c r="R246" s="2" t="inlineStr"/>
    </row>
    <row r="247" ht="15" customHeight="1">
      <c r="A247" t="inlineStr">
        <is>
          <t>A 61270-2024</t>
        </is>
      </c>
      <c r="B247" s="1" t="n">
        <v>45645.74694444444</v>
      </c>
      <c r="C247" s="1" t="n">
        <v>45931</v>
      </c>
      <c r="D247" t="inlineStr">
        <is>
          <t>DALARNAS LÄN</t>
        </is>
      </c>
      <c r="E247" t="inlineStr">
        <is>
          <t>MORA</t>
        </is>
      </c>
      <c r="G247" t="n">
        <v>5.1</v>
      </c>
      <c r="H247" t="n">
        <v>0</v>
      </c>
      <c r="I247" t="n">
        <v>0</v>
      </c>
      <c r="J247" t="n">
        <v>0</v>
      </c>
      <c r="K247" t="n">
        <v>0</v>
      </c>
      <c r="L247" t="n">
        <v>0</v>
      </c>
      <c r="M247" t="n">
        <v>0</v>
      </c>
      <c r="N247" t="n">
        <v>0</v>
      </c>
      <c r="O247" t="n">
        <v>0</v>
      </c>
      <c r="P247" t="n">
        <v>0</v>
      </c>
      <c r="Q247" t="n">
        <v>0</v>
      </c>
      <c r="R247" s="2" t="inlineStr"/>
    </row>
    <row r="248" ht="15" customHeight="1">
      <c r="A248" t="inlineStr">
        <is>
          <t>A 60847-2021</t>
        </is>
      </c>
      <c r="B248" s="1" t="n">
        <v>44497</v>
      </c>
      <c r="C248" s="1" t="n">
        <v>45931</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60428-2023</t>
        </is>
      </c>
      <c r="B249" s="1" t="n">
        <v>45259.50996527778</v>
      </c>
      <c r="C249" s="1" t="n">
        <v>45931</v>
      </c>
      <c r="D249" t="inlineStr">
        <is>
          <t>DALARNAS LÄN</t>
        </is>
      </c>
      <c r="E249" t="inlineStr">
        <is>
          <t>MORA</t>
        </is>
      </c>
      <c r="G249" t="n">
        <v>4.9</v>
      </c>
      <c r="H249" t="n">
        <v>0</v>
      </c>
      <c r="I249" t="n">
        <v>0</v>
      </c>
      <c r="J249" t="n">
        <v>0</v>
      </c>
      <c r="K249" t="n">
        <v>0</v>
      </c>
      <c r="L249" t="n">
        <v>0</v>
      </c>
      <c r="M249" t="n">
        <v>0</v>
      </c>
      <c r="N249" t="n">
        <v>0</v>
      </c>
      <c r="O249" t="n">
        <v>0</v>
      </c>
      <c r="P249" t="n">
        <v>0</v>
      </c>
      <c r="Q249" t="n">
        <v>0</v>
      </c>
      <c r="R249" s="2" t="inlineStr"/>
    </row>
    <row r="250" ht="15" customHeight="1">
      <c r="A250" t="inlineStr">
        <is>
          <t>A 437-2024</t>
        </is>
      </c>
      <c r="B250" s="1" t="n">
        <v>45296</v>
      </c>
      <c r="C250" s="1" t="n">
        <v>45931</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7116-2024</t>
        </is>
      </c>
      <c r="B251" s="1" t="n">
        <v>45343.95445601852</v>
      </c>
      <c r="C251" s="1" t="n">
        <v>45931</v>
      </c>
      <c r="D251" t="inlineStr">
        <is>
          <t>DALARNAS LÄN</t>
        </is>
      </c>
      <c r="E251" t="inlineStr">
        <is>
          <t>MORA</t>
        </is>
      </c>
      <c r="G251" t="n">
        <v>0.3</v>
      </c>
      <c r="H251" t="n">
        <v>0</v>
      </c>
      <c r="I251" t="n">
        <v>0</v>
      </c>
      <c r="J251" t="n">
        <v>0</v>
      </c>
      <c r="K251" t="n">
        <v>0</v>
      </c>
      <c r="L251" t="n">
        <v>0</v>
      </c>
      <c r="M251" t="n">
        <v>0</v>
      </c>
      <c r="N251" t="n">
        <v>0</v>
      </c>
      <c r="O251" t="n">
        <v>0</v>
      </c>
      <c r="P251" t="n">
        <v>0</v>
      </c>
      <c r="Q251" t="n">
        <v>0</v>
      </c>
      <c r="R251" s="2" t="inlineStr"/>
    </row>
    <row r="252" ht="15" customHeight="1">
      <c r="A252" t="inlineStr">
        <is>
          <t>A 32410-2024</t>
        </is>
      </c>
      <c r="B252" s="1" t="n">
        <v>45512.70077546296</v>
      </c>
      <c r="C252" s="1" t="n">
        <v>45931</v>
      </c>
      <c r="D252" t="inlineStr">
        <is>
          <t>DALARNAS LÄN</t>
        </is>
      </c>
      <c r="E252" t="inlineStr">
        <is>
          <t>MORA</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59995-2023</t>
        </is>
      </c>
      <c r="B253" s="1" t="n">
        <v>45254</v>
      </c>
      <c r="C253" s="1" t="n">
        <v>45931</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13479-2024</t>
        </is>
      </c>
      <c r="B254" s="1" t="n">
        <v>45387.5900925926</v>
      </c>
      <c r="C254" s="1" t="n">
        <v>45931</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46450-2025</t>
        </is>
      </c>
      <c r="B255" s="1" t="n">
        <v>45925.6530324074</v>
      </c>
      <c r="C255" s="1" t="n">
        <v>45931</v>
      </c>
      <c r="D255" t="inlineStr">
        <is>
          <t>DALARNAS LÄN</t>
        </is>
      </c>
      <c r="E255" t="inlineStr">
        <is>
          <t>MORA</t>
        </is>
      </c>
      <c r="G255" t="n">
        <v>4.2</v>
      </c>
      <c r="H255" t="n">
        <v>0</v>
      </c>
      <c r="I255" t="n">
        <v>0</v>
      </c>
      <c r="J255" t="n">
        <v>0</v>
      </c>
      <c r="K255" t="n">
        <v>0</v>
      </c>
      <c r="L255" t="n">
        <v>0</v>
      </c>
      <c r="M255" t="n">
        <v>0</v>
      </c>
      <c r="N255" t="n">
        <v>0</v>
      </c>
      <c r="O255" t="n">
        <v>0</v>
      </c>
      <c r="P255" t="n">
        <v>0</v>
      </c>
      <c r="Q255" t="n">
        <v>0</v>
      </c>
      <c r="R255" s="2" t="inlineStr"/>
    </row>
    <row r="256" ht="15" customHeight="1">
      <c r="A256" t="inlineStr">
        <is>
          <t>A 41812-2024</t>
        </is>
      </c>
      <c r="B256" s="1" t="n">
        <v>45561.3771412037</v>
      </c>
      <c r="C256" s="1" t="n">
        <v>45931</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60715-2023</t>
        </is>
      </c>
      <c r="B257" s="1" t="n">
        <v>45260.52684027778</v>
      </c>
      <c r="C257" s="1" t="n">
        <v>45931</v>
      </c>
      <c r="D257" t="inlineStr">
        <is>
          <t>DALARNAS LÄN</t>
        </is>
      </c>
      <c r="E257" t="inlineStr">
        <is>
          <t>MORA</t>
        </is>
      </c>
      <c r="G257" t="n">
        <v>1.7</v>
      </c>
      <c r="H257" t="n">
        <v>0</v>
      </c>
      <c r="I257" t="n">
        <v>0</v>
      </c>
      <c r="J257" t="n">
        <v>0</v>
      </c>
      <c r="K257" t="n">
        <v>0</v>
      </c>
      <c r="L257" t="n">
        <v>0</v>
      </c>
      <c r="M257" t="n">
        <v>0</v>
      </c>
      <c r="N257" t="n">
        <v>0</v>
      </c>
      <c r="O257" t="n">
        <v>0</v>
      </c>
      <c r="P257" t="n">
        <v>0</v>
      </c>
      <c r="Q257" t="n">
        <v>0</v>
      </c>
      <c r="R257" s="2" t="inlineStr"/>
    </row>
    <row r="258" ht="15" customHeight="1">
      <c r="A258" t="inlineStr">
        <is>
          <t>A 42085-2024</t>
        </is>
      </c>
      <c r="B258" s="1" t="n">
        <v>45562.33179398148</v>
      </c>
      <c r="C258" s="1" t="n">
        <v>45931</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32721-2024</t>
        </is>
      </c>
      <c r="B259" s="1" t="n">
        <v>45516.40261574074</v>
      </c>
      <c r="C259" s="1" t="n">
        <v>45931</v>
      </c>
      <c r="D259" t="inlineStr">
        <is>
          <t>DALARNAS LÄN</t>
        </is>
      </c>
      <c r="E259" t="inlineStr">
        <is>
          <t>MORA</t>
        </is>
      </c>
      <c r="G259" t="n">
        <v>4.2</v>
      </c>
      <c r="H259" t="n">
        <v>0</v>
      </c>
      <c r="I259" t="n">
        <v>0</v>
      </c>
      <c r="J259" t="n">
        <v>0</v>
      </c>
      <c r="K259" t="n">
        <v>0</v>
      </c>
      <c r="L259" t="n">
        <v>0</v>
      </c>
      <c r="M259" t="n">
        <v>0</v>
      </c>
      <c r="N259" t="n">
        <v>0</v>
      </c>
      <c r="O259" t="n">
        <v>0</v>
      </c>
      <c r="P259" t="n">
        <v>0</v>
      </c>
      <c r="Q259" t="n">
        <v>0</v>
      </c>
      <c r="R259" s="2" t="inlineStr"/>
    </row>
    <row r="260" ht="15" customHeight="1">
      <c r="A260" t="inlineStr">
        <is>
          <t>A 60465-2023</t>
        </is>
      </c>
      <c r="B260" s="1" t="n">
        <v>45259.57872685185</v>
      </c>
      <c r="C260" s="1" t="n">
        <v>45931</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36038-2024</t>
        </is>
      </c>
      <c r="B261" s="1" t="n">
        <v>45533</v>
      </c>
      <c r="C261" s="1" t="n">
        <v>45931</v>
      </c>
      <c r="D261" t="inlineStr">
        <is>
          <t>DALARNAS LÄN</t>
        </is>
      </c>
      <c r="E261" t="inlineStr">
        <is>
          <t>MORA</t>
        </is>
      </c>
      <c r="G261" t="n">
        <v>5.1</v>
      </c>
      <c r="H261" t="n">
        <v>0</v>
      </c>
      <c r="I261" t="n">
        <v>0</v>
      </c>
      <c r="J261" t="n">
        <v>0</v>
      </c>
      <c r="K261" t="n">
        <v>0</v>
      </c>
      <c r="L261" t="n">
        <v>0</v>
      </c>
      <c r="M261" t="n">
        <v>0</v>
      </c>
      <c r="N261" t="n">
        <v>0</v>
      </c>
      <c r="O261" t="n">
        <v>0</v>
      </c>
      <c r="P261" t="n">
        <v>0</v>
      </c>
      <c r="Q261" t="n">
        <v>0</v>
      </c>
      <c r="R261" s="2" t="inlineStr"/>
    </row>
    <row r="262" ht="15" customHeight="1">
      <c r="A262" t="inlineStr">
        <is>
          <t>A 33676-2023</t>
        </is>
      </c>
      <c r="B262" s="1" t="n">
        <v>45132.6291550926</v>
      </c>
      <c r="C262" s="1" t="n">
        <v>45931</v>
      </c>
      <c r="D262" t="inlineStr">
        <is>
          <t>DALARNAS LÄN</t>
        </is>
      </c>
      <c r="E262" t="inlineStr">
        <is>
          <t>MORA</t>
        </is>
      </c>
      <c r="F262" t="inlineStr">
        <is>
          <t>Bergvik skog öst AB</t>
        </is>
      </c>
      <c r="G262" t="n">
        <v>2.7</v>
      </c>
      <c r="H262" t="n">
        <v>0</v>
      </c>
      <c r="I262" t="n">
        <v>0</v>
      </c>
      <c r="J262" t="n">
        <v>0</v>
      </c>
      <c r="K262" t="n">
        <v>0</v>
      </c>
      <c r="L262" t="n">
        <v>0</v>
      </c>
      <c r="M262" t="n">
        <v>0</v>
      </c>
      <c r="N262" t="n">
        <v>0</v>
      </c>
      <c r="O262" t="n">
        <v>0</v>
      </c>
      <c r="P262" t="n">
        <v>0</v>
      </c>
      <c r="Q262" t="n">
        <v>0</v>
      </c>
      <c r="R262" s="2" t="inlineStr"/>
    </row>
    <row r="263" ht="15" customHeight="1">
      <c r="A263" t="inlineStr">
        <is>
          <t>A 29193-2023</t>
        </is>
      </c>
      <c r="B263" s="1" t="n">
        <v>45105.54791666667</v>
      </c>
      <c r="C263" s="1" t="n">
        <v>45931</v>
      </c>
      <c r="D263" t="inlineStr">
        <is>
          <t>DALARNAS LÄN</t>
        </is>
      </c>
      <c r="E263" t="inlineStr">
        <is>
          <t>MORA</t>
        </is>
      </c>
      <c r="G263" t="n">
        <v>0.4</v>
      </c>
      <c r="H263" t="n">
        <v>0</v>
      </c>
      <c r="I263" t="n">
        <v>0</v>
      </c>
      <c r="J263" t="n">
        <v>0</v>
      </c>
      <c r="K263" t="n">
        <v>0</v>
      </c>
      <c r="L263" t="n">
        <v>0</v>
      </c>
      <c r="M263" t="n">
        <v>0</v>
      </c>
      <c r="N263" t="n">
        <v>0</v>
      </c>
      <c r="O263" t="n">
        <v>0</v>
      </c>
      <c r="P263" t="n">
        <v>0</v>
      </c>
      <c r="Q263" t="n">
        <v>0</v>
      </c>
      <c r="R263" s="2" t="inlineStr"/>
    </row>
    <row r="264" ht="15" customHeight="1">
      <c r="A264" t="inlineStr">
        <is>
          <t>A 27125-2024</t>
        </is>
      </c>
      <c r="B264" s="1" t="n">
        <v>45471</v>
      </c>
      <c r="C264" s="1" t="n">
        <v>45931</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35325-2024</t>
        </is>
      </c>
      <c r="B265" s="1" t="n">
        <v>45530.71158564815</v>
      </c>
      <c r="C265" s="1" t="n">
        <v>45931</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6371-2022</t>
        </is>
      </c>
      <c r="B266" s="1" t="n">
        <v>44600</v>
      </c>
      <c r="C266" s="1" t="n">
        <v>45931</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69519-2020</t>
        </is>
      </c>
      <c r="B267" s="1" t="n">
        <v>44194</v>
      </c>
      <c r="C267" s="1" t="n">
        <v>45931</v>
      </c>
      <c r="D267" t="inlineStr">
        <is>
          <t>DALARNAS LÄN</t>
        </is>
      </c>
      <c r="E267" t="inlineStr">
        <is>
          <t>MORA</t>
        </is>
      </c>
      <c r="G267" t="n">
        <v>0.4</v>
      </c>
      <c r="H267" t="n">
        <v>0</v>
      </c>
      <c r="I267" t="n">
        <v>0</v>
      </c>
      <c r="J267" t="n">
        <v>0</v>
      </c>
      <c r="K267" t="n">
        <v>0</v>
      </c>
      <c r="L267" t="n">
        <v>0</v>
      </c>
      <c r="M267" t="n">
        <v>0</v>
      </c>
      <c r="N267" t="n">
        <v>0</v>
      </c>
      <c r="O267" t="n">
        <v>0</v>
      </c>
      <c r="P267" t="n">
        <v>0</v>
      </c>
      <c r="Q267" t="n">
        <v>0</v>
      </c>
      <c r="R267" s="2" t="inlineStr"/>
    </row>
    <row r="268" ht="15" customHeight="1">
      <c r="A268" t="inlineStr">
        <is>
          <t>A 30194-2024</t>
        </is>
      </c>
      <c r="B268" s="1" t="n">
        <v>45490.33387731481</v>
      </c>
      <c r="C268" s="1" t="n">
        <v>45931</v>
      </c>
      <c r="D268" t="inlineStr">
        <is>
          <t>DALARNAS LÄN</t>
        </is>
      </c>
      <c r="E268" t="inlineStr">
        <is>
          <t>MORA</t>
        </is>
      </c>
      <c r="G268" t="n">
        <v>3.1</v>
      </c>
      <c r="H268" t="n">
        <v>0</v>
      </c>
      <c r="I268" t="n">
        <v>0</v>
      </c>
      <c r="J268" t="n">
        <v>0</v>
      </c>
      <c r="K268" t="n">
        <v>0</v>
      </c>
      <c r="L268" t="n">
        <v>0</v>
      </c>
      <c r="M268" t="n">
        <v>0</v>
      </c>
      <c r="N268" t="n">
        <v>0</v>
      </c>
      <c r="O268" t="n">
        <v>0</v>
      </c>
      <c r="P268" t="n">
        <v>0</v>
      </c>
      <c r="Q268" t="n">
        <v>0</v>
      </c>
      <c r="R268" s="2" t="inlineStr"/>
    </row>
    <row r="269" ht="15" customHeight="1">
      <c r="A269" t="inlineStr">
        <is>
          <t>A 30822-2024</t>
        </is>
      </c>
      <c r="B269" s="1" t="n">
        <v>45497</v>
      </c>
      <c r="C269" s="1" t="n">
        <v>45931</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47143-2022</t>
        </is>
      </c>
      <c r="B270" s="1" t="n">
        <v>44852</v>
      </c>
      <c r="C270" s="1" t="n">
        <v>45931</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64093-2023</t>
        </is>
      </c>
      <c r="B271" s="1" t="n">
        <v>45279</v>
      </c>
      <c r="C271" s="1" t="n">
        <v>45931</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28832-2023</t>
        </is>
      </c>
      <c r="B272" s="1" t="n">
        <v>45104.40493055555</v>
      </c>
      <c r="C272" s="1" t="n">
        <v>45931</v>
      </c>
      <c r="D272" t="inlineStr">
        <is>
          <t>DALARNAS LÄN</t>
        </is>
      </c>
      <c r="E272" t="inlineStr">
        <is>
          <t>MORA</t>
        </is>
      </c>
      <c r="F272" t="inlineStr">
        <is>
          <t>Bergvik skog öst AB</t>
        </is>
      </c>
      <c r="G272" t="n">
        <v>2</v>
      </c>
      <c r="H272" t="n">
        <v>0</v>
      </c>
      <c r="I272" t="n">
        <v>0</v>
      </c>
      <c r="J272" t="n">
        <v>0</v>
      </c>
      <c r="K272" t="n">
        <v>0</v>
      </c>
      <c r="L272" t="n">
        <v>0</v>
      </c>
      <c r="M272" t="n">
        <v>0</v>
      </c>
      <c r="N272" t="n">
        <v>0</v>
      </c>
      <c r="O272" t="n">
        <v>0</v>
      </c>
      <c r="P272" t="n">
        <v>0</v>
      </c>
      <c r="Q272" t="n">
        <v>0</v>
      </c>
      <c r="R272" s="2" t="inlineStr"/>
    </row>
    <row r="273" ht="15" customHeight="1">
      <c r="A273" t="inlineStr">
        <is>
          <t>A 37710-2023</t>
        </is>
      </c>
      <c r="B273" s="1" t="n">
        <v>45159.59186342593</v>
      </c>
      <c r="C273" s="1" t="n">
        <v>45931</v>
      </c>
      <c r="D273" t="inlineStr">
        <is>
          <t>DALARNAS LÄN</t>
        </is>
      </c>
      <c r="E273" t="inlineStr">
        <is>
          <t>MORA</t>
        </is>
      </c>
      <c r="G273" t="n">
        <v>1.9</v>
      </c>
      <c r="H273" t="n">
        <v>0</v>
      </c>
      <c r="I273" t="n">
        <v>0</v>
      </c>
      <c r="J273" t="n">
        <v>0</v>
      </c>
      <c r="K273" t="n">
        <v>0</v>
      </c>
      <c r="L273" t="n">
        <v>0</v>
      </c>
      <c r="M273" t="n">
        <v>0</v>
      </c>
      <c r="N273" t="n">
        <v>0</v>
      </c>
      <c r="O273" t="n">
        <v>0</v>
      </c>
      <c r="P273" t="n">
        <v>0</v>
      </c>
      <c r="Q273" t="n">
        <v>0</v>
      </c>
      <c r="R273" s="2" t="inlineStr"/>
    </row>
    <row r="274" ht="15" customHeight="1">
      <c r="A274" t="inlineStr">
        <is>
          <t>A 3430-2023</t>
        </is>
      </c>
      <c r="B274" s="1" t="n">
        <v>44949.57856481482</v>
      </c>
      <c r="C274" s="1" t="n">
        <v>45931</v>
      </c>
      <c r="D274" t="inlineStr">
        <is>
          <t>DALARNAS LÄN</t>
        </is>
      </c>
      <c r="E274" t="inlineStr">
        <is>
          <t>MORA</t>
        </is>
      </c>
      <c r="G274" t="n">
        <v>2.6</v>
      </c>
      <c r="H274" t="n">
        <v>0</v>
      </c>
      <c r="I274" t="n">
        <v>0</v>
      </c>
      <c r="J274" t="n">
        <v>0</v>
      </c>
      <c r="K274" t="n">
        <v>0</v>
      </c>
      <c r="L274" t="n">
        <v>0</v>
      </c>
      <c r="M274" t="n">
        <v>0</v>
      </c>
      <c r="N274" t="n">
        <v>0</v>
      </c>
      <c r="O274" t="n">
        <v>0</v>
      </c>
      <c r="P274" t="n">
        <v>0</v>
      </c>
      <c r="Q274" t="n">
        <v>0</v>
      </c>
      <c r="R274" s="2" t="inlineStr"/>
    </row>
    <row r="275" ht="15" customHeight="1">
      <c r="A275" t="inlineStr">
        <is>
          <t>A 27188-2023</t>
        </is>
      </c>
      <c r="B275" s="1" t="n">
        <v>45096</v>
      </c>
      <c r="C275" s="1" t="n">
        <v>45931</v>
      </c>
      <c r="D275" t="inlineStr">
        <is>
          <t>DALARNAS LÄN</t>
        </is>
      </c>
      <c r="E275" t="inlineStr">
        <is>
          <t>MORA</t>
        </is>
      </c>
      <c r="G275" t="n">
        <v>4.8</v>
      </c>
      <c r="H275" t="n">
        <v>0</v>
      </c>
      <c r="I275" t="n">
        <v>0</v>
      </c>
      <c r="J275" t="n">
        <v>0</v>
      </c>
      <c r="K275" t="n">
        <v>0</v>
      </c>
      <c r="L275" t="n">
        <v>0</v>
      </c>
      <c r="M275" t="n">
        <v>0</v>
      </c>
      <c r="N275" t="n">
        <v>0</v>
      </c>
      <c r="O275" t="n">
        <v>0</v>
      </c>
      <c r="P275" t="n">
        <v>0</v>
      </c>
      <c r="Q275" t="n">
        <v>0</v>
      </c>
      <c r="R275" s="2" t="inlineStr"/>
    </row>
    <row r="276" ht="15" customHeight="1">
      <c r="A276" t="inlineStr">
        <is>
          <t>A 58177-2024</t>
        </is>
      </c>
      <c r="B276" s="1" t="n">
        <v>45632.46821759259</v>
      </c>
      <c r="C276" s="1" t="n">
        <v>45931</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17172-2025</t>
        </is>
      </c>
      <c r="B277" s="1" t="n">
        <v>45756.37201388889</v>
      </c>
      <c r="C277" s="1" t="n">
        <v>45931</v>
      </c>
      <c r="D277" t="inlineStr">
        <is>
          <t>DALARNAS LÄN</t>
        </is>
      </c>
      <c r="E277" t="inlineStr">
        <is>
          <t>MORA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31395-2024</t>
        </is>
      </c>
      <c r="B278" s="1" t="n">
        <v>45505.47716435185</v>
      </c>
      <c r="C278" s="1" t="n">
        <v>45931</v>
      </c>
      <c r="D278" t="inlineStr">
        <is>
          <t>DALARNAS LÄN</t>
        </is>
      </c>
      <c r="E278" t="inlineStr">
        <is>
          <t>MORA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15993-2025</t>
        </is>
      </c>
      <c r="B279" s="1" t="n">
        <v>45749.58428240741</v>
      </c>
      <c r="C279" s="1" t="n">
        <v>45931</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46525-2025</t>
        </is>
      </c>
      <c r="B280" s="1" t="n">
        <v>45926.3312962963</v>
      </c>
      <c r="C280" s="1" t="n">
        <v>45931</v>
      </c>
      <c r="D280" t="inlineStr">
        <is>
          <t>DALARNAS LÄN</t>
        </is>
      </c>
      <c r="E280" t="inlineStr">
        <is>
          <t>MORA</t>
        </is>
      </c>
      <c r="G280" t="n">
        <v>6.3</v>
      </c>
      <c r="H280" t="n">
        <v>0</v>
      </c>
      <c r="I280" t="n">
        <v>0</v>
      </c>
      <c r="J280" t="n">
        <v>0</v>
      </c>
      <c r="K280" t="n">
        <v>0</v>
      </c>
      <c r="L280" t="n">
        <v>0</v>
      </c>
      <c r="M280" t="n">
        <v>0</v>
      </c>
      <c r="N280" t="n">
        <v>0</v>
      </c>
      <c r="O280" t="n">
        <v>0</v>
      </c>
      <c r="P280" t="n">
        <v>0</v>
      </c>
      <c r="Q280" t="n">
        <v>0</v>
      </c>
      <c r="R280" s="2" t="inlineStr"/>
    </row>
    <row r="281" ht="15" customHeight="1">
      <c r="A281" t="inlineStr">
        <is>
          <t>A 16967-2025</t>
        </is>
      </c>
      <c r="B281" s="1" t="n">
        <v>45755.46106481482</v>
      </c>
      <c r="C281" s="1" t="n">
        <v>45931</v>
      </c>
      <c r="D281" t="inlineStr">
        <is>
          <t>DALARNAS LÄN</t>
        </is>
      </c>
      <c r="E281" t="inlineStr">
        <is>
          <t>MORA</t>
        </is>
      </c>
      <c r="F281" t="inlineStr">
        <is>
          <t>Bergvik skog öst AB</t>
        </is>
      </c>
      <c r="G281" t="n">
        <v>2.9</v>
      </c>
      <c r="H281" t="n">
        <v>0</v>
      </c>
      <c r="I281" t="n">
        <v>0</v>
      </c>
      <c r="J281" t="n">
        <v>0</v>
      </c>
      <c r="K281" t="n">
        <v>0</v>
      </c>
      <c r="L281" t="n">
        <v>0</v>
      </c>
      <c r="M281" t="n">
        <v>0</v>
      </c>
      <c r="N281" t="n">
        <v>0</v>
      </c>
      <c r="O281" t="n">
        <v>0</v>
      </c>
      <c r="P281" t="n">
        <v>0</v>
      </c>
      <c r="Q281" t="n">
        <v>0</v>
      </c>
      <c r="R281" s="2" t="inlineStr"/>
    </row>
    <row r="282" ht="15" customHeight="1">
      <c r="A282" t="inlineStr">
        <is>
          <t>A 14832-2025</t>
        </is>
      </c>
      <c r="B282" s="1" t="n">
        <v>45743</v>
      </c>
      <c r="C282" s="1" t="n">
        <v>45931</v>
      </c>
      <c r="D282" t="inlineStr">
        <is>
          <t>DALARNAS LÄN</t>
        </is>
      </c>
      <c r="E282" t="inlineStr">
        <is>
          <t>MORA</t>
        </is>
      </c>
      <c r="G282" t="n">
        <v>9.1</v>
      </c>
      <c r="H282" t="n">
        <v>0</v>
      </c>
      <c r="I282" t="n">
        <v>0</v>
      </c>
      <c r="J282" t="n">
        <v>0</v>
      </c>
      <c r="K282" t="n">
        <v>0</v>
      </c>
      <c r="L282" t="n">
        <v>0</v>
      </c>
      <c r="M282" t="n">
        <v>0</v>
      </c>
      <c r="N282" t="n">
        <v>0</v>
      </c>
      <c r="O282" t="n">
        <v>0</v>
      </c>
      <c r="P282" t="n">
        <v>0</v>
      </c>
      <c r="Q282" t="n">
        <v>0</v>
      </c>
      <c r="R282" s="2" t="inlineStr"/>
    </row>
    <row r="283" ht="15" customHeight="1">
      <c r="A283" t="inlineStr">
        <is>
          <t>A 15443-2025</t>
        </is>
      </c>
      <c r="B283" s="1" t="n">
        <v>45747.48371527778</v>
      </c>
      <c r="C283" s="1" t="n">
        <v>45931</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45574-2023</t>
        </is>
      </c>
      <c r="B284" s="1" t="n">
        <v>45194</v>
      </c>
      <c r="C284" s="1" t="n">
        <v>45931</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38055-2024</t>
        </is>
      </c>
      <c r="B285" s="1" t="n">
        <v>45544</v>
      </c>
      <c r="C285" s="1" t="n">
        <v>45931</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34282-2024</t>
        </is>
      </c>
      <c r="B286" s="1" t="n">
        <v>45524.62600694445</v>
      </c>
      <c r="C286" s="1" t="n">
        <v>45931</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5922-2025</t>
        </is>
      </c>
      <c r="B287" s="1" t="n">
        <v>45695.42762731481</v>
      </c>
      <c r="C287" s="1" t="n">
        <v>45931</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19910-2024</t>
        </is>
      </c>
      <c r="B288" s="1" t="n">
        <v>45433.5741087963</v>
      </c>
      <c r="C288" s="1" t="n">
        <v>45931</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35327-2024</t>
        </is>
      </c>
      <c r="B289" s="1" t="n">
        <v>45530.71334490741</v>
      </c>
      <c r="C289" s="1" t="n">
        <v>45931</v>
      </c>
      <c r="D289" t="inlineStr">
        <is>
          <t>DALARNAS LÄN</t>
        </is>
      </c>
      <c r="E289" t="inlineStr">
        <is>
          <t>MORA</t>
        </is>
      </c>
      <c r="G289" t="n">
        <v>5</v>
      </c>
      <c r="H289" t="n">
        <v>0</v>
      </c>
      <c r="I289" t="n">
        <v>0</v>
      </c>
      <c r="J289" t="n">
        <v>0</v>
      </c>
      <c r="K289" t="n">
        <v>0</v>
      </c>
      <c r="L289" t="n">
        <v>0</v>
      </c>
      <c r="M289" t="n">
        <v>0</v>
      </c>
      <c r="N289" t="n">
        <v>0</v>
      </c>
      <c r="O289" t="n">
        <v>0</v>
      </c>
      <c r="P289" t="n">
        <v>0</v>
      </c>
      <c r="Q289" t="n">
        <v>0</v>
      </c>
      <c r="R289" s="2" t="inlineStr"/>
    </row>
    <row r="290" ht="15" customHeight="1">
      <c r="A290" t="inlineStr">
        <is>
          <t>A 5486-2023</t>
        </is>
      </c>
      <c r="B290" s="1" t="n">
        <v>44957</v>
      </c>
      <c r="C290" s="1" t="n">
        <v>45931</v>
      </c>
      <c r="D290" t="inlineStr">
        <is>
          <t>DALARNAS LÄN</t>
        </is>
      </c>
      <c r="E290" t="inlineStr">
        <is>
          <t>MORA</t>
        </is>
      </c>
      <c r="G290" t="n">
        <v>3.2</v>
      </c>
      <c r="H290" t="n">
        <v>0</v>
      </c>
      <c r="I290" t="n">
        <v>0</v>
      </c>
      <c r="J290" t="n">
        <v>0</v>
      </c>
      <c r="K290" t="n">
        <v>0</v>
      </c>
      <c r="L290" t="n">
        <v>0</v>
      </c>
      <c r="M290" t="n">
        <v>0</v>
      </c>
      <c r="N290" t="n">
        <v>0</v>
      </c>
      <c r="O290" t="n">
        <v>0</v>
      </c>
      <c r="P290" t="n">
        <v>0</v>
      </c>
      <c r="Q290" t="n">
        <v>0</v>
      </c>
      <c r="R290" s="2" t="inlineStr"/>
    </row>
    <row r="291" ht="15" customHeight="1">
      <c r="A291" t="inlineStr">
        <is>
          <t>A 20126-2025</t>
        </is>
      </c>
      <c r="B291" s="1" t="n">
        <v>45772.49640046297</v>
      </c>
      <c r="C291" s="1" t="n">
        <v>45931</v>
      </c>
      <c r="D291" t="inlineStr">
        <is>
          <t>DALARNAS LÄN</t>
        </is>
      </c>
      <c r="E291" t="inlineStr">
        <is>
          <t>MORA</t>
        </is>
      </c>
      <c r="G291" t="n">
        <v>12.1</v>
      </c>
      <c r="H291" t="n">
        <v>0</v>
      </c>
      <c r="I291" t="n">
        <v>0</v>
      </c>
      <c r="J291" t="n">
        <v>0</v>
      </c>
      <c r="K291" t="n">
        <v>0</v>
      </c>
      <c r="L291" t="n">
        <v>0</v>
      </c>
      <c r="M291" t="n">
        <v>0</v>
      </c>
      <c r="N291" t="n">
        <v>0</v>
      </c>
      <c r="O291" t="n">
        <v>0</v>
      </c>
      <c r="P291" t="n">
        <v>0</v>
      </c>
      <c r="Q291" t="n">
        <v>0</v>
      </c>
      <c r="R291" s="2" t="inlineStr"/>
    </row>
    <row r="292" ht="15" customHeight="1">
      <c r="A292" t="inlineStr">
        <is>
          <t>A 15643-2025</t>
        </is>
      </c>
      <c r="B292" s="1" t="n">
        <v>45748.39222222222</v>
      </c>
      <c r="C292" s="1" t="n">
        <v>45931</v>
      </c>
      <c r="D292" t="inlineStr">
        <is>
          <t>DALARNAS LÄN</t>
        </is>
      </c>
      <c r="E292" t="inlineStr">
        <is>
          <t>MORA</t>
        </is>
      </c>
      <c r="G292" t="n">
        <v>7.6</v>
      </c>
      <c r="H292" t="n">
        <v>0</v>
      </c>
      <c r="I292" t="n">
        <v>0</v>
      </c>
      <c r="J292" t="n">
        <v>0</v>
      </c>
      <c r="K292" t="n">
        <v>0</v>
      </c>
      <c r="L292" t="n">
        <v>0</v>
      </c>
      <c r="M292" t="n">
        <v>0</v>
      </c>
      <c r="N292" t="n">
        <v>0</v>
      </c>
      <c r="O292" t="n">
        <v>0</v>
      </c>
      <c r="P292" t="n">
        <v>0</v>
      </c>
      <c r="Q292" t="n">
        <v>0</v>
      </c>
      <c r="R292" s="2" t="inlineStr"/>
    </row>
    <row r="293" ht="15" customHeight="1">
      <c r="A293" t="inlineStr">
        <is>
          <t>A 36058-2024</t>
        </is>
      </c>
      <c r="B293" s="1" t="n">
        <v>45533</v>
      </c>
      <c r="C293" s="1" t="n">
        <v>45931</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46129-2024</t>
        </is>
      </c>
      <c r="B294" s="1" t="n">
        <v>45581.43337962963</v>
      </c>
      <c r="C294" s="1" t="n">
        <v>45931</v>
      </c>
      <c r="D294" t="inlineStr">
        <is>
          <t>DALARNAS LÄN</t>
        </is>
      </c>
      <c r="E294" t="inlineStr">
        <is>
          <t>MORA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28934-2023</t>
        </is>
      </c>
      <c r="B295" s="1" t="n">
        <v>45104</v>
      </c>
      <c r="C295" s="1" t="n">
        <v>45931</v>
      </c>
      <c r="D295" t="inlineStr">
        <is>
          <t>DALARNAS LÄN</t>
        </is>
      </c>
      <c r="E295" t="inlineStr">
        <is>
          <t>MORA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31929-2024</t>
        </is>
      </c>
      <c r="B296" s="1" t="n">
        <v>45510.40587962963</v>
      </c>
      <c r="C296" s="1" t="n">
        <v>45931</v>
      </c>
      <c r="D296" t="inlineStr">
        <is>
          <t>DALARNAS LÄN</t>
        </is>
      </c>
      <c r="E296" t="inlineStr">
        <is>
          <t>MORA</t>
        </is>
      </c>
      <c r="G296" t="n">
        <v>10.8</v>
      </c>
      <c r="H296" t="n">
        <v>0</v>
      </c>
      <c r="I296" t="n">
        <v>0</v>
      </c>
      <c r="J296" t="n">
        <v>0</v>
      </c>
      <c r="K296" t="n">
        <v>0</v>
      </c>
      <c r="L296" t="n">
        <v>0</v>
      </c>
      <c r="M296" t="n">
        <v>0</v>
      </c>
      <c r="N296" t="n">
        <v>0</v>
      </c>
      <c r="O296" t="n">
        <v>0</v>
      </c>
      <c r="P296" t="n">
        <v>0</v>
      </c>
      <c r="Q296" t="n">
        <v>0</v>
      </c>
      <c r="R296" s="2" t="inlineStr"/>
    </row>
    <row r="297" ht="15" customHeight="1">
      <c r="A297" t="inlineStr">
        <is>
          <t>A 52525-2022</t>
        </is>
      </c>
      <c r="B297" s="1" t="n">
        <v>44874</v>
      </c>
      <c r="C297" s="1" t="n">
        <v>45931</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46283-2025</t>
        </is>
      </c>
      <c r="B298" s="1" t="n">
        <v>45925.38109953704</v>
      </c>
      <c r="C298" s="1" t="n">
        <v>45931</v>
      </c>
      <c r="D298" t="inlineStr">
        <is>
          <t>DALARNAS LÄN</t>
        </is>
      </c>
      <c r="E298" t="inlineStr">
        <is>
          <t>MORA</t>
        </is>
      </c>
      <c r="G298" t="n">
        <v>0.5</v>
      </c>
      <c r="H298" t="n">
        <v>0</v>
      </c>
      <c r="I298" t="n">
        <v>0</v>
      </c>
      <c r="J298" t="n">
        <v>0</v>
      </c>
      <c r="K298" t="n">
        <v>0</v>
      </c>
      <c r="L298" t="n">
        <v>0</v>
      </c>
      <c r="M298" t="n">
        <v>0</v>
      </c>
      <c r="N298" t="n">
        <v>0</v>
      </c>
      <c r="O298" t="n">
        <v>0</v>
      </c>
      <c r="P298" t="n">
        <v>0</v>
      </c>
      <c r="Q298" t="n">
        <v>0</v>
      </c>
      <c r="R298" s="2" t="inlineStr"/>
    </row>
    <row r="299" ht="15" customHeight="1">
      <c r="A299" t="inlineStr">
        <is>
          <t>A 36600-2023</t>
        </is>
      </c>
      <c r="B299" s="1" t="n">
        <v>45153</v>
      </c>
      <c r="C299" s="1" t="n">
        <v>45931</v>
      </c>
      <c r="D299" t="inlineStr">
        <is>
          <t>DALARNAS LÄN</t>
        </is>
      </c>
      <c r="E299" t="inlineStr">
        <is>
          <t>MORA</t>
        </is>
      </c>
      <c r="G299" t="n">
        <v>7.3</v>
      </c>
      <c r="H299" t="n">
        <v>0</v>
      </c>
      <c r="I299" t="n">
        <v>0</v>
      </c>
      <c r="J299" t="n">
        <v>0</v>
      </c>
      <c r="K299" t="n">
        <v>0</v>
      </c>
      <c r="L299" t="n">
        <v>0</v>
      </c>
      <c r="M299" t="n">
        <v>0</v>
      </c>
      <c r="N299" t="n">
        <v>0</v>
      </c>
      <c r="O299" t="n">
        <v>0</v>
      </c>
      <c r="P299" t="n">
        <v>0</v>
      </c>
      <c r="Q299" t="n">
        <v>0</v>
      </c>
      <c r="R299" s="2" t="inlineStr"/>
    </row>
    <row r="300" ht="15" customHeight="1">
      <c r="A300" t="inlineStr">
        <is>
          <t>A 42943-2024</t>
        </is>
      </c>
      <c r="B300" s="1" t="n">
        <v>45567.35359953704</v>
      </c>
      <c r="C300" s="1" t="n">
        <v>45931</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4489-2022</t>
        </is>
      </c>
      <c r="B301" s="1" t="n">
        <v>44589</v>
      </c>
      <c r="C301" s="1" t="n">
        <v>45931</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41169-2023</t>
        </is>
      </c>
      <c r="B302" s="1" t="n">
        <v>45174.34662037037</v>
      </c>
      <c r="C302" s="1" t="n">
        <v>45931</v>
      </c>
      <c r="D302" t="inlineStr">
        <is>
          <t>DALARNAS LÄN</t>
        </is>
      </c>
      <c r="E302" t="inlineStr">
        <is>
          <t>MORA</t>
        </is>
      </c>
      <c r="G302" t="n">
        <v>3</v>
      </c>
      <c r="H302" t="n">
        <v>0</v>
      </c>
      <c r="I302" t="n">
        <v>0</v>
      </c>
      <c r="J302" t="n">
        <v>0</v>
      </c>
      <c r="K302" t="n">
        <v>0</v>
      </c>
      <c r="L302" t="n">
        <v>0</v>
      </c>
      <c r="M302" t="n">
        <v>0</v>
      </c>
      <c r="N302" t="n">
        <v>0</v>
      </c>
      <c r="O302" t="n">
        <v>0</v>
      </c>
      <c r="P302" t="n">
        <v>0</v>
      </c>
      <c r="Q302" t="n">
        <v>0</v>
      </c>
      <c r="R302" s="2" t="inlineStr"/>
    </row>
    <row r="303" ht="15" customHeight="1">
      <c r="A303" t="inlineStr">
        <is>
          <t>A 5418-2025</t>
        </is>
      </c>
      <c r="B303" s="1" t="n">
        <v>45692.68561342593</v>
      </c>
      <c r="C303" s="1" t="n">
        <v>45931</v>
      </c>
      <c r="D303" t="inlineStr">
        <is>
          <t>DALARNAS LÄN</t>
        </is>
      </c>
      <c r="E303" t="inlineStr">
        <is>
          <t>MORA</t>
        </is>
      </c>
      <c r="G303" t="n">
        <v>0.9</v>
      </c>
      <c r="H303" t="n">
        <v>0</v>
      </c>
      <c r="I303" t="n">
        <v>0</v>
      </c>
      <c r="J303" t="n">
        <v>0</v>
      </c>
      <c r="K303" t="n">
        <v>0</v>
      </c>
      <c r="L303" t="n">
        <v>0</v>
      </c>
      <c r="M303" t="n">
        <v>0</v>
      </c>
      <c r="N303" t="n">
        <v>0</v>
      </c>
      <c r="O303" t="n">
        <v>0</v>
      </c>
      <c r="P303" t="n">
        <v>0</v>
      </c>
      <c r="Q303" t="n">
        <v>0</v>
      </c>
      <c r="R303" s="2" t="inlineStr"/>
    </row>
    <row r="304" ht="15" customHeight="1">
      <c r="A304" t="inlineStr">
        <is>
          <t>A 19842-2025</t>
        </is>
      </c>
      <c r="B304" s="1" t="n">
        <v>45771.47938657407</v>
      </c>
      <c r="C304" s="1" t="n">
        <v>45931</v>
      </c>
      <c r="D304" t="inlineStr">
        <is>
          <t>DALARNAS LÄN</t>
        </is>
      </c>
      <c r="E304" t="inlineStr">
        <is>
          <t>MORA</t>
        </is>
      </c>
      <c r="G304" t="n">
        <v>1.9</v>
      </c>
      <c r="H304" t="n">
        <v>0</v>
      </c>
      <c r="I304" t="n">
        <v>0</v>
      </c>
      <c r="J304" t="n">
        <v>0</v>
      </c>
      <c r="K304" t="n">
        <v>0</v>
      </c>
      <c r="L304" t="n">
        <v>0</v>
      </c>
      <c r="M304" t="n">
        <v>0</v>
      </c>
      <c r="N304" t="n">
        <v>0</v>
      </c>
      <c r="O304" t="n">
        <v>0</v>
      </c>
      <c r="P304" t="n">
        <v>0</v>
      </c>
      <c r="Q304" t="n">
        <v>0</v>
      </c>
      <c r="R304" s="2" t="inlineStr"/>
    </row>
    <row r="305" ht="15" customHeight="1">
      <c r="A305" t="inlineStr">
        <is>
          <t>A 18134-2025</t>
        </is>
      </c>
      <c r="B305" s="1" t="n">
        <v>45761.60189814815</v>
      </c>
      <c r="C305" s="1" t="n">
        <v>45931</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61249-2023</t>
        </is>
      </c>
      <c r="B306" s="1" t="n">
        <v>45264</v>
      </c>
      <c r="C306" s="1" t="n">
        <v>45931</v>
      </c>
      <c r="D306" t="inlineStr">
        <is>
          <t>DALARNAS LÄN</t>
        </is>
      </c>
      <c r="E306" t="inlineStr">
        <is>
          <t>MORA</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45931</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56460-2022</t>
        </is>
      </c>
      <c r="B308" s="1" t="n">
        <v>44893</v>
      </c>
      <c r="C308" s="1" t="n">
        <v>45931</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57110-2021</t>
        </is>
      </c>
      <c r="B309" s="1" t="n">
        <v>44482</v>
      </c>
      <c r="C309" s="1" t="n">
        <v>45931</v>
      </c>
      <c r="D309" t="inlineStr">
        <is>
          <t>DALARNAS LÄN</t>
        </is>
      </c>
      <c r="E309" t="inlineStr">
        <is>
          <t>MORA</t>
        </is>
      </c>
      <c r="G309" t="n">
        <v>5.4</v>
      </c>
      <c r="H309" t="n">
        <v>0</v>
      </c>
      <c r="I309" t="n">
        <v>0</v>
      </c>
      <c r="J309" t="n">
        <v>0</v>
      </c>
      <c r="K309" t="n">
        <v>0</v>
      </c>
      <c r="L309" t="n">
        <v>0</v>
      </c>
      <c r="M309" t="n">
        <v>0</v>
      </c>
      <c r="N309" t="n">
        <v>0</v>
      </c>
      <c r="O309" t="n">
        <v>0</v>
      </c>
      <c r="P309" t="n">
        <v>0</v>
      </c>
      <c r="Q309" t="n">
        <v>0</v>
      </c>
      <c r="R309" s="2" t="inlineStr"/>
    </row>
    <row r="310" ht="15" customHeight="1">
      <c r="A310" t="inlineStr">
        <is>
          <t>A 48522-2024</t>
        </is>
      </c>
      <c r="B310" s="1" t="n">
        <v>45593.32924768519</v>
      </c>
      <c r="C310" s="1" t="n">
        <v>45931</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16733-2024</t>
        </is>
      </c>
      <c r="B311" s="1" t="n">
        <v>45410.78502314815</v>
      </c>
      <c r="C311" s="1" t="n">
        <v>45931</v>
      </c>
      <c r="D311" t="inlineStr">
        <is>
          <t>DALARNAS LÄN</t>
        </is>
      </c>
      <c r="E311" t="inlineStr">
        <is>
          <t>MORA</t>
        </is>
      </c>
      <c r="G311" t="n">
        <v>6.3</v>
      </c>
      <c r="H311" t="n">
        <v>0</v>
      </c>
      <c r="I311" t="n">
        <v>0</v>
      </c>
      <c r="J311" t="n">
        <v>0</v>
      </c>
      <c r="K311" t="n">
        <v>0</v>
      </c>
      <c r="L311" t="n">
        <v>0</v>
      </c>
      <c r="M311" t="n">
        <v>0</v>
      </c>
      <c r="N311" t="n">
        <v>0</v>
      </c>
      <c r="O311" t="n">
        <v>0</v>
      </c>
      <c r="P311" t="n">
        <v>0</v>
      </c>
      <c r="Q311" t="n">
        <v>0</v>
      </c>
      <c r="R311" s="2" t="inlineStr"/>
    </row>
    <row r="312" ht="15" customHeight="1">
      <c r="A312" t="inlineStr">
        <is>
          <t>A 53159-2024</t>
        </is>
      </c>
      <c r="B312" s="1" t="n">
        <v>45611.63849537037</v>
      </c>
      <c r="C312" s="1" t="n">
        <v>45931</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68415-2021</t>
        </is>
      </c>
      <c r="B313" s="1" t="n">
        <v>44529</v>
      </c>
      <c r="C313" s="1" t="n">
        <v>45931</v>
      </c>
      <c r="D313" t="inlineStr">
        <is>
          <t>DALARNAS LÄN</t>
        </is>
      </c>
      <c r="E313" t="inlineStr">
        <is>
          <t>MORA</t>
        </is>
      </c>
      <c r="G313" t="n">
        <v>1.2</v>
      </c>
      <c r="H313" t="n">
        <v>0</v>
      </c>
      <c r="I313" t="n">
        <v>0</v>
      </c>
      <c r="J313" t="n">
        <v>0</v>
      </c>
      <c r="K313" t="n">
        <v>0</v>
      </c>
      <c r="L313" t="n">
        <v>0</v>
      </c>
      <c r="M313" t="n">
        <v>0</v>
      </c>
      <c r="N313" t="n">
        <v>0</v>
      </c>
      <c r="O313" t="n">
        <v>0</v>
      </c>
      <c r="P313" t="n">
        <v>0</v>
      </c>
      <c r="Q313" t="n">
        <v>0</v>
      </c>
      <c r="R313" s="2" t="inlineStr"/>
    </row>
    <row r="314" ht="15" customHeight="1">
      <c r="A314" t="inlineStr">
        <is>
          <t>A 39882-2024</t>
        </is>
      </c>
      <c r="B314" s="1" t="n">
        <v>45553</v>
      </c>
      <c r="C314" s="1" t="n">
        <v>45931</v>
      </c>
      <c r="D314" t="inlineStr">
        <is>
          <t>DALARNAS LÄN</t>
        </is>
      </c>
      <c r="E314" t="inlineStr">
        <is>
          <t>MORA</t>
        </is>
      </c>
      <c r="G314" t="n">
        <v>14.6</v>
      </c>
      <c r="H314" t="n">
        <v>0</v>
      </c>
      <c r="I314" t="n">
        <v>0</v>
      </c>
      <c r="J314" t="n">
        <v>0</v>
      </c>
      <c r="K314" t="n">
        <v>0</v>
      </c>
      <c r="L314" t="n">
        <v>0</v>
      </c>
      <c r="M314" t="n">
        <v>0</v>
      </c>
      <c r="N314" t="n">
        <v>0</v>
      </c>
      <c r="O314" t="n">
        <v>0</v>
      </c>
      <c r="P314" t="n">
        <v>0</v>
      </c>
      <c r="Q314" t="n">
        <v>0</v>
      </c>
      <c r="R314" s="2" t="inlineStr"/>
    </row>
    <row r="315" ht="15" customHeight="1">
      <c r="A315" t="inlineStr">
        <is>
          <t>A 60187-2024</t>
        </is>
      </c>
      <c r="B315" s="1" t="n">
        <v>45642.64803240741</v>
      </c>
      <c r="C315" s="1" t="n">
        <v>45931</v>
      </c>
      <c r="D315" t="inlineStr">
        <is>
          <t>DALARNAS LÄN</t>
        </is>
      </c>
      <c r="E315" t="inlineStr">
        <is>
          <t>MORA</t>
        </is>
      </c>
      <c r="F315" t="inlineStr">
        <is>
          <t>Allmännings- och besparingsskogar</t>
        </is>
      </c>
      <c r="G315" t="n">
        <v>24.6</v>
      </c>
      <c r="H315" t="n">
        <v>0</v>
      </c>
      <c r="I315" t="n">
        <v>0</v>
      </c>
      <c r="J315" t="n">
        <v>0</v>
      </c>
      <c r="K315" t="n">
        <v>0</v>
      </c>
      <c r="L315" t="n">
        <v>0</v>
      </c>
      <c r="M315" t="n">
        <v>0</v>
      </c>
      <c r="N315" t="n">
        <v>0</v>
      </c>
      <c r="O315" t="n">
        <v>0</v>
      </c>
      <c r="P315" t="n">
        <v>0</v>
      </c>
      <c r="Q315" t="n">
        <v>0</v>
      </c>
      <c r="R315" s="2" t="inlineStr"/>
    </row>
    <row r="316" ht="15" customHeight="1">
      <c r="A316" t="inlineStr">
        <is>
          <t>A 39897-2022</t>
        </is>
      </c>
      <c r="B316" s="1" t="n">
        <v>44819.66083333334</v>
      </c>
      <c r="C316" s="1" t="n">
        <v>45931</v>
      </c>
      <c r="D316" t="inlineStr">
        <is>
          <t>DALARNAS LÄN</t>
        </is>
      </c>
      <c r="E316" t="inlineStr">
        <is>
          <t>MORA</t>
        </is>
      </c>
      <c r="G316" t="n">
        <v>15.8</v>
      </c>
      <c r="H316" t="n">
        <v>0</v>
      </c>
      <c r="I316" t="n">
        <v>0</v>
      </c>
      <c r="J316" t="n">
        <v>0</v>
      </c>
      <c r="K316" t="n">
        <v>0</v>
      </c>
      <c r="L316" t="n">
        <v>0</v>
      </c>
      <c r="M316" t="n">
        <v>0</v>
      </c>
      <c r="N316" t="n">
        <v>0</v>
      </c>
      <c r="O316" t="n">
        <v>0</v>
      </c>
      <c r="P316" t="n">
        <v>0</v>
      </c>
      <c r="Q316" t="n">
        <v>0</v>
      </c>
      <c r="R316" s="2" t="inlineStr"/>
    </row>
    <row r="317" ht="15" customHeight="1">
      <c r="A317" t="inlineStr">
        <is>
          <t>A 15435-2024</t>
        </is>
      </c>
      <c r="B317" s="1" t="n">
        <v>45401.40806712963</v>
      </c>
      <c r="C317" s="1" t="n">
        <v>45931</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51965-2024</t>
        </is>
      </c>
      <c r="B318" s="1" t="n">
        <v>45607.65123842593</v>
      </c>
      <c r="C318" s="1" t="n">
        <v>45931</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47414-2025</t>
        </is>
      </c>
      <c r="B319" s="1" t="n">
        <v>45930.61896990741</v>
      </c>
      <c r="C319" s="1" t="n">
        <v>45931</v>
      </c>
      <c r="D319" t="inlineStr">
        <is>
          <t>DALARNAS LÄN</t>
        </is>
      </c>
      <c r="E319" t="inlineStr">
        <is>
          <t>MORA</t>
        </is>
      </c>
      <c r="G319" t="n">
        <v>6.1</v>
      </c>
      <c r="H319" t="n">
        <v>0</v>
      </c>
      <c r="I319" t="n">
        <v>0</v>
      </c>
      <c r="J319" t="n">
        <v>0</v>
      </c>
      <c r="K319" t="n">
        <v>0</v>
      </c>
      <c r="L319" t="n">
        <v>0</v>
      </c>
      <c r="M319" t="n">
        <v>0</v>
      </c>
      <c r="N319" t="n">
        <v>0</v>
      </c>
      <c r="O319" t="n">
        <v>0</v>
      </c>
      <c r="P319" t="n">
        <v>0</v>
      </c>
      <c r="Q319" t="n">
        <v>0</v>
      </c>
      <c r="R319" s="2" t="inlineStr"/>
    </row>
    <row r="320" ht="15" customHeight="1">
      <c r="A320" t="inlineStr">
        <is>
          <t>A 47055-2025</t>
        </is>
      </c>
      <c r="B320" s="1" t="n">
        <v>45929.61931712963</v>
      </c>
      <c r="C320" s="1" t="n">
        <v>45931</v>
      </c>
      <c r="D320" t="inlineStr">
        <is>
          <t>DALARNAS LÄN</t>
        </is>
      </c>
      <c r="E320" t="inlineStr">
        <is>
          <t>MORA</t>
        </is>
      </c>
      <c r="G320" t="n">
        <v>28.1</v>
      </c>
      <c r="H320" t="n">
        <v>0</v>
      </c>
      <c r="I320" t="n">
        <v>0</v>
      </c>
      <c r="J320" t="n">
        <v>0</v>
      </c>
      <c r="K320" t="n">
        <v>0</v>
      </c>
      <c r="L320" t="n">
        <v>0</v>
      </c>
      <c r="M320" t="n">
        <v>0</v>
      </c>
      <c r="N320" t="n">
        <v>0</v>
      </c>
      <c r="O320" t="n">
        <v>0</v>
      </c>
      <c r="P320" t="n">
        <v>0</v>
      </c>
      <c r="Q320" t="n">
        <v>0</v>
      </c>
      <c r="R320" s="2" t="inlineStr"/>
    </row>
    <row r="321" ht="15" customHeight="1">
      <c r="A321" t="inlineStr">
        <is>
          <t>A 47072-2025</t>
        </is>
      </c>
      <c r="B321" s="1" t="n">
        <v>45929.6365162037</v>
      </c>
      <c r="C321" s="1" t="n">
        <v>45931</v>
      </c>
      <c r="D321" t="inlineStr">
        <is>
          <t>DALARNAS LÄN</t>
        </is>
      </c>
      <c r="E321" t="inlineStr">
        <is>
          <t>MORA</t>
        </is>
      </c>
      <c r="G321" t="n">
        <v>3.4</v>
      </c>
      <c r="H321" t="n">
        <v>0</v>
      </c>
      <c r="I321" t="n">
        <v>0</v>
      </c>
      <c r="J321" t="n">
        <v>0</v>
      </c>
      <c r="K321" t="n">
        <v>0</v>
      </c>
      <c r="L321" t="n">
        <v>0</v>
      </c>
      <c r="M321" t="n">
        <v>0</v>
      </c>
      <c r="N321" t="n">
        <v>0</v>
      </c>
      <c r="O321" t="n">
        <v>0</v>
      </c>
      <c r="P321" t="n">
        <v>0</v>
      </c>
      <c r="Q321" t="n">
        <v>0</v>
      </c>
      <c r="R321" s="2" t="inlineStr"/>
    </row>
    <row r="322" ht="15" customHeight="1">
      <c r="A322" t="inlineStr">
        <is>
          <t>A 21890-2025</t>
        </is>
      </c>
      <c r="B322" s="1" t="n">
        <v>45784.44481481481</v>
      </c>
      <c r="C322" s="1" t="n">
        <v>45931</v>
      </c>
      <c r="D322" t="inlineStr">
        <is>
          <t>DALARNAS LÄN</t>
        </is>
      </c>
      <c r="E322" t="inlineStr">
        <is>
          <t>MORA</t>
        </is>
      </c>
      <c r="G322" t="n">
        <v>3.8</v>
      </c>
      <c r="H322" t="n">
        <v>0</v>
      </c>
      <c r="I322" t="n">
        <v>0</v>
      </c>
      <c r="J322" t="n">
        <v>0</v>
      </c>
      <c r="K322" t="n">
        <v>0</v>
      </c>
      <c r="L322" t="n">
        <v>0</v>
      </c>
      <c r="M322" t="n">
        <v>0</v>
      </c>
      <c r="N322" t="n">
        <v>0</v>
      </c>
      <c r="O322" t="n">
        <v>0</v>
      </c>
      <c r="P322" t="n">
        <v>0</v>
      </c>
      <c r="Q322" t="n">
        <v>0</v>
      </c>
      <c r="R322" s="2" t="inlineStr"/>
    </row>
    <row r="323" ht="15" customHeight="1">
      <c r="A323" t="inlineStr">
        <is>
          <t>A 21895-2025</t>
        </is>
      </c>
      <c r="B323" s="1" t="n">
        <v>45784.45273148148</v>
      </c>
      <c r="C323" s="1" t="n">
        <v>45931</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21894-2025</t>
        </is>
      </c>
      <c r="B324" s="1" t="n">
        <v>45784.45060185185</v>
      </c>
      <c r="C324" s="1" t="n">
        <v>45931</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42391-2023</t>
        </is>
      </c>
      <c r="B325" s="1" t="n">
        <v>45180</v>
      </c>
      <c r="C325" s="1" t="n">
        <v>45931</v>
      </c>
      <c r="D325" t="inlineStr">
        <is>
          <t>DALARNAS LÄN</t>
        </is>
      </c>
      <c r="E325" t="inlineStr">
        <is>
          <t>MORA</t>
        </is>
      </c>
      <c r="F325" t="inlineStr">
        <is>
          <t>Kommuner</t>
        </is>
      </c>
      <c r="G325" t="n">
        <v>0.3</v>
      </c>
      <c r="H325" t="n">
        <v>0</v>
      </c>
      <c r="I325" t="n">
        <v>0</v>
      </c>
      <c r="J325" t="n">
        <v>0</v>
      </c>
      <c r="K325" t="n">
        <v>0</v>
      </c>
      <c r="L325" t="n">
        <v>0</v>
      </c>
      <c r="M325" t="n">
        <v>0</v>
      </c>
      <c r="N325" t="n">
        <v>0</v>
      </c>
      <c r="O325" t="n">
        <v>0</v>
      </c>
      <c r="P325" t="n">
        <v>0</v>
      </c>
      <c r="Q325" t="n">
        <v>0</v>
      </c>
      <c r="R325" s="2" t="inlineStr"/>
    </row>
    <row r="326" ht="15" customHeight="1">
      <c r="A326" t="inlineStr">
        <is>
          <t>A 23302-2024</t>
        </is>
      </c>
      <c r="B326" s="1" t="n">
        <v>45453.44091435185</v>
      </c>
      <c r="C326" s="1" t="n">
        <v>45931</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30985-2024</t>
        </is>
      </c>
      <c r="B327" s="1" t="n">
        <v>45499.51721064815</v>
      </c>
      <c r="C327" s="1" t="n">
        <v>45931</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21877-2025</t>
        </is>
      </c>
      <c r="B328" s="1" t="n">
        <v>45784.40041666666</v>
      </c>
      <c r="C328" s="1" t="n">
        <v>45931</v>
      </c>
      <c r="D328" t="inlineStr">
        <is>
          <t>DALARNAS LÄN</t>
        </is>
      </c>
      <c r="E328" t="inlineStr">
        <is>
          <t>MORA</t>
        </is>
      </c>
      <c r="G328" t="n">
        <v>5.9</v>
      </c>
      <c r="H328" t="n">
        <v>0</v>
      </c>
      <c r="I328" t="n">
        <v>0</v>
      </c>
      <c r="J328" t="n">
        <v>0</v>
      </c>
      <c r="K328" t="n">
        <v>0</v>
      </c>
      <c r="L328" t="n">
        <v>0</v>
      </c>
      <c r="M328" t="n">
        <v>0</v>
      </c>
      <c r="N328" t="n">
        <v>0</v>
      </c>
      <c r="O328" t="n">
        <v>0</v>
      </c>
      <c r="P328" t="n">
        <v>0</v>
      </c>
      <c r="Q328" t="n">
        <v>0</v>
      </c>
      <c r="R328" s="2" t="inlineStr"/>
    </row>
    <row r="329" ht="15" customHeight="1">
      <c r="A329" t="inlineStr">
        <is>
          <t>A 2865-2022</t>
        </is>
      </c>
      <c r="B329" s="1" t="n">
        <v>44581</v>
      </c>
      <c r="C329" s="1" t="n">
        <v>45931</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57859-2022</t>
        </is>
      </c>
      <c r="B330" s="1" t="n">
        <v>44898</v>
      </c>
      <c r="C330" s="1" t="n">
        <v>45931</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60647-2022</t>
        </is>
      </c>
      <c r="B331" s="1" t="n">
        <v>44911</v>
      </c>
      <c r="C331" s="1" t="n">
        <v>45931</v>
      </c>
      <c r="D331" t="inlineStr">
        <is>
          <t>DALARNAS LÄN</t>
        </is>
      </c>
      <c r="E331" t="inlineStr">
        <is>
          <t>MORA</t>
        </is>
      </c>
      <c r="G331" t="n">
        <v>4.8</v>
      </c>
      <c r="H331" t="n">
        <v>0</v>
      </c>
      <c r="I331" t="n">
        <v>0</v>
      </c>
      <c r="J331" t="n">
        <v>0</v>
      </c>
      <c r="K331" t="n">
        <v>0</v>
      </c>
      <c r="L331" t="n">
        <v>0</v>
      </c>
      <c r="M331" t="n">
        <v>0</v>
      </c>
      <c r="N331" t="n">
        <v>0</v>
      </c>
      <c r="O331" t="n">
        <v>0</v>
      </c>
      <c r="P331" t="n">
        <v>0</v>
      </c>
      <c r="Q331" t="n">
        <v>0</v>
      </c>
      <c r="R331" s="2" t="inlineStr"/>
    </row>
    <row r="332" ht="15" customHeight="1">
      <c r="A332" t="inlineStr">
        <is>
          <t>A 47081-2025</t>
        </is>
      </c>
      <c r="B332" s="1" t="n">
        <v>45929.64153935185</v>
      </c>
      <c r="C332" s="1" t="n">
        <v>45931</v>
      </c>
      <c r="D332" t="inlineStr">
        <is>
          <t>DALARNAS LÄN</t>
        </is>
      </c>
      <c r="E332" t="inlineStr">
        <is>
          <t>MORA</t>
        </is>
      </c>
      <c r="F332" t="inlineStr">
        <is>
          <t>Allmännings- och besparingsskogar</t>
        </is>
      </c>
      <c r="G332" t="n">
        <v>9.1</v>
      </c>
      <c r="H332" t="n">
        <v>0</v>
      </c>
      <c r="I332" t="n">
        <v>0</v>
      </c>
      <c r="J332" t="n">
        <v>0</v>
      </c>
      <c r="K332" t="n">
        <v>0</v>
      </c>
      <c r="L332" t="n">
        <v>0</v>
      </c>
      <c r="M332" t="n">
        <v>0</v>
      </c>
      <c r="N332" t="n">
        <v>0</v>
      </c>
      <c r="O332" t="n">
        <v>0</v>
      </c>
      <c r="P332" t="n">
        <v>0</v>
      </c>
      <c r="Q332" t="n">
        <v>0</v>
      </c>
      <c r="R332" s="2" t="inlineStr"/>
    </row>
    <row r="333" ht="15" customHeight="1">
      <c r="A333" t="inlineStr">
        <is>
          <t>A 16573-2024</t>
        </is>
      </c>
      <c r="B333" s="1" t="n">
        <v>45408.46980324074</v>
      </c>
      <c r="C333" s="1" t="n">
        <v>45931</v>
      </c>
      <c r="D333" t="inlineStr">
        <is>
          <t>DALARNAS LÄN</t>
        </is>
      </c>
      <c r="E333" t="inlineStr">
        <is>
          <t>MORA</t>
        </is>
      </c>
      <c r="G333" t="n">
        <v>4.5</v>
      </c>
      <c r="H333" t="n">
        <v>0</v>
      </c>
      <c r="I333" t="n">
        <v>0</v>
      </c>
      <c r="J333" t="n">
        <v>0</v>
      </c>
      <c r="K333" t="n">
        <v>0</v>
      </c>
      <c r="L333" t="n">
        <v>0</v>
      </c>
      <c r="M333" t="n">
        <v>0</v>
      </c>
      <c r="N333" t="n">
        <v>0</v>
      </c>
      <c r="O333" t="n">
        <v>0</v>
      </c>
      <c r="P333" t="n">
        <v>0</v>
      </c>
      <c r="Q333" t="n">
        <v>0</v>
      </c>
      <c r="R333" s="2" t="inlineStr"/>
    </row>
    <row r="334" ht="15" customHeight="1">
      <c r="A334" t="inlineStr">
        <is>
          <t>A 47140-2025</t>
        </is>
      </c>
      <c r="B334" s="1" t="n">
        <v>45929</v>
      </c>
      <c r="C334" s="1" t="n">
        <v>45931</v>
      </c>
      <c r="D334" t="inlineStr">
        <is>
          <t>DALARNAS LÄN</t>
        </is>
      </c>
      <c r="E334" t="inlineStr">
        <is>
          <t>MORA</t>
        </is>
      </c>
      <c r="G334" t="n">
        <v>6.7</v>
      </c>
      <c r="H334" t="n">
        <v>0</v>
      </c>
      <c r="I334" t="n">
        <v>0</v>
      </c>
      <c r="J334" t="n">
        <v>0</v>
      </c>
      <c r="K334" t="n">
        <v>0</v>
      </c>
      <c r="L334" t="n">
        <v>0</v>
      </c>
      <c r="M334" t="n">
        <v>0</v>
      </c>
      <c r="N334" t="n">
        <v>0</v>
      </c>
      <c r="O334" t="n">
        <v>0</v>
      </c>
      <c r="P334" t="n">
        <v>0</v>
      </c>
      <c r="Q334" t="n">
        <v>0</v>
      </c>
      <c r="R334" s="2" t="inlineStr"/>
    </row>
    <row r="335" ht="15" customHeight="1">
      <c r="A335" t="inlineStr">
        <is>
          <t>A 22409-2025</t>
        </is>
      </c>
      <c r="B335" s="1" t="n">
        <v>45786.54940972223</v>
      </c>
      <c r="C335" s="1" t="n">
        <v>45931</v>
      </c>
      <c r="D335" t="inlineStr">
        <is>
          <t>DALARNAS LÄN</t>
        </is>
      </c>
      <c r="E335" t="inlineStr">
        <is>
          <t>MORA</t>
        </is>
      </c>
      <c r="F335" t="inlineStr">
        <is>
          <t>Bergvik skog öst AB</t>
        </is>
      </c>
      <c r="G335" t="n">
        <v>5</v>
      </c>
      <c r="H335" t="n">
        <v>0</v>
      </c>
      <c r="I335" t="n">
        <v>0</v>
      </c>
      <c r="J335" t="n">
        <v>0</v>
      </c>
      <c r="K335" t="n">
        <v>0</v>
      </c>
      <c r="L335" t="n">
        <v>0</v>
      </c>
      <c r="M335" t="n">
        <v>0</v>
      </c>
      <c r="N335" t="n">
        <v>0</v>
      </c>
      <c r="O335" t="n">
        <v>0</v>
      </c>
      <c r="P335" t="n">
        <v>0</v>
      </c>
      <c r="Q335" t="n">
        <v>0</v>
      </c>
      <c r="R335" s="2" t="inlineStr"/>
    </row>
    <row r="336" ht="15" customHeight="1">
      <c r="A336" t="inlineStr">
        <is>
          <t>A 45349-2024</t>
        </is>
      </c>
      <c r="B336" s="1" t="n">
        <v>45576</v>
      </c>
      <c r="C336" s="1" t="n">
        <v>45931</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24590-2024</t>
        </is>
      </c>
      <c r="B337" s="1" t="n">
        <v>45460</v>
      </c>
      <c r="C337" s="1" t="n">
        <v>45931</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57408-2024</t>
        </is>
      </c>
      <c r="B338" s="1" t="n">
        <v>45629</v>
      </c>
      <c r="C338" s="1" t="n">
        <v>45931</v>
      </c>
      <c r="D338" t="inlineStr">
        <is>
          <t>DALARNAS LÄN</t>
        </is>
      </c>
      <c r="E338" t="inlineStr">
        <is>
          <t>MORA</t>
        </is>
      </c>
      <c r="F338" t="inlineStr">
        <is>
          <t>Allmännings- och besparingsskogar</t>
        </is>
      </c>
      <c r="G338" t="n">
        <v>2.5</v>
      </c>
      <c r="H338" t="n">
        <v>0</v>
      </c>
      <c r="I338" t="n">
        <v>0</v>
      </c>
      <c r="J338" t="n">
        <v>0</v>
      </c>
      <c r="K338" t="n">
        <v>0</v>
      </c>
      <c r="L338" t="n">
        <v>0</v>
      </c>
      <c r="M338" t="n">
        <v>0</v>
      </c>
      <c r="N338" t="n">
        <v>0</v>
      </c>
      <c r="O338" t="n">
        <v>0</v>
      </c>
      <c r="P338" t="n">
        <v>0</v>
      </c>
      <c r="Q338" t="n">
        <v>0</v>
      </c>
      <c r="R338" s="2" t="inlineStr"/>
    </row>
    <row r="339" ht="15" customHeight="1">
      <c r="A339" t="inlineStr">
        <is>
          <t>A 46412-2024</t>
        </is>
      </c>
      <c r="B339" s="1" t="n">
        <v>45582.44894675926</v>
      </c>
      <c r="C339" s="1" t="n">
        <v>45931</v>
      </c>
      <c r="D339" t="inlineStr">
        <is>
          <t>DALARNAS LÄN</t>
        </is>
      </c>
      <c r="E339" t="inlineStr">
        <is>
          <t>MORA</t>
        </is>
      </c>
      <c r="G339" t="n">
        <v>4.1</v>
      </c>
      <c r="H339" t="n">
        <v>0</v>
      </c>
      <c r="I339" t="n">
        <v>0</v>
      </c>
      <c r="J339" t="n">
        <v>0</v>
      </c>
      <c r="K339" t="n">
        <v>0</v>
      </c>
      <c r="L339" t="n">
        <v>0</v>
      </c>
      <c r="M339" t="n">
        <v>0</v>
      </c>
      <c r="N339" t="n">
        <v>0</v>
      </c>
      <c r="O339" t="n">
        <v>0</v>
      </c>
      <c r="P339" t="n">
        <v>0</v>
      </c>
      <c r="Q339" t="n">
        <v>0</v>
      </c>
      <c r="R339" s="2" t="inlineStr"/>
    </row>
    <row r="340" ht="15" customHeight="1">
      <c r="A340" t="inlineStr">
        <is>
          <t>A 42934-2024</t>
        </is>
      </c>
      <c r="B340" s="1" t="n">
        <v>45567.33655092592</v>
      </c>
      <c r="C340" s="1" t="n">
        <v>45931</v>
      </c>
      <c r="D340" t="inlineStr">
        <is>
          <t>DALARNAS LÄN</t>
        </is>
      </c>
      <c r="E340" t="inlineStr">
        <is>
          <t>MORA</t>
        </is>
      </c>
      <c r="G340" t="n">
        <v>0.7</v>
      </c>
      <c r="H340" t="n">
        <v>0</v>
      </c>
      <c r="I340" t="n">
        <v>0</v>
      </c>
      <c r="J340" t="n">
        <v>0</v>
      </c>
      <c r="K340" t="n">
        <v>0</v>
      </c>
      <c r="L340" t="n">
        <v>0</v>
      </c>
      <c r="M340" t="n">
        <v>0</v>
      </c>
      <c r="N340" t="n">
        <v>0</v>
      </c>
      <c r="O340" t="n">
        <v>0</v>
      </c>
      <c r="P340" t="n">
        <v>0</v>
      </c>
      <c r="Q340" t="n">
        <v>0</v>
      </c>
      <c r="R340" s="2" t="inlineStr"/>
    </row>
    <row r="341" ht="15" customHeight="1">
      <c r="A341" t="inlineStr">
        <is>
          <t>A 50685-2023</t>
        </is>
      </c>
      <c r="B341" s="1" t="n">
        <v>45210</v>
      </c>
      <c r="C341" s="1" t="n">
        <v>45931</v>
      </c>
      <c r="D341" t="inlineStr">
        <is>
          <t>DALARNAS LÄN</t>
        </is>
      </c>
      <c r="E341" t="inlineStr">
        <is>
          <t>MORA</t>
        </is>
      </c>
      <c r="G341" t="n">
        <v>1.7</v>
      </c>
      <c r="H341" t="n">
        <v>0</v>
      </c>
      <c r="I341" t="n">
        <v>0</v>
      </c>
      <c r="J341" t="n">
        <v>0</v>
      </c>
      <c r="K341" t="n">
        <v>0</v>
      </c>
      <c r="L341" t="n">
        <v>0</v>
      </c>
      <c r="M341" t="n">
        <v>0</v>
      </c>
      <c r="N341" t="n">
        <v>0</v>
      </c>
      <c r="O341" t="n">
        <v>0</v>
      </c>
      <c r="P341" t="n">
        <v>0</v>
      </c>
      <c r="Q341" t="n">
        <v>0</v>
      </c>
      <c r="R341" s="2" t="inlineStr"/>
    </row>
    <row r="342" ht="15" customHeight="1">
      <c r="A342" t="inlineStr">
        <is>
          <t>A 50759-2023</t>
        </is>
      </c>
      <c r="B342" s="1" t="n">
        <v>45217.60914351852</v>
      </c>
      <c r="C342" s="1" t="n">
        <v>45931</v>
      </c>
      <c r="D342" t="inlineStr">
        <is>
          <t>DALARNAS LÄN</t>
        </is>
      </c>
      <c r="E342" t="inlineStr">
        <is>
          <t>MORA</t>
        </is>
      </c>
      <c r="G342" t="n">
        <v>5.3</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45931</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43964-2024</t>
        </is>
      </c>
      <c r="B344" s="1" t="n">
        <v>45572.48407407408</v>
      </c>
      <c r="C344" s="1" t="n">
        <v>45931</v>
      </c>
      <c r="D344" t="inlineStr">
        <is>
          <t>DALARNAS LÄN</t>
        </is>
      </c>
      <c r="E344" t="inlineStr">
        <is>
          <t>MORA</t>
        </is>
      </c>
      <c r="G344" t="n">
        <v>0.9</v>
      </c>
      <c r="H344" t="n">
        <v>0</v>
      </c>
      <c r="I344" t="n">
        <v>0</v>
      </c>
      <c r="J344" t="n">
        <v>0</v>
      </c>
      <c r="K344" t="n">
        <v>0</v>
      </c>
      <c r="L344" t="n">
        <v>0</v>
      </c>
      <c r="M344" t="n">
        <v>0</v>
      </c>
      <c r="N344" t="n">
        <v>0</v>
      </c>
      <c r="O344" t="n">
        <v>0</v>
      </c>
      <c r="P344" t="n">
        <v>0</v>
      </c>
      <c r="Q344" t="n">
        <v>0</v>
      </c>
      <c r="R344" s="2" t="inlineStr"/>
    </row>
    <row r="345" ht="15" customHeight="1">
      <c r="A345" t="inlineStr">
        <is>
          <t>A 11193-2025</t>
        </is>
      </c>
      <c r="B345" s="1" t="n">
        <v>45725</v>
      </c>
      <c r="C345" s="1" t="n">
        <v>45931</v>
      </c>
      <c r="D345" t="inlineStr">
        <is>
          <t>DALARNAS LÄN</t>
        </is>
      </c>
      <c r="E345" t="inlineStr">
        <is>
          <t>MORA</t>
        </is>
      </c>
      <c r="G345" t="n">
        <v>4.1</v>
      </c>
      <c r="H345" t="n">
        <v>0</v>
      </c>
      <c r="I345" t="n">
        <v>0</v>
      </c>
      <c r="J345" t="n">
        <v>0</v>
      </c>
      <c r="K345" t="n">
        <v>0</v>
      </c>
      <c r="L345" t="n">
        <v>0</v>
      </c>
      <c r="M345" t="n">
        <v>0</v>
      </c>
      <c r="N345" t="n">
        <v>0</v>
      </c>
      <c r="O345" t="n">
        <v>0</v>
      </c>
      <c r="P345" t="n">
        <v>0</v>
      </c>
      <c r="Q345" t="n">
        <v>0</v>
      </c>
      <c r="R345" s="2" t="inlineStr"/>
    </row>
    <row r="346" ht="15" customHeight="1">
      <c r="A346" t="inlineStr">
        <is>
          <t>A 61654-2024</t>
        </is>
      </c>
      <c r="B346" s="1" t="n">
        <v>45646.74988425926</v>
      </c>
      <c r="C346" s="1" t="n">
        <v>45931</v>
      </c>
      <c r="D346" t="inlineStr">
        <is>
          <t>DALARNAS LÄN</t>
        </is>
      </c>
      <c r="E346" t="inlineStr">
        <is>
          <t>MORA</t>
        </is>
      </c>
      <c r="G346" t="n">
        <v>1.7</v>
      </c>
      <c r="H346" t="n">
        <v>0</v>
      </c>
      <c r="I346" t="n">
        <v>0</v>
      </c>
      <c r="J346" t="n">
        <v>0</v>
      </c>
      <c r="K346" t="n">
        <v>0</v>
      </c>
      <c r="L346" t="n">
        <v>0</v>
      </c>
      <c r="M346" t="n">
        <v>0</v>
      </c>
      <c r="N346" t="n">
        <v>0</v>
      </c>
      <c r="O346" t="n">
        <v>0</v>
      </c>
      <c r="P346" t="n">
        <v>0</v>
      </c>
      <c r="Q346" t="n">
        <v>0</v>
      </c>
      <c r="R346" s="2" t="inlineStr"/>
    </row>
    <row r="347" ht="15" customHeight="1">
      <c r="A347" t="inlineStr">
        <is>
          <t>A 22354-2025</t>
        </is>
      </c>
      <c r="B347" s="1" t="n">
        <v>45786.45721064815</v>
      </c>
      <c r="C347" s="1" t="n">
        <v>45931</v>
      </c>
      <c r="D347" t="inlineStr">
        <is>
          <t>DALARNAS LÄN</t>
        </is>
      </c>
      <c r="E347" t="inlineStr">
        <is>
          <t>MORA</t>
        </is>
      </c>
      <c r="F347" t="inlineStr">
        <is>
          <t>Bergvik skog öst AB</t>
        </is>
      </c>
      <c r="G347" t="n">
        <v>2</v>
      </c>
      <c r="H347" t="n">
        <v>0</v>
      </c>
      <c r="I347" t="n">
        <v>0</v>
      </c>
      <c r="J347" t="n">
        <v>0</v>
      </c>
      <c r="K347" t="n">
        <v>0</v>
      </c>
      <c r="L347" t="n">
        <v>0</v>
      </c>
      <c r="M347" t="n">
        <v>0</v>
      </c>
      <c r="N347" t="n">
        <v>0</v>
      </c>
      <c r="O347" t="n">
        <v>0</v>
      </c>
      <c r="P347" t="n">
        <v>0</v>
      </c>
      <c r="Q347" t="n">
        <v>0</v>
      </c>
      <c r="R347" s="2" t="inlineStr"/>
    </row>
    <row r="348" ht="15" customHeight="1">
      <c r="A348" t="inlineStr">
        <is>
          <t>A 39511-2024</t>
        </is>
      </c>
      <c r="B348" s="1" t="n">
        <v>45551.68347222222</v>
      </c>
      <c r="C348" s="1" t="n">
        <v>45931</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45931</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56834-2024</t>
        </is>
      </c>
      <c r="B350" s="1" t="n">
        <v>45628.49931712963</v>
      </c>
      <c r="C350" s="1" t="n">
        <v>45931</v>
      </c>
      <c r="D350" t="inlineStr">
        <is>
          <t>DALARNAS LÄN</t>
        </is>
      </c>
      <c r="E350" t="inlineStr">
        <is>
          <t>MORA</t>
        </is>
      </c>
      <c r="G350" t="n">
        <v>0.4</v>
      </c>
      <c r="H350" t="n">
        <v>0</v>
      </c>
      <c r="I350" t="n">
        <v>0</v>
      </c>
      <c r="J350" t="n">
        <v>0</v>
      </c>
      <c r="K350" t="n">
        <v>0</v>
      </c>
      <c r="L350" t="n">
        <v>0</v>
      </c>
      <c r="M350" t="n">
        <v>0</v>
      </c>
      <c r="N350" t="n">
        <v>0</v>
      </c>
      <c r="O350" t="n">
        <v>0</v>
      </c>
      <c r="P350" t="n">
        <v>0</v>
      </c>
      <c r="Q350" t="n">
        <v>0</v>
      </c>
      <c r="R350" s="2" t="inlineStr"/>
    </row>
    <row r="351" ht="15" customHeight="1">
      <c r="A351" t="inlineStr">
        <is>
          <t>A 8068-2024</t>
        </is>
      </c>
      <c r="B351" s="1" t="n">
        <v>45351.41524305556</v>
      </c>
      <c r="C351" s="1" t="n">
        <v>45931</v>
      </c>
      <c r="D351" t="inlineStr">
        <is>
          <t>DALARNAS LÄN</t>
        </is>
      </c>
      <c r="E351" t="inlineStr">
        <is>
          <t>MORA</t>
        </is>
      </c>
      <c r="G351" t="n">
        <v>6.4</v>
      </c>
      <c r="H351" t="n">
        <v>0</v>
      </c>
      <c r="I351" t="n">
        <v>0</v>
      </c>
      <c r="J351" t="n">
        <v>0</v>
      </c>
      <c r="K351" t="n">
        <v>0</v>
      </c>
      <c r="L351" t="n">
        <v>0</v>
      </c>
      <c r="M351" t="n">
        <v>0</v>
      </c>
      <c r="N351" t="n">
        <v>0</v>
      </c>
      <c r="O351" t="n">
        <v>0</v>
      </c>
      <c r="P351" t="n">
        <v>0</v>
      </c>
      <c r="Q351" t="n">
        <v>0</v>
      </c>
      <c r="R351" s="2" t="inlineStr"/>
    </row>
    <row r="352" ht="15" customHeight="1">
      <c r="A352" t="inlineStr">
        <is>
          <t>A 43863-2023</t>
        </is>
      </c>
      <c r="B352" s="1" t="n">
        <v>45187.62532407408</v>
      </c>
      <c r="C352" s="1" t="n">
        <v>45931</v>
      </c>
      <c r="D352" t="inlineStr">
        <is>
          <t>DALARNAS LÄN</t>
        </is>
      </c>
      <c r="E352" t="inlineStr">
        <is>
          <t>MORA</t>
        </is>
      </c>
      <c r="F352" t="inlineStr">
        <is>
          <t>Bergvik skog väst AB</t>
        </is>
      </c>
      <c r="G352" t="n">
        <v>3.9</v>
      </c>
      <c r="H352" t="n">
        <v>0</v>
      </c>
      <c r="I352" t="n">
        <v>0</v>
      </c>
      <c r="J352" t="n">
        <v>0</v>
      </c>
      <c r="K352" t="n">
        <v>0</v>
      </c>
      <c r="L352" t="n">
        <v>0</v>
      </c>
      <c r="M352" t="n">
        <v>0</v>
      </c>
      <c r="N352" t="n">
        <v>0</v>
      </c>
      <c r="O352" t="n">
        <v>0</v>
      </c>
      <c r="P352" t="n">
        <v>0</v>
      </c>
      <c r="Q352" t="n">
        <v>0</v>
      </c>
      <c r="R352" s="2" t="inlineStr"/>
    </row>
    <row r="353" ht="15" customHeight="1">
      <c r="A353" t="inlineStr">
        <is>
          <t>A 56900-2024</t>
        </is>
      </c>
      <c r="B353" s="1" t="n">
        <v>45625</v>
      </c>
      <c r="C353" s="1" t="n">
        <v>45931</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35521-2023</t>
        </is>
      </c>
      <c r="B354" s="1" t="n">
        <v>45147.33251157407</v>
      </c>
      <c r="C354" s="1" t="n">
        <v>45931</v>
      </c>
      <c r="D354" t="inlineStr">
        <is>
          <t>DALARNAS LÄN</t>
        </is>
      </c>
      <c r="E354" t="inlineStr">
        <is>
          <t>MORA</t>
        </is>
      </c>
      <c r="G354" t="n">
        <v>3.7</v>
      </c>
      <c r="H354" t="n">
        <v>0</v>
      </c>
      <c r="I354" t="n">
        <v>0</v>
      </c>
      <c r="J354" t="n">
        <v>0</v>
      </c>
      <c r="K354" t="n">
        <v>0</v>
      </c>
      <c r="L354" t="n">
        <v>0</v>
      </c>
      <c r="M354" t="n">
        <v>0</v>
      </c>
      <c r="N354" t="n">
        <v>0</v>
      </c>
      <c r="O354" t="n">
        <v>0</v>
      </c>
      <c r="P354" t="n">
        <v>0</v>
      </c>
      <c r="Q354" t="n">
        <v>0</v>
      </c>
      <c r="R354" s="2" t="inlineStr"/>
    </row>
    <row r="355" ht="15" customHeight="1">
      <c r="A355" t="inlineStr">
        <is>
          <t>A 54628-2024</t>
        </is>
      </c>
      <c r="B355" s="1" t="n">
        <v>45617.83969907407</v>
      </c>
      <c r="C355" s="1" t="n">
        <v>45931</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31112-2024</t>
        </is>
      </c>
      <c r="B356" s="1" t="n">
        <v>45502.55185185185</v>
      </c>
      <c r="C356" s="1" t="n">
        <v>45931</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44205-2023</t>
        </is>
      </c>
      <c r="B357" s="1" t="n">
        <v>45188</v>
      </c>
      <c r="C357" s="1" t="n">
        <v>45931</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1252-2025</t>
        </is>
      </c>
      <c r="B358" s="1" t="n">
        <v>45667.46648148148</v>
      </c>
      <c r="C358" s="1" t="n">
        <v>45931</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56927-2024</t>
        </is>
      </c>
      <c r="B359" s="1" t="n">
        <v>45625</v>
      </c>
      <c r="C359" s="1" t="n">
        <v>45931</v>
      </c>
      <c r="D359" t="inlineStr">
        <is>
          <t>DALARNAS LÄN</t>
        </is>
      </c>
      <c r="E359" t="inlineStr">
        <is>
          <t>MORA</t>
        </is>
      </c>
      <c r="G359" t="n">
        <v>2.8</v>
      </c>
      <c r="H359" t="n">
        <v>0</v>
      </c>
      <c r="I359" t="n">
        <v>0</v>
      </c>
      <c r="J359" t="n">
        <v>0</v>
      </c>
      <c r="K359" t="n">
        <v>0</v>
      </c>
      <c r="L359" t="n">
        <v>0</v>
      </c>
      <c r="M359" t="n">
        <v>0</v>
      </c>
      <c r="N359" t="n">
        <v>0</v>
      </c>
      <c r="O359" t="n">
        <v>0</v>
      </c>
      <c r="P359" t="n">
        <v>0</v>
      </c>
      <c r="Q359" t="n">
        <v>0</v>
      </c>
      <c r="R359" s="2" t="inlineStr"/>
    </row>
    <row r="360" ht="15" customHeight="1">
      <c r="A360" t="inlineStr">
        <is>
          <t>A 55691-2023</t>
        </is>
      </c>
      <c r="B360" s="1" t="n">
        <v>45239.36509259259</v>
      </c>
      <c r="C360" s="1" t="n">
        <v>45931</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39348-2024</t>
        </is>
      </c>
      <c r="B361" s="1" t="n">
        <v>45551.45322916667</v>
      </c>
      <c r="C361" s="1" t="n">
        <v>45931</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54192-2023</t>
        </is>
      </c>
      <c r="B362" s="1" t="n">
        <v>45232.53052083333</v>
      </c>
      <c r="C362" s="1" t="n">
        <v>45931</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59404-2024</t>
        </is>
      </c>
      <c r="B363" s="1" t="n">
        <v>45638</v>
      </c>
      <c r="C363" s="1" t="n">
        <v>45931</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22185-2025</t>
        </is>
      </c>
      <c r="B364" s="1" t="n">
        <v>45785</v>
      </c>
      <c r="C364" s="1" t="n">
        <v>45931</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23368-2025</t>
        </is>
      </c>
      <c r="B365" s="1" t="n">
        <v>45791.70299768518</v>
      </c>
      <c r="C365" s="1" t="n">
        <v>45931</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56935-2024</t>
        </is>
      </c>
      <c r="B366" s="1" t="n">
        <v>45625</v>
      </c>
      <c r="C366" s="1" t="n">
        <v>45931</v>
      </c>
      <c r="D366" t="inlineStr">
        <is>
          <t>DALARNAS LÄN</t>
        </is>
      </c>
      <c r="E366" t="inlineStr">
        <is>
          <t>MORA</t>
        </is>
      </c>
      <c r="G366" t="n">
        <v>1.1</v>
      </c>
      <c r="H366" t="n">
        <v>0</v>
      </c>
      <c r="I366" t="n">
        <v>0</v>
      </c>
      <c r="J366" t="n">
        <v>0</v>
      </c>
      <c r="K366" t="n">
        <v>0</v>
      </c>
      <c r="L366" t="n">
        <v>0</v>
      </c>
      <c r="M366" t="n">
        <v>0</v>
      </c>
      <c r="N366" t="n">
        <v>0</v>
      </c>
      <c r="O366" t="n">
        <v>0</v>
      </c>
      <c r="P366" t="n">
        <v>0</v>
      </c>
      <c r="Q366" t="n">
        <v>0</v>
      </c>
      <c r="R366" s="2" t="inlineStr"/>
    </row>
    <row r="367" ht="15" customHeight="1">
      <c r="A367" t="inlineStr">
        <is>
          <t>A 51168-2024</t>
        </is>
      </c>
      <c r="B367" s="1" t="n">
        <v>45603.58619212963</v>
      </c>
      <c r="C367" s="1" t="n">
        <v>45931</v>
      </c>
      <c r="D367" t="inlineStr">
        <is>
          <t>DALARNAS LÄN</t>
        </is>
      </c>
      <c r="E367" t="inlineStr">
        <is>
          <t>MORA</t>
        </is>
      </c>
      <c r="G367" t="n">
        <v>3</v>
      </c>
      <c r="H367" t="n">
        <v>0</v>
      </c>
      <c r="I367" t="n">
        <v>0</v>
      </c>
      <c r="J367" t="n">
        <v>0</v>
      </c>
      <c r="K367" t="n">
        <v>0</v>
      </c>
      <c r="L367" t="n">
        <v>0</v>
      </c>
      <c r="M367" t="n">
        <v>0</v>
      </c>
      <c r="N367" t="n">
        <v>0</v>
      </c>
      <c r="O367" t="n">
        <v>0</v>
      </c>
      <c r="P367" t="n">
        <v>0</v>
      </c>
      <c r="Q367" t="n">
        <v>0</v>
      </c>
      <c r="R367" s="2" t="inlineStr"/>
    </row>
    <row r="368" ht="15" customHeight="1">
      <c r="A368" t="inlineStr">
        <is>
          <t>A 2830-2023</t>
        </is>
      </c>
      <c r="B368" s="1" t="n">
        <v>44945.32997685186</v>
      </c>
      <c r="C368" s="1" t="n">
        <v>45931</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18214-2024</t>
        </is>
      </c>
      <c r="B369" s="1" t="n">
        <v>45420</v>
      </c>
      <c r="C369" s="1" t="n">
        <v>45931</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23354-2022</t>
        </is>
      </c>
      <c r="B370" s="1" t="n">
        <v>44720</v>
      </c>
      <c r="C370" s="1" t="n">
        <v>45931</v>
      </c>
      <c r="D370" t="inlineStr">
        <is>
          <t>DALARNAS LÄN</t>
        </is>
      </c>
      <c r="E370" t="inlineStr">
        <is>
          <t>MORA</t>
        </is>
      </c>
      <c r="G370" t="n">
        <v>5.2</v>
      </c>
      <c r="H370" t="n">
        <v>0</v>
      </c>
      <c r="I370" t="n">
        <v>0</v>
      </c>
      <c r="J370" t="n">
        <v>0</v>
      </c>
      <c r="K370" t="n">
        <v>0</v>
      </c>
      <c r="L370" t="n">
        <v>0</v>
      </c>
      <c r="M370" t="n">
        <v>0</v>
      </c>
      <c r="N370" t="n">
        <v>0</v>
      </c>
      <c r="O370" t="n">
        <v>0</v>
      </c>
      <c r="P370" t="n">
        <v>0</v>
      </c>
      <c r="Q370" t="n">
        <v>0</v>
      </c>
      <c r="R370" s="2" t="inlineStr"/>
    </row>
    <row r="371" ht="15" customHeight="1">
      <c r="A371" t="inlineStr">
        <is>
          <t>A 34928-2022</t>
        </is>
      </c>
      <c r="B371" s="1" t="n">
        <v>44796.60479166666</v>
      </c>
      <c r="C371" s="1" t="n">
        <v>45931</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16522-2024</t>
        </is>
      </c>
      <c r="B372" s="1" t="n">
        <v>45408.41166666667</v>
      </c>
      <c r="C372" s="1" t="n">
        <v>45931</v>
      </c>
      <c r="D372" t="inlineStr">
        <is>
          <t>DALARNAS LÄN</t>
        </is>
      </c>
      <c r="E372" t="inlineStr">
        <is>
          <t>MORA</t>
        </is>
      </c>
      <c r="G372" t="n">
        <v>11.2</v>
      </c>
      <c r="H372" t="n">
        <v>0</v>
      </c>
      <c r="I372" t="n">
        <v>0</v>
      </c>
      <c r="J372" t="n">
        <v>0</v>
      </c>
      <c r="K372" t="n">
        <v>0</v>
      </c>
      <c r="L372" t="n">
        <v>0</v>
      </c>
      <c r="M372" t="n">
        <v>0</v>
      </c>
      <c r="N372" t="n">
        <v>0</v>
      </c>
      <c r="O372" t="n">
        <v>0</v>
      </c>
      <c r="P372" t="n">
        <v>0</v>
      </c>
      <c r="Q372" t="n">
        <v>0</v>
      </c>
      <c r="R372" s="2" t="inlineStr"/>
    </row>
    <row r="373" ht="15" customHeight="1">
      <c r="A373" t="inlineStr">
        <is>
          <t>A 55120-2024</t>
        </is>
      </c>
      <c r="B373" s="1" t="n">
        <v>45621.45765046297</v>
      </c>
      <c r="C373" s="1" t="n">
        <v>45931</v>
      </c>
      <c r="D373" t="inlineStr">
        <is>
          <t>DALARNAS LÄN</t>
        </is>
      </c>
      <c r="E373" t="inlineStr">
        <is>
          <t>MORA</t>
        </is>
      </c>
      <c r="G373" t="n">
        <v>1.9</v>
      </c>
      <c r="H373" t="n">
        <v>0</v>
      </c>
      <c r="I373" t="n">
        <v>0</v>
      </c>
      <c r="J373" t="n">
        <v>0</v>
      </c>
      <c r="K373" t="n">
        <v>0</v>
      </c>
      <c r="L373" t="n">
        <v>0</v>
      </c>
      <c r="M373" t="n">
        <v>0</v>
      </c>
      <c r="N373" t="n">
        <v>0</v>
      </c>
      <c r="O373" t="n">
        <v>0</v>
      </c>
      <c r="P373" t="n">
        <v>0</v>
      </c>
      <c r="Q373" t="n">
        <v>0</v>
      </c>
      <c r="R373" s="2" t="inlineStr"/>
    </row>
    <row r="374" ht="15" customHeight="1">
      <c r="A374" t="inlineStr">
        <is>
          <t>A 9461-2025</t>
        </is>
      </c>
      <c r="B374" s="1" t="n">
        <v>45715.45341435185</v>
      </c>
      <c r="C374" s="1" t="n">
        <v>45931</v>
      </c>
      <c r="D374" t="inlineStr">
        <is>
          <t>DALARNAS LÄN</t>
        </is>
      </c>
      <c r="E374" t="inlineStr">
        <is>
          <t>MORA</t>
        </is>
      </c>
      <c r="G374" t="n">
        <v>1.8</v>
      </c>
      <c r="H374" t="n">
        <v>0</v>
      </c>
      <c r="I374" t="n">
        <v>0</v>
      </c>
      <c r="J374" t="n">
        <v>0</v>
      </c>
      <c r="K374" t="n">
        <v>0</v>
      </c>
      <c r="L374" t="n">
        <v>0</v>
      </c>
      <c r="M374" t="n">
        <v>0</v>
      </c>
      <c r="N374" t="n">
        <v>0</v>
      </c>
      <c r="O374" t="n">
        <v>0</v>
      </c>
      <c r="P374" t="n">
        <v>0</v>
      </c>
      <c r="Q374" t="n">
        <v>0</v>
      </c>
      <c r="R374" s="2" t="inlineStr"/>
    </row>
    <row r="375" ht="15" customHeight="1">
      <c r="A375" t="inlineStr">
        <is>
          <t>A 24127-2025</t>
        </is>
      </c>
      <c r="B375" s="1" t="n">
        <v>45796.63137731481</v>
      </c>
      <c r="C375" s="1" t="n">
        <v>45931</v>
      </c>
      <c r="D375" t="inlineStr">
        <is>
          <t>DALARNAS LÄN</t>
        </is>
      </c>
      <c r="E375" t="inlineStr">
        <is>
          <t>MORA</t>
        </is>
      </c>
      <c r="G375" t="n">
        <v>1.2</v>
      </c>
      <c r="H375" t="n">
        <v>0</v>
      </c>
      <c r="I375" t="n">
        <v>0</v>
      </c>
      <c r="J375" t="n">
        <v>0</v>
      </c>
      <c r="K375" t="n">
        <v>0</v>
      </c>
      <c r="L375" t="n">
        <v>0</v>
      </c>
      <c r="M375" t="n">
        <v>0</v>
      </c>
      <c r="N375" t="n">
        <v>0</v>
      </c>
      <c r="O375" t="n">
        <v>0</v>
      </c>
      <c r="P375" t="n">
        <v>0</v>
      </c>
      <c r="Q375" t="n">
        <v>0</v>
      </c>
      <c r="R375" s="2" t="inlineStr"/>
    </row>
    <row r="376" ht="15" customHeight="1">
      <c r="A376" t="inlineStr">
        <is>
          <t>A 43873-2024</t>
        </is>
      </c>
      <c r="B376" s="1" t="n">
        <v>45572.38429398148</v>
      </c>
      <c r="C376" s="1" t="n">
        <v>45931</v>
      </c>
      <c r="D376" t="inlineStr">
        <is>
          <t>DALARNAS LÄN</t>
        </is>
      </c>
      <c r="E376" t="inlineStr">
        <is>
          <t>MORA</t>
        </is>
      </c>
      <c r="G376" t="n">
        <v>4.1</v>
      </c>
      <c r="H376" t="n">
        <v>0</v>
      </c>
      <c r="I376" t="n">
        <v>0</v>
      </c>
      <c r="J376" t="n">
        <v>0</v>
      </c>
      <c r="K376" t="n">
        <v>0</v>
      </c>
      <c r="L376" t="n">
        <v>0</v>
      </c>
      <c r="M376" t="n">
        <v>0</v>
      </c>
      <c r="N376" t="n">
        <v>0</v>
      </c>
      <c r="O376" t="n">
        <v>0</v>
      </c>
      <c r="P376" t="n">
        <v>0</v>
      </c>
      <c r="Q376" t="n">
        <v>0</v>
      </c>
      <c r="R376" s="2" t="inlineStr"/>
    </row>
    <row r="377" ht="15" customHeight="1">
      <c r="A377" t="inlineStr">
        <is>
          <t>A 62854-2023</t>
        </is>
      </c>
      <c r="B377" s="1" t="n">
        <v>45272</v>
      </c>
      <c r="C377" s="1" t="n">
        <v>45931</v>
      </c>
      <c r="D377" t="inlineStr">
        <is>
          <t>DALARNAS LÄN</t>
        </is>
      </c>
      <c r="E377" t="inlineStr">
        <is>
          <t>MORA</t>
        </is>
      </c>
      <c r="G377" t="n">
        <v>11.3</v>
      </c>
      <c r="H377" t="n">
        <v>0</v>
      </c>
      <c r="I377" t="n">
        <v>0</v>
      </c>
      <c r="J377" t="n">
        <v>0</v>
      </c>
      <c r="K377" t="n">
        <v>0</v>
      </c>
      <c r="L377" t="n">
        <v>0</v>
      </c>
      <c r="M377" t="n">
        <v>0</v>
      </c>
      <c r="N377" t="n">
        <v>0</v>
      </c>
      <c r="O377" t="n">
        <v>0</v>
      </c>
      <c r="P377" t="n">
        <v>0</v>
      </c>
      <c r="Q377" t="n">
        <v>0</v>
      </c>
      <c r="R377" s="2" t="inlineStr"/>
    </row>
    <row r="378" ht="15" customHeight="1">
      <c r="A378" t="inlineStr">
        <is>
          <t>A 46152-2023</t>
        </is>
      </c>
      <c r="B378" s="1" t="n">
        <v>45196.58278935185</v>
      </c>
      <c r="C378" s="1" t="n">
        <v>45931</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19286-2023</t>
        </is>
      </c>
      <c r="B379" s="1" t="n">
        <v>45049</v>
      </c>
      <c r="C379" s="1" t="n">
        <v>45931</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23229-2025</t>
        </is>
      </c>
      <c r="B380" s="1" t="n">
        <v>45791</v>
      </c>
      <c r="C380" s="1" t="n">
        <v>45931</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45931</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34660-2021</t>
        </is>
      </c>
      <c r="B382" s="1" t="n">
        <v>44382.57981481482</v>
      </c>
      <c r="C382" s="1" t="n">
        <v>45931</v>
      </c>
      <c r="D382" t="inlineStr">
        <is>
          <t>DALARNAS LÄN</t>
        </is>
      </c>
      <c r="E382" t="inlineStr">
        <is>
          <t>MORA</t>
        </is>
      </c>
      <c r="G382" t="n">
        <v>7.5</v>
      </c>
      <c r="H382" t="n">
        <v>0</v>
      </c>
      <c r="I382" t="n">
        <v>0</v>
      </c>
      <c r="J382" t="n">
        <v>0</v>
      </c>
      <c r="K382" t="n">
        <v>0</v>
      </c>
      <c r="L382" t="n">
        <v>0</v>
      </c>
      <c r="M382" t="n">
        <v>0</v>
      </c>
      <c r="N382" t="n">
        <v>0</v>
      </c>
      <c r="O382" t="n">
        <v>0</v>
      </c>
      <c r="P382" t="n">
        <v>0</v>
      </c>
      <c r="Q382" t="n">
        <v>0</v>
      </c>
      <c r="R382" s="2" t="inlineStr"/>
    </row>
    <row r="383" ht="15" customHeight="1">
      <c r="A383" t="inlineStr">
        <is>
          <t>A 24280-2025</t>
        </is>
      </c>
      <c r="B383" s="1" t="n">
        <v>45797.45581018519</v>
      </c>
      <c r="C383" s="1" t="n">
        <v>45931</v>
      </c>
      <c r="D383" t="inlineStr">
        <is>
          <t>DALARNAS LÄN</t>
        </is>
      </c>
      <c r="E383" t="inlineStr">
        <is>
          <t>MORA</t>
        </is>
      </c>
      <c r="G383" t="n">
        <v>1.1</v>
      </c>
      <c r="H383" t="n">
        <v>0</v>
      </c>
      <c r="I383" t="n">
        <v>0</v>
      </c>
      <c r="J383" t="n">
        <v>0</v>
      </c>
      <c r="K383" t="n">
        <v>0</v>
      </c>
      <c r="L383" t="n">
        <v>0</v>
      </c>
      <c r="M383" t="n">
        <v>0</v>
      </c>
      <c r="N383" t="n">
        <v>0</v>
      </c>
      <c r="O383" t="n">
        <v>0</v>
      </c>
      <c r="P383" t="n">
        <v>0</v>
      </c>
      <c r="Q383" t="n">
        <v>0</v>
      </c>
      <c r="R383" s="2" t="inlineStr"/>
    </row>
    <row r="384" ht="15" customHeight="1">
      <c r="A384" t="inlineStr">
        <is>
          <t>A 24630-2025</t>
        </is>
      </c>
      <c r="B384" s="1" t="n">
        <v>45798.6003587963</v>
      </c>
      <c r="C384" s="1" t="n">
        <v>45931</v>
      </c>
      <c r="D384" t="inlineStr">
        <is>
          <t>DALARNAS LÄN</t>
        </is>
      </c>
      <c r="E384" t="inlineStr">
        <is>
          <t>MORA</t>
        </is>
      </c>
      <c r="F384" t="inlineStr">
        <is>
          <t>Bergvik skog väst AB</t>
        </is>
      </c>
      <c r="G384" t="n">
        <v>10.4</v>
      </c>
      <c r="H384" t="n">
        <v>0</v>
      </c>
      <c r="I384" t="n">
        <v>0</v>
      </c>
      <c r="J384" t="n">
        <v>0</v>
      </c>
      <c r="K384" t="n">
        <v>0</v>
      </c>
      <c r="L384" t="n">
        <v>0</v>
      </c>
      <c r="M384" t="n">
        <v>0</v>
      </c>
      <c r="N384" t="n">
        <v>0</v>
      </c>
      <c r="O384" t="n">
        <v>0</v>
      </c>
      <c r="P384" t="n">
        <v>0</v>
      </c>
      <c r="Q384" t="n">
        <v>0</v>
      </c>
      <c r="R384" s="2" t="inlineStr"/>
    </row>
    <row r="385" ht="15" customHeight="1">
      <c r="A385" t="inlineStr">
        <is>
          <t>A 2308-2023</t>
        </is>
      </c>
      <c r="B385" s="1" t="n">
        <v>44942.57987268519</v>
      </c>
      <c r="C385" s="1" t="n">
        <v>45931</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19183-2025</t>
        </is>
      </c>
      <c r="B386" s="1" t="n">
        <v>45769</v>
      </c>
      <c r="C386" s="1" t="n">
        <v>45931</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5980-2025</t>
        </is>
      </c>
      <c r="B387" s="1" t="n">
        <v>45695.54651620371</v>
      </c>
      <c r="C387" s="1" t="n">
        <v>45931</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24642-2025</t>
        </is>
      </c>
      <c r="B388" s="1" t="n">
        <v>45798.62894675926</v>
      </c>
      <c r="C388" s="1" t="n">
        <v>45931</v>
      </c>
      <c r="D388" t="inlineStr">
        <is>
          <t>DALARNAS LÄN</t>
        </is>
      </c>
      <c r="E388" t="inlineStr">
        <is>
          <t>MORA</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56012-2023</t>
        </is>
      </c>
      <c r="B389" s="1" t="n">
        <v>45240</v>
      </c>
      <c r="C389" s="1" t="n">
        <v>45931</v>
      </c>
      <c r="D389" t="inlineStr">
        <is>
          <t>DALARNAS LÄN</t>
        </is>
      </c>
      <c r="E389" t="inlineStr">
        <is>
          <t>MORA</t>
        </is>
      </c>
      <c r="G389" t="n">
        <v>0.3</v>
      </c>
      <c r="H389" t="n">
        <v>0</v>
      </c>
      <c r="I389" t="n">
        <v>0</v>
      </c>
      <c r="J389" t="n">
        <v>0</v>
      </c>
      <c r="K389" t="n">
        <v>0</v>
      </c>
      <c r="L389" t="n">
        <v>0</v>
      </c>
      <c r="M389" t="n">
        <v>0</v>
      </c>
      <c r="N389" t="n">
        <v>0</v>
      </c>
      <c r="O389" t="n">
        <v>0</v>
      </c>
      <c r="P389" t="n">
        <v>0</v>
      </c>
      <c r="Q389" t="n">
        <v>0</v>
      </c>
      <c r="R389" s="2" t="inlineStr"/>
    </row>
    <row r="390" ht="15" customHeight="1">
      <c r="A390" t="inlineStr">
        <is>
          <t>A 24653-2025</t>
        </is>
      </c>
      <c r="B390" s="1" t="n">
        <v>45798.63875</v>
      </c>
      <c r="C390" s="1" t="n">
        <v>45931</v>
      </c>
      <c r="D390" t="inlineStr">
        <is>
          <t>DALARNAS LÄN</t>
        </is>
      </c>
      <c r="E390" t="inlineStr">
        <is>
          <t>MORA</t>
        </is>
      </c>
      <c r="F390" t="inlineStr">
        <is>
          <t>Bergvik skog väst AB</t>
        </is>
      </c>
      <c r="G390" t="n">
        <v>4.9</v>
      </c>
      <c r="H390" t="n">
        <v>0</v>
      </c>
      <c r="I390" t="n">
        <v>0</v>
      </c>
      <c r="J390" t="n">
        <v>0</v>
      </c>
      <c r="K390" t="n">
        <v>0</v>
      </c>
      <c r="L390" t="n">
        <v>0</v>
      </c>
      <c r="M390" t="n">
        <v>0</v>
      </c>
      <c r="N390" t="n">
        <v>0</v>
      </c>
      <c r="O390" t="n">
        <v>0</v>
      </c>
      <c r="P390" t="n">
        <v>0</v>
      </c>
      <c r="Q390" t="n">
        <v>0</v>
      </c>
      <c r="R390" s="2" t="inlineStr"/>
    </row>
    <row r="391" ht="15" customHeight="1">
      <c r="A391" t="inlineStr">
        <is>
          <t>A 24249-2025</t>
        </is>
      </c>
      <c r="B391" s="1" t="n">
        <v>45797.40260416667</v>
      </c>
      <c r="C391" s="1" t="n">
        <v>45931</v>
      </c>
      <c r="D391" t="inlineStr">
        <is>
          <t>DALARNAS LÄN</t>
        </is>
      </c>
      <c r="E391" t="inlineStr">
        <is>
          <t>MORA</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24640-2025</t>
        </is>
      </c>
      <c r="B392" s="1" t="n">
        <v>45798.62243055556</v>
      </c>
      <c r="C392" s="1" t="n">
        <v>45931</v>
      </c>
      <c r="D392" t="inlineStr">
        <is>
          <t>DALARNAS LÄN</t>
        </is>
      </c>
      <c r="E392" t="inlineStr">
        <is>
          <t>MORA</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9599-2022</t>
        </is>
      </c>
      <c r="B393" s="1" t="n">
        <v>44617.48909722222</v>
      </c>
      <c r="C393" s="1" t="n">
        <v>45931</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24230-2025</t>
        </is>
      </c>
      <c r="B394" s="1" t="n">
        <v>45797.37607638889</v>
      </c>
      <c r="C394" s="1" t="n">
        <v>45931</v>
      </c>
      <c r="D394" t="inlineStr">
        <is>
          <t>DALARNAS LÄN</t>
        </is>
      </c>
      <c r="E394" t="inlineStr">
        <is>
          <t>MORA</t>
        </is>
      </c>
      <c r="G394" t="n">
        <v>6.8</v>
      </c>
      <c r="H394" t="n">
        <v>0</v>
      </c>
      <c r="I394" t="n">
        <v>0</v>
      </c>
      <c r="J394" t="n">
        <v>0</v>
      </c>
      <c r="K394" t="n">
        <v>0</v>
      </c>
      <c r="L394" t="n">
        <v>0</v>
      </c>
      <c r="M394" t="n">
        <v>0</v>
      </c>
      <c r="N394" t="n">
        <v>0</v>
      </c>
      <c r="O394" t="n">
        <v>0</v>
      </c>
      <c r="P394" t="n">
        <v>0</v>
      </c>
      <c r="Q394" t="n">
        <v>0</v>
      </c>
      <c r="R394" s="2" t="inlineStr"/>
    </row>
    <row r="395" ht="15" customHeight="1">
      <c r="A395" t="inlineStr">
        <is>
          <t>A 54398-2021</t>
        </is>
      </c>
      <c r="B395" s="1" t="n">
        <v>44473.39252314815</v>
      </c>
      <c r="C395" s="1" t="n">
        <v>45931</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51883-2024</t>
        </is>
      </c>
      <c r="B396" s="1" t="n">
        <v>45607</v>
      </c>
      <c r="C396" s="1" t="n">
        <v>45931</v>
      </c>
      <c r="D396" t="inlineStr">
        <is>
          <t>DALARNAS LÄN</t>
        </is>
      </c>
      <c r="E396" t="inlineStr">
        <is>
          <t>MORA</t>
        </is>
      </c>
      <c r="G396" t="n">
        <v>0.2</v>
      </c>
      <c r="H396" t="n">
        <v>0</v>
      </c>
      <c r="I396" t="n">
        <v>0</v>
      </c>
      <c r="J396" t="n">
        <v>0</v>
      </c>
      <c r="K396" t="n">
        <v>0</v>
      </c>
      <c r="L396" t="n">
        <v>0</v>
      </c>
      <c r="M396" t="n">
        <v>0</v>
      </c>
      <c r="N396" t="n">
        <v>0</v>
      </c>
      <c r="O396" t="n">
        <v>0</v>
      </c>
      <c r="P396" t="n">
        <v>0</v>
      </c>
      <c r="Q396" t="n">
        <v>0</v>
      </c>
      <c r="R396" s="2" t="inlineStr"/>
    </row>
    <row r="397" ht="15" customHeight="1">
      <c r="A397" t="inlineStr">
        <is>
          <t>A 51888-2024</t>
        </is>
      </c>
      <c r="B397" s="1" t="n">
        <v>45607.57142361111</v>
      </c>
      <c r="C397" s="1" t="n">
        <v>45931</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24620-2025</t>
        </is>
      </c>
      <c r="B398" s="1" t="n">
        <v>45798.59290509259</v>
      </c>
      <c r="C398" s="1" t="n">
        <v>45931</v>
      </c>
      <c r="D398" t="inlineStr">
        <is>
          <t>DALARNAS LÄN</t>
        </is>
      </c>
      <c r="E398" t="inlineStr">
        <is>
          <t>MORA</t>
        </is>
      </c>
      <c r="F398" t="inlineStr">
        <is>
          <t>Bergvik skog väst AB</t>
        </is>
      </c>
      <c r="G398" t="n">
        <v>4.9</v>
      </c>
      <c r="H398" t="n">
        <v>0</v>
      </c>
      <c r="I398" t="n">
        <v>0</v>
      </c>
      <c r="J398" t="n">
        <v>0</v>
      </c>
      <c r="K398" t="n">
        <v>0</v>
      </c>
      <c r="L398" t="n">
        <v>0</v>
      </c>
      <c r="M398" t="n">
        <v>0</v>
      </c>
      <c r="N398" t="n">
        <v>0</v>
      </c>
      <c r="O398" t="n">
        <v>0</v>
      </c>
      <c r="P398" t="n">
        <v>0</v>
      </c>
      <c r="Q398" t="n">
        <v>0</v>
      </c>
      <c r="R398" s="2" t="inlineStr"/>
    </row>
    <row r="399" ht="15" customHeight="1">
      <c r="A399" t="inlineStr">
        <is>
          <t>A 24960-2025</t>
        </is>
      </c>
      <c r="B399" s="1" t="n">
        <v>45799.57666666667</v>
      </c>
      <c r="C399" s="1" t="n">
        <v>45931</v>
      </c>
      <c r="D399" t="inlineStr">
        <is>
          <t>DALARNAS LÄN</t>
        </is>
      </c>
      <c r="E399" t="inlineStr">
        <is>
          <t>MORA</t>
        </is>
      </c>
      <c r="G399" t="n">
        <v>3.2</v>
      </c>
      <c r="H399" t="n">
        <v>0</v>
      </c>
      <c r="I399" t="n">
        <v>0</v>
      </c>
      <c r="J399" t="n">
        <v>0</v>
      </c>
      <c r="K399" t="n">
        <v>0</v>
      </c>
      <c r="L399" t="n">
        <v>0</v>
      </c>
      <c r="M399" t="n">
        <v>0</v>
      </c>
      <c r="N399" t="n">
        <v>0</v>
      </c>
      <c r="O399" t="n">
        <v>0</v>
      </c>
      <c r="P399" t="n">
        <v>0</v>
      </c>
      <c r="Q399" t="n">
        <v>0</v>
      </c>
      <c r="R399" s="2" t="inlineStr"/>
    </row>
    <row r="400" ht="15" customHeight="1">
      <c r="A400" t="inlineStr">
        <is>
          <t>A 24947-2025</t>
        </is>
      </c>
      <c r="B400" s="1" t="n">
        <v>45799.56524305556</v>
      </c>
      <c r="C400" s="1" t="n">
        <v>45931</v>
      </c>
      <c r="D400" t="inlineStr">
        <is>
          <t>DALARNAS LÄN</t>
        </is>
      </c>
      <c r="E400" t="inlineStr">
        <is>
          <t>MORA</t>
        </is>
      </c>
      <c r="G400" t="n">
        <v>2</v>
      </c>
      <c r="H400" t="n">
        <v>0</v>
      </c>
      <c r="I400" t="n">
        <v>0</v>
      </c>
      <c r="J400" t="n">
        <v>0</v>
      </c>
      <c r="K400" t="n">
        <v>0</v>
      </c>
      <c r="L400" t="n">
        <v>0</v>
      </c>
      <c r="M400" t="n">
        <v>0</v>
      </c>
      <c r="N400" t="n">
        <v>0</v>
      </c>
      <c r="O400" t="n">
        <v>0</v>
      </c>
      <c r="P400" t="n">
        <v>0</v>
      </c>
      <c r="Q400" t="n">
        <v>0</v>
      </c>
      <c r="R400" s="2" t="inlineStr"/>
    </row>
    <row r="401" ht="15" customHeight="1">
      <c r="A401" t="inlineStr">
        <is>
          <t>A 38627-2023</t>
        </is>
      </c>
      <c r="B401" s="1" t="n">
        <v>45162.68787037037</v>
      </c>
      <c r="C401" s="1" t="n">
        <v>45931</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16637-2025</t>
        </is>
      </c>
      <c r="B402" s="1" t="n">
        <v>45754.36738425926</v>
      </c>
      <c r="C402" s="1" t="n">
        <v>45931</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45931</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49991-2023</t>
        </is>
      </c>
      <c r="B404" s="1" t="n">
        <v>45215.43879629629</v>
      </c>
      <c r="C404" s="1" t="n">
        <v>45931</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62268-2020</t>
        </is>
      </c>
      <c r="B405" s="1" t="n">
        <v>44160</v>
      </c>
      <c r="C405" s="1" t="n">
        <v>45931</v>
      </c>
      <c r="D405" t="inlineStr">
        <is>
          <t>DALARNAS LÄN</t>
        </is>
      </c>
      <c r="E405" t="inlineStr">
        <is>
          <t>MORA</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40325-2024</t>
        </is>
      </c>
      <c r="B406" s="1" t="n">
        <v>45554.88538194444</v>
      </c>
      <c r="C406" s="1" t="n">
        <v>45931</v>
      </c>
      <c r="D406" t="inlineStr">
        <is>
          <t>DALARNAS LÄN</t>
        </is>
      </c>
      <c r="E406" t="inlineStr">
        <is>
          <t>MORA</t>
        </is>
      </c>
      <c r="G406" t="n">
        <v>2.8</v>
      </c>
      <c r="H406" t="n">
        <v>0</v>
      </c>
      <c r="I406" t="n">
        <v>0</v>
      </c>
      <c r="J406" t="n">
        <v>0</v>
      </c>
      <c r="K406" t="n">
        <v>0</v>
      </c>
      <c r="L406" t="n">
        <v>0</v>
      </c>
      <c r="M406" t="n">
        <v>0</v>
      </c>
      <c r="N406" t="n">
        <v>0</v>
      </c>
      <c r="O406" t="n">
        <v>0</v>
      </c>
      <c r="P406" t="n">
        <v>0</v>
      </c>
      <c r="Q406" t="n">
        <v>0</v>
      </c>
      <c r="R406" s="2" t="inlineStr"/>
    </row>
    <row r="407" ht="15" customHeight="1">
      <c r="A407" t="inlineStr">
        <is>
          <t>A 25737-2025</t>
        </is>
      </c>
      <c r="B407" s="1" t="n">
        <v>45800</v>
      </c>
      <c r="C407" s="1" t="n">
        <v>45931</v>
      </c>
      <c r="D407" t="inlineStr">
        <is>
          <t>DALARNAS LÄN</t>
        </is>
      </c>
      <c r="E407" t="inlineStr">
        <is>
          <t>MORA</t>
        </is>
      </c>
      <c r="G407" t="n">
        <v>9.6</v>
      </c>
      <c r="H407" t="n">
        <v>0</v>
      </c>
      <c r="I407" t="n">
        <v>0</v>
      </c>
      <c r="J407" t="n">
        <v>0</v>
      </c>
      <c r="K407" t="n">
        <v>0</v>
      </c>
      <c r="L407" t="n">
        <v>0</v>
      </c>
      <c r="M407" t="n">
        <v>0</v>
      </c>
      <c r="N407" t="n">
        <v>0</v>
      </c>
      <c r="O407" t="n">
        <v>0</v>
      </c>
      <c r="P407" t="n">
        <v>0</v>
      </c>
      <c r="Q407" t="n">
        <v>0</v>
      </c>
      <c r="R407" s="2" t="inlineStr"/>
    </row>
    <row r="408" ht="15" customHeight="1">
      <c r="A408" t="inlineStr">
        <is>
          <t>A 24335-2022</t>
        </is>
      </c>
      <c r="B408" s="1" t="n">
        <v>44725</v>
      </c>
      <c r="C408" s="1" t="n">
        <v>45931</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20401-2022</t>
        </is>
      </c>
      <c r="B409" s="1" t="n">
        <v>44699</v>
      </c>
      <c r="C409" s="1" t="n">
        <v>45931</v>
      </c>
      <c r="D409" t="inlineStr">
        <is>
          <t>DALARNAS LÄN</t>
        </is>
      </c>
      <c r="E409" t="inlineStr">
        <is>
          <t>MORA</t>
        </is>
      </c>
      <c r="G409" t="n">
        <v>3.2</v>
      </c>
      <c r="H409" t="n">
        <v>0</v>
      </c>
      <c r="I409" t="n">
        <v>0</v>
      </c>
      <c r="J409" t="n">
        <v>0</v>
      </c>
      <c r="K409" t="n">
        <v>0</v>
      </c>
      <c r="L409" t="n">
        <v>0</v>
      </c>
      <c r="M409" t="n">
        <v>0</v>
      </c>
      <c r="N409" t="n">
        <v>0</v>
      </c>
      <c r="O409" t="n">
        <v>0</v>
      </c>
      <c r="P409" t="n">
        <v>0</v>
      </c>
      <c r="Q409" t="n">
        <v>0</v>
      </c>
      <c r="R409" s="2" t="inlineStr"/>
    </row>
    <row r="410" ht="15" customHeight="1">
      <c r="A410" t="inlineStr">
        <is>
          <t>A 18120-2025</t>
        </is>
      </c>
      <c r="B410" s="1" t="n">
        <v>45761</v>
      </c>
      <c r="C410" s="1" t="n">
        <v>45931</v>
      </c>
      <c r="D410" t="inlineStr">
        <is>
          <t>DALARNAS LÄN</t>
        </is>
      </c>
      <c r="E410" t="inlineStr">
        <is>
          <t>MORA</t>
        </is>
      </c>
      <c r="F410" t="inlineStr">
        <is>
          <t>Bergvik skog väst AB</t>
        </is>
      </c>
      <c r="G410" t="n">
        <v>6.4</v>
      </c>
      <c r="H410" t="n">
        <v>0</v>
      </c>
      <c r="I410" t="n">
        <v>0</v>
      </c>
      <c r="J410" t="n">
        <v>0</v>
      </c>
      <c r="K410" t="n">
        <v>0</v>
      </c>
      <c r="L410" t="n">
        <v>0</v>
      </c>
      <c r="M410" t="n">
        <v>0</v>
      </c>
      <c r="N410" t="n">
        <v>0</v>
      </c>
      <c r="O410" t="n">
        <v>0</v>
      </c>
      <c r="P410" t="n">
        <v>0</v>
      </c>
      <c r="Q410" t="n">
        <v>0</v>
      </c>
      <c r="R410" s="2" t="inlineStr"/>
    </row>
    <row r="411" ht="15" customHeight="1">
      <c r="A411" t="inlineStr">
        <is>
          <t>A 18127-2025</t>
        </is>
      </c>
      <c r="B411" s="1" t="n">
        <v>45761.59523148148</v>
      </c>
      <c r="C411" s="1" t="n">
        <v>45931</v>
      </c>
      <c r="D411" t="inlineStr">
        <is>
          <t>DALARNAS LÄN</t>
        </is>
      </c>
      <c r="E411" t="inlineStr">
        <is>
          <t>MORA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25887-2023</t>
        </is>
      </c>
      <c r="B412" s="1" t="n">
        <v>45090.62493055555</v>
      </c>
      <c r="C412" s="1" t="n">
        <v>45931</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20544-2025</t>
        </is>
      </c>
      <c r="B413" s="1" t="n">
        <v>45775.63119212963</v>
      </c>
      <c r="C413" s="1" t="n">
        <v>45931</v>
      </c>
      <c r="D413" t="inlineStr">
        <is>
          <t>DALARNAS LÄN</t>
        </is>
      </c>
      <c r="E413" t="inlineStr">
        <is>
          <t>MORA</t>
        </is>
      </c>
      <c r="G413" t="n">
        <v>3.6</v>
      </c>
      <c r="H413" t="n">
        <v>0</v>
      </c>
      <c r="I413" t="n">
        <v>0</v>
      </c>
      <c r="J413" t="n">
        <v>0</v>
      </c>
      <c r="K413" t="n">
        <v>0</v>
      </c>
      <c r="L413" t="n">
        <v>0</v>
      </c>
      <c r="M413" t="n">
        <v>0</v>
      </c>
      <c r="N413" t="n">
        <v>0</v>
      </c>
      <c r="O413" t="n">
        <v>0</v>
      </c>
      <c r="P413" t="n">
        <v>0</v>
      </c>
      <c r="Q413" t="n">
        <v>0</v>
      </c>
      <c r="R413" s="2" t="inlineStr"/>
    </row>
    <row r="414" ht="15" customHeight="1">
      <c r="A414" t="inlineStr">
        <is>
          <t>A 15440-2024</t>
        </is>
      </c>
      <c r="B414" s="1" t="n">
        <v>45401.4194212963</v>
      </c>
      <c r="C414" s="1" t="n">
        <v>45931</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36740-2023</t>
        </is>
      </c>
      <c r="B415" s="1" t="n">
        <v>45153</v>
      </c>
      <c r="C415" s="1" t="n">
        <v>45931</v>
      </c>
      <c r="D415" t="inlineStr">
        <is>
          <t>DALARNAS LÄN</t>
        </is>
      </c>
      <c r="E415" t="inlineStr">
        <is>
          <t>MORA</t>
        </is>
      </c>
      <c r="G415" t="n">
        <v>0.2</v>
      </c>
      <c r="H415" t="n">
        <v>0</v>
      </c>
      <c r="I415" t="n">
        <v>0</v>
      </c>
      <c r="J415" t="n">
        <v>0</v>
      </c>
      <c r="K415" t="n">
        <v>0</v>
      </c>
      <c r="L415" t="n">
        <v>0</v>
      </c>
      <c r="M415" t="n">
        <v>0</v>
      </c>
      <c r="N415" t="n">
        <v>0</v>
      </c>
      <c r="O415" t="n">
        <v>0</v>
      </c>
      <c r="P415" t="n">
        <v>0</v>
      </c>
      <c r="Q415" t="n">
        <v>0</v>
      </c>
      <c r="R415" s="2" t="inlineStr"/>
    </row>
    <row r="416" ht="15" customHeight="1">
      <c r="A416" t="inlineStr">
        <is>
          <t>A 11857-2023</t>
        </is>
      </c>
      <c r="B416" s="1" t="n">
        <v>44995</v>
      </c>
      <c r="C416" s="1" t="n">
        <v>45931</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15818-2024</t>
        </is>
      </c>
      <c r="B417" s="1" t="n">
        <v>45404.67442129629</v>
      </c>
      <c r="C417" s="1" t="n">
        <v>45931</v>
      </c>
      <c r="D417" t="inlineStr">
        <is>
          <t>DALARNAS LÄN</t>
        </is>
      </c>
      <c r="E417" t="inlineStr">
        <is>
          <t>MORA</t>
        </is>
      </c>
      <c r="G417" t="n">
        <v>7</v>
      </c>
      <c r="H417" t="n">
        <v>0</v>
      </c>
      <c r="I417" t="n">
        <v>0</v>
      </c>
      <c r="J417" t="n">
        <v>0</v>
      </c>
      <c r="K417" t="n">
        <v>0</v>
      </c>
      <c r="L417" t="n">
        <v>0</v>
      </c>
      <c r="M417" t="n">
        <v>0</v>
      </c>
      <c r="N417" t="n">
        <v>0</v>
      </c>
      <c r="O417" t="n">
        <v>0</v>
      </c>
      <c r="P417" t="n">
        <v>0</v>
      </c>
      <c r="Q417" t="n">
        <v>0</v>
      </c>
      <c r="R417" s="2" t="inlineStr"/>
    </row>
    <row r="418" ht="15" customHeight="1">
      <c r="A418" t="inlineStr">
        <is>
          <t>A 26647-2025</t>
        </is>
      </c>
      <c r="B418" s="1" t="n">
        <v>45810.38439814815</v>
      </c>
      <c r="C418" s="1" t="n">
        <v>45931</v>
      </c>
      <c r="D418" t="inlineStr">
        <is>
          <t>DALARNAS LÄN</t>
        </is>
      </c>
      <c r="E418" t="inlineStr">
        <is>
          <t>MORA</t>
        </is>
      </c>
      <c r="G418" t="n">
        <v>7.9</v>
      </c>
      <c r="H418" t="n">
        <v>0</v>
      </c>
      <c r="I418" t="n">
        <v>0</v>
      </c>
      <c r="J418" t="n">
        <v>0</v>
      </c>
      <c r="K418" t="n">
        <v>0</v>
      </c>
      <c r="L418" t="n">
        <v>0</v>
      </c>
      <c r="M418" t="n">
        <v>0</v>
      </c>
      <c r="N418" t="n">
        <v>0</v>
      </c>
      <c r="O418" t="n">
        <v>0</v>
      </c>
      <c r="P418" t="n">
        <v>0</v>
      </c>
      <c r="Q418" t="n">
        <v>0</v>
      </c>
      <c r="R418" s="2" t="inlineStr"/>
    </row>
    <row r="419" ht="15" customHeight="1">
      <c r="A419" t="inlineStr">
        <is>
          <t>A 48342-2023</t>
        </is>
      </c>
      <c r="B419" s="1" t="n">
        <v>45205</v>
      </c>
      <c r="C419" s="1" t="n">
        <v>45931</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45674-2024</t>
        </is>
      </c>
      <c r="B420" s="1" t="n">
        <v>45573</v>
      </c>
      <c r="C420" s="1" t="n">
        <v>45931</v>
      </c>
      <c r="D420" t="inlineStr">
        <is>
          <t>DALARNAS LÄN</t>
        </is>
      </c>
      <c r="E420" t="inlineStr">
        <is>
          <t>MORA</t>
        </is>
      </c>
      <c r="G420" t="n">
        <v>3.2</v>
      </c>
      <c r="H420" t="n">
        <v>0</v>
      </c>
      <c r="I420" t="n">
        <v>0</v>
      </c>
      <c r="J420" t="n">
        <v>0</v>
      </c>
      <c r="K420" t="n">
        <v>0</v>
      </c>
      <c r="L420" t="n">
        <v>0</v>
      </c>
      <c r="M420" t="n">
        <v>0</v>
      </c>
      <c r="N420" t="n">
        <v>0</v>
      </c>
      <c r="O420" t="n">
        <v>0</v>
      </c>
      <c r="P420" t="n">
        <v>0</v>
      </c>
      <c r="Q420" t="n">
        <v>0</v>
      </c>
      <c r="R420" s="2" t="inlineStr"/>
    </row>
    <row r="421" ht="15" customHeight="1">
      <c r="A421" t="inlineStr">
        <is>
          <t>A 56425-2024</t>
        </is>
      </c>
      <c r="B421" s="1" t="n">
        <v>45625.38677083333</v>
      </c>
      <c r="C421" s="1" t="n">
        <v>45931</v>
      </c>
      <c r="D421" t="inlineStr">
        <is>
          <t>DALARNAS LÄN</t>
        </is>
      </c>
      <c r="E421" t="inlineStr">
        <is>
          <t>MORA</t>
        </is>
      </c>
      <c r="G421" t="n">
        <v>2.1</v>
      </c>
      <c r="H421" t="n">
        <v>0</v>
      </c>
      <c r="I421" t="n">
        <v>0</v>
      </c>
      <c r="J421" t="n">
        <v>0</v>
      </c>
      <c r="K421" t="n">
        <v>0</v>
      </c>
      <c r="L421" t="n">
        <v>0</v>
      </c>
      <c r="M421" t="n">
        <v>0</v>
      </c>
      <c r="N421" t="n">
        <v>0</v>
      </c>
      <c r="O421" t="n">
        <v>0</v>
      </c>
      <c r="P421" t="n">
        <v>0</v>
      </c>
      <c r="Q421" t="n">
        <v>0</v>
      </c>
      <c r="R421" s="2" t="inlineStr"/>
    </row>
    <row r="422" ht="15" customHeight="1">
      <c r="A422" t="inlineStr">
        <is>
          <t>A 17393-2025</t>
        </is>
      </c>
      <c r="B422" s="1" t="n">
        <v>45757.34350694445</v>
      </c>
      <c r="C422" s="1" t="n">
        <v>45931</v>
      </c>
      <c r="D422" t="inlineStr">
        <is>
          <t>DALARNAS LÄN</t>
        </is>
      </c>
      <c r="E422" t="inlineStr">
        <is>
          <t>MORA</t>
        </is>
      </c>
      <c r="G422" t="n">
        <v>10.1</v>
      </c>
      <c r="H422" t="n">
        <v>0</v>
      </c>
      <c r="I422" t="n">
        <v>0</v>
      </c>
      <c r="J422" t="n">
        <v>0</v>
      </c>
      <c r="K422" t="n">
        <v>0</v>
      </c>
      <c r="L422" t="n">
        <v>0</v>
      </c>
      <c r="M422" t="n">
        <v>0</v>
      </c>
      <c r="N422" t="n">
        <v>0</v>
      </c>
      <c r="O422" t="n">
        <v>0</v>
      </c>
      <c r="P422" t="n">
        <v>0</v>
      </c>
      <c r="Q422" t="n">
        <v>0</v>
      </c>
      <c r="R422" s="2" t="inlineStr"/>
    </row>
    <row r="423" ht="15" customHeight="1">
      <c r="A423" t="inlineStr">
        <is>
          <t>A 30819-2024</t>
        </is>
      </c>
      <c r="B423" s="1" t="n">
        <v>45497</v>
      </c>
      <c r="C423" s="1" t="n">
        <v>45931</v>
      </c>
      <c r="D423" t="inlineStr">
        <is>
          <t>DALARNAS LÄN</t>
        </is>
      </c>
      <c r="E423" t="inlineStr">
        <is>
          <t>MORA</t>
        </is>
      </c>
      <c r="G423" t="n">
        <v>2.2</v>
      </c>
      <c r="H423" t="n">
        <v>0</v>
      </c>
      <c r="I423" t="n">
        <v>0</v>
      </c>
      <c r="J423" t="n">
        <v>0</v>
      </c>
      <c r="K423" t="n">
        <v>0</v>
      </c>
      <c r="L423" t="n">
        <v>0</v>
      </c>
      <c r="M423" t="n">
        <v>0</v>
      </c>
      <c r="N423" t="n">
        <v>0</v>
      </c>
      <c r="O423" t="n">
        <v>0</v>
      </c>
      <c r="P423" t="n">
        <v>0</v>
      </c>
      <c r="Q423" t="n">
        <v>0</v>
      </c>
      <c r="R423" s="2" t="inlineStr"/>
    </row>
    <row r="424" ht="15" customHeight="1">
      <c r="A424" t="inlineStr">
        <is>
          <t>A 45390-2024</t>
        </is>
      </c>
      <c r="B424" s="1" t="n">
        <v>45576.54820601852</v>
      </c>
      <c r="C424" s="1" t="n">
        <v>45931</v>
      </c>
      <c r="D424" t="inlineStr">
        <is>
          <t>DALARNAS LÄN</t>
        </is>
      </c>
      <c r="E424" t="inlineStr">
        <is>
          <t>MORA</t>
        </is>
      </c>
      <c r="F424" t="inlineStr">
        <is>
          <t>Bergvik skog väst AB</t>
        </is>
      </c>
      <c r="G424" t="n">
        <v>5.6</v>
      </c>
      <c r="H424" t="n">
        <v>0</v>
      </c>
      <c r="I424" t="n">
        <v>0</v>
      </c>
      <c r="J424" t="n">
        <v>0</v>
      </c>
      <c r="K424" t="n">
        <v>0</v>
      </c>
      <c r="L424" t="n">
        <v>0</v>
      </c>
      <c r="M424" t="n">
        <v>0</v>
      </c>
      <c r="N424" t="n">
        <v>0</v>
      </c>
      <c r="O424" t="n">
        <v>0</v>
      </c>
      <c r="P424" t="n">
        <v>0</v>
      </c>
      <c r="Q424" t="n">
        <v>0</v>
      </c>
      <c r="R424" s="2" t="inlineStr"/>
    </row>
    <row r="425" ht="15" customHeight="1">
      <c r="A425" t="inlineStr">
        <is>
          <t>A 19756-2022</t>
        </is>
      </c>
      <c r="B425" s="1" t="n">
        <v>44694.62913194444</v>
      </c>
      <c r="C425" s="1" t="n">
        <v>45931</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14936-2025</t>
        </is>
      </c>
      <c r="B426" s="1" t="n">
        <v>45743.55756944444</v>
      </c>
      <c r="C426" s="1" t="n">
        <v>45931</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26546-2025</t>
        </is>
      </c>
      <c r="B427" s="1" t="n">
        <v>45807</v>
      </c>
      <c r="C427" s="1" t="n">
        <v>45931</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26573-2025</t>
        </is>
      </c>
      <c r="B428" s="1" t="n">
        <v>45807</v>
      </c>
      <c r="C428" s="1" t="n">
        <v>45931</v>
      </c>
      <c r="D428" t="inlineStr">
        <is>
          <t>DALARNAS LÄN</t>
        </is>
      </c>
      <c r="E428" t="inlineStr">
        <is>
          <t>MORA</t>
        </is>
      </c>
      <c r="G428" t="n">
        <v>4.3</v>
      </c>
      <c r="H428" t="n">
        <v>0</v>
      </c>
      <c r="I428" t="n">
        <v>0</v>
      </c>
      <c r="J428" t="n">
        <v>0</v>
      </c>
      <c r="K428" t="n">
        <v>0</v>
      </c>
      <c r="L428" t="n">
        <v>0</v>
      </c>
      <c r="M428" t="n">
        <v>0</v>
      </c>
      <c r="N428" t="n">
        <v>0</v>
      </c>
      <c r="O428" t="n">
        <v>0</v>
      </c>
      <c r="P428" t="n">
        <v>0</v>
      </c>
      <c r="Q428" t="n">
        <v>0</v>
      </c>
      <c r="R428" s="2" t="inlineStr"/>
    </row>
    <row r="429" ht="15" customHeight="1">
      <c r="A429" t="inlineStr">
        <is>
          <t>A 26532-2025</t>
        </is>
      </c>
      <c r="B429" s="1" t="n">
        <v>45807</v>
      </c>
      <c r="C429" s="1" t="n">
        <v>45931</v>
      </c>
      <c r="D429" t="inlineStr">
        <is>
          <t>DALARNAS LÄN</t>
        </is>
      </c>
      <c r="E429" t="inlineStr">
        <is>
          <t>MORA</t>
        </is>
      </c>
      <c r="G429" t="n">
        <v>4.4</v>
      </c>
      <c r="H429" t="n">
        <v>0</v>
      </c>
      <c r="I429" t="n">
        <v>0</v>
      </c>
      <c r="J429" t="n">
        <v>0</v>
      </c>
      <c r="K429" t="n">
        <v>0</v>
      </c>
      <c r="L429" t="n">
        <v>0</v>
      </c>
      <c r="M429" t="n">
        <v>0</v>
      </c>
      <c r="N429" t="n">
        <v>0</v>
      </c>
      <c r="O429" t="n">
        <v>0</v>
      </c>
      <c r="P429" t="n">
        <v>0</v>
      </c>
      <c r="Q429" t="n">
        <v>0</v>
      </c>
      <c r="R429" s="2" t="inlineStr"/>
    </row>
    <row r="430" ht="15" customHeight="1">
      <c r="A430" t="inlineStr">
        <is>
          <t>A 26545-2025</t>
        </is>
      </c>
      <c r="B430" s="1" t="n">
        <v>45807</v>
      </c>
      <c r="C430" s="1" t="n">
        <v>45931</v>
      </c>
      <c r="D430" t="inlineStr">
        <is>
          <t>DALARNAS LÄN</t>
        </is>
      </c>
      <c r="E430" t="inlineStr">
        <is>
          <t>MORA</t>
        </is>
      </c>
      <c r="G430" t="n">
        <v>1.3</v>
      </c>
      <c r="H430" t="n">
        <v>0</v>
      </c>
      <c r="I430" t="n">
        <v>0</v>
      </c>
      <c r="J430" t="n">
        <v>0</v>
      </c>
      <c r="K430" t="n">
        <v>0</v>
      </c>
      <c r="L430" t="n">
        <v>0</v>
      </c>
      <c r="M430" t="n">
        <v>0</v>
      </c>
      <c r="N430" t="n">
        <v>0</v>
      </c>
      <c r="O430" t="n">
        <v>0</v>
      </c>
      <c r="P430" t="n">
        <v>0</v>
      </c>
      <c r="Q430" t="n">
        <v>0</v>
      </c>
      <c r="R430" s="2" t="inlineStr"/>
    </row>
    <row r="431" ht="15" customHeight="1">
      <c r="A431" t="inlineStr">
        <is>
          <t>A 5216-2025</t>
        </is>
      </c>
      <c r="B431" s="1" t="n">
        <v>45691.69671296296</v>
      </c>
      <c r="C431" s="1" t="n">
        <v>45931</v>
      </c>
      <c r="D431" t="inlineStr">
        <is>
          <t>DALARNAS LÄN</t>
        </is>
      </c>
      <c r="E431" t="inlineStr">
        <is>
          <t>MORA</t>
        </is>
      </c>
      <c r="G431" t="n">
        <v>2.5</v>
      </c>
      <c r="H431" t="n">
        <v>0</v>
      </c>
      <c r="I431" t="n">
        <v>0</v>
      </c>
      <c r="J431" t="n">
        <v>0</v>
      </c>
      <c r="K431" t="n">
        <v>0</v>
      </c>
      <c r="L431" t="n">
        <v>0</v>
      </c>
      <c r="M431" t="n">
        <v>0</v>
      </c>
      <c r="N431" t="n">
        <v>0</v>
      </c>
      <c r="O431" t="n">
        <v>0</v>
      </c>
      <c r="P431" t="n">
        <v>0</v>
      </c>
      <c r="Q431" t="n">
        <v>0</v>
      </c>
      <c r="R431" s="2" t="inlineStr"/>
    </row>
    <row r="432" ht="15" customHeight="1">
      <c r="A432" t="inlineStr">
        <is>
          <t>A 53344-2023</t>
        </is>
      </c>
      <c r="B432" s="1" t="n">
        <v>45229</v>
      </c>
      <c r="C432" s="1" t="n">
        <v>45931</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20885-2024</t>
        </is>
      </c>
      <c r="B433" s="1" t="n">
        <v>45439.45527777778</v>
      </c>
      <c r="C433" s="1" t="n">
        <v>45931</v>
      </c>
      <c r="D433" t="inlineStr">
        <is>
          <t>DALARNAS LÄN</t>
        </is>
      </c>
      <c r="E433" t="inlineStr">
        <is>
          <t>MORA</t>
        </is>
      </c>
      <c r="G433" t="n">
        <v>5</v>
      </c>
      <c r="H433" t="n">
        <v>0</v>
      </c>
      <c r="I433" t="n">
        <v>0</v>
      </c>
      <c r="J433" t="n">
        <v>0</v>
      </c>
      <c r="K433" t="n">
        <v>0</v>
      </c>
      <c r="L433" t="n">
        <v>0</v>
      </c>
      <c r="M433" t="n">
        <v>0</v>
      </c>
      <c r="N433" t="n">
        <v>0</v>
      </c>
      <c r="O433" t="n">
        <v>0</v>
      </c>
      <c r="P433" t="n">
        <v>0</v>
      </c>
      <c r="Q433" t="n">
        <v>0</v>
      </c>
      <c r="R433" s="2" t="inlineStr"/>
    </row>
    <row r="434" ht="15" customHeight="1">
      <c r="A434" t="inlineStr">
        <is>
          <t>A 26630-2025</t>
        </is>
      </c>
      <c r="B434" s="1" t="n">
        <v>45809</v>
      </c>
      <c r="C434" s="1" t="n">
        <v>45931</v>
      </c>
      <c r="D434" t="inlineStr">
        <is>
          <t>DALARNAS LÄN</t>
        </is>
      </c>
      <c r="E434" t="inlineStr">
        <is>
          <t>MORA</t>
        </is>
      </c>
      <c r="G434" t="n">
        <v>32.1</v>
      </c>
      <c r="H434" t="n">
        <v>0</v>
      </c>
      <c r="I434" t="n">
        <v>0</v>
      </c>
      <c r="J434" t="n">
        <v>0</v>
      </c>
      <c r="K434" t="n">
        <v>0</v>
      </c>
      <c r="L434" t="n">
        <v>0</v>
      </c>
      <c r="M434" t="n">
        <v>0</v>
      </c>
      <c r="N434" t="n">
        <v>0</v>
      </c>
      <c r="O434" t="n">
        <v>0</v>
      </c>
      <c r="P434" t="n">
        <v>0</v>
      </c>
      <c r="Q434" t="n">
        <v>0</v>
      </c>
      <c r="R434" s="2" t="inlineStr"/>
    </row>
    <row r="435" ht="15" customHeight="1">
      <c r="A435" t="inlineStr">
        <is>
          <t>A 35381-2024</t>
        </is>
      </c>
      <c r="B435" s="1" t="n">
        <v>45531.38372685185</v>
      </c>
      <c r="C435" s="1" t="n">
        <v>45931</v>
      </c>
      <c r="D435" t="inlineStr">
        <is>
          <t>DALARNAS LÄN</t>
        </is>
      </c>
      <c r="E435" t="inlineStr">
        <is>
          <t>MORA</t>
        </is>
      </c>
      <c r="G435" t="n">
        <v>3.7</v>
      </c>
      <c r="H435" t="n">
        <v>0</v>
      </c>
      <c r="I435" t="n">
        <v>0</v>
      </c>
      <c r="J435" t="n">
        <v>0</v>
      </c>
      <c r="K435" t="n">
        <v>0</v>
      </c>
      <c r="L435" t="n">
        <v>0</v>
      </c>
      <c r="M435" t="n">
        <v>0</v>
      </c>
      <c r="N435" t="n">
        <v>0</v>
      </c>
      <c r="O435" t="n">
        <v>0</v>
      </c>
      <c r="P435" t="n">
        <v>0</v>
      </c>
      <c r="Q435" t="n">
        <v>0</v>
      </c>
      <c r="R435" s="2" t="inlineStr"/>
    </row>
    <row r="436" ht="15" customHeight="1">
      <c r="A436" t="inlineStr">
        <is>
          <t>A 26577-2025</t>
        </is>
      </c>
      <c r="B436" s="1" t="n">
        <v>45807</v>
      </c>
      <c r="C436" s="1" t="n">
        <v>45931</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59448-2022</t>
        </is>
      </c>
      <c r="B437" s="1" t="n">
        <v>44907</v>
      </c>
      <c r="C437" s="1" t="n">
        <v>45931</v>
      </c>
      <c r="D437" t="inlineStr">
        <is>
          <t>DALARNAS LÄN</t>
        </is>
      </c>
      <c r="E437" t="inlineStr">
        <is>
          <t>MORA</t>
        </is>
      </c>
      <c r="G437" t="n">
        <v>35.7</v>
      </c>
      <c r="H437" t="n">
        <v>0</v>
      </c>
      <c r="I437" t="n">
        <v>0</v>
      </c>
      <c r="J437" t="n">
        <v>0</v>
      </c>
      <c r="K437" t="n">
        <v>0</v>
      </c>
      <c r="L437" t="n">
        <v>0</v>
      </c>
      <c r="M437" t="n">
        <v>0</v>
      </c>
      <c r="N437" t="n">
        <v>0</v>
      </c>
      <c r="O437" t="n">
        <v>0</v>
      </c>
      <c r="P437" t="n">
        <v>0</v>
      </c>
      <c r="Q437" t="n">
        <v>0</v>
      </c>
      <c r="R437" s="2" t="inlineStr"/>
    </row>
    <row r="438" ht="15" customHeight="1">
      <c r="A438" t="inlineStr">
        <is>
          <t>A 26854-2025</t>
        </is>
      </c>
      <c r="B438" s="1" t="n">
        <v>45810.67462962963</v>
      </c>
      <c r="C438" s="1" t="n">
        <v>45931</v>
      </c>
      <c r="D438" t="inlineStr">
        <is>
          <t>DALARNAS LÄN</t>
        </is>
      </c>
      <c r="E438" t="inlineStr">
        <is>
          <t>MORA</t>
        </is>
      </c>
      <c r="G438" t="n">
        <v>4.4</v>
      </c>
      <c r="H438" t="n">
        <v>0</v>
      </c>
      <c r="I438" t="n">
        <v>0</v>
      </c>
      <c r="J438" t="n">
        <v>0</v>
      </c>
      <c r="K438" t="n">
        <v>0</v>
      </c>
      <c r="L438" t="n">
        <v>0</v>
      </c>
      <c r="M438" t="n">
        <v>0</v>
      </c>
      <c r="N438" t="n">
        <v>0</v>
      </c>
      <c r="O438" t="n">
        <v>0</v>
      </c>
      <c r="P438" t="n">
        <v>0</v>
      </c>
      <c r="Q438" t="n">
        <v>0</v>
      </c>
      <c r="R438" s="2" t="inlineStr"/>
    </row>
    <row r="439" ht="15" customHeight="1">
      <c r="A439" t="inlineStr">
        <is>
          <t>A 15817-2024</t>
        </is>
      </c>
      <c r="B439" s="1" t="n">
        <v>45404.67387731482</v>
      </c>
      <c r="C439" s="1" t="n">
        <v>45931</v>
      </c>
      <c r="D439" t="inlineStr">
        <is>
          <t>DALARNAS LÄN</t>
        </is>
      </c>
      <c r="E439" t="inlineStr">
        <is>
          <t>MORA</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45931</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46755-2023</t>
        </is>
      </c>
      <c r="B441" s="1" t="n">
        <v>45198.61314814815</v>
      </c>
      <c r="C441" s="1" t="n">
        <v>45931</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40286-2024</t>
        </is>
      </c>
      <c r="B442" s="1" t="n">
        <v>45554.6687037037</v>
      </c>
      <c r="C442" s="1" t="n">
        <v>45931</v>
      </c>
      <c r="D442" t="inlineStr">
        <is>
          <t>DALARNAS LÄN</t>
        </is>
      </c>
      <c r="E442" t="inlineStr">
        <is>
          <t>MORA</t>
        </is>
      </c>
      <c r="G442" t="n">
        <v>0.4</v>
      </c>
      <c r="H442" t="n">
        <v>0</v>
      </c>
      <c r="I442" t="n">
        <v>0</v>
      </c>
      <c r="J442" t="n">
        <v>0</v>
      </c>
      <c r="K442" t="n">
        <v>0</v>
      </c>
      <c r="L442" t="n">
        <v>0</v>
      </c>
      <c r="M442" t="n">
        <v>0</v>
      </c>
      <c r="N442" t="n">
        <v>0</v>
      </c>
      <c r="O442" t="n">
        <v>0</v>
      </c>
      <c r="P442" t="n">
        <v>0</v>
      </c>
      <c r="Q442" t="n">
        <v>0</v>
      </c>
      <c r="R442" s="2" t="inlineStr"/>
    </row>
    <row r="443" ht="15" customHeight="1">
      <c r="A443" t="inlineStr">
        <is>
          <t>A 14372-2025</t>
        </is>
      </c>
      <c r="B443" s="1" t="n">
        <v>45741.4050462963</v>
      </c>
      <c r="C443" s="1" t="n">
        <v>45931</v>
      </c>
      <c r="D443" t="inlineStr">
        <is>
          <t>DALARNAS LÄN</t>
        </is>
      </c>
      <c r="E443" t="inlineStr">
        <is>
          <t>MORA</t>
        </is>
      </c>
      <c r="G443" t="n">
        <v>5.1</v>
      </c>
      <c r="H443" t="n">
        <v>0</v>
      </c>
      <c r="I443" t="n">
        <v>0</v>
      </c>
      <c r="J443" t="n">
        <v>0</v>
      </c>
      <c r="K443" t="n">
        <v>0</v>
      </c>
      <c r="L443" t="n">
        <v>0</v>
      </c>
      <c r="M443" t="n">
        <v>0</v>
      </c>
      <c r="N443" t="n">
        <v>0</v>
      </c>
      <c r="O443" t="n">
        <v>0</v>
      </c>
      <c r="P443" t="n">
        <v>0</v>
      </c>
      <c r="Q443" t="n">
        <v>0</v>
      </c>
      <c r="R443" s="2" t="inlineStr"/>
    </row>
    <row r="444" ht="15" customHeight="1">
      <c r="A444" t="inlineStr">
        <is>
          <t>A 14378-2025</t>
        </is>
      </c>
      <c r="B444" s="1" t="n">
        <v>45741</v>
      </c>
      <c r="C444" s="1" t="n">
        <v>45931</v>
      </c>
      <c r="D444" t="inlineStr">
        <is>
          <t>DALARNAS LÄN</t>
        </is>
      </c>
      <c r="E444" t="inlineStr">
        <is>
          <t>MORA</t>
        </is>
      </c>
      <c r="G444" t="n">
        <v>5.2</v>
      </c>
      <c r="H444" t="n">
        <v>0</v>
      </c>
      <c r="I444" t="n">
        <v>0</v>
      </c>
      <c r="J444" t="n">
        <v>0</v>
      </c>
      <c r="K444" t="n">
        <v>0</v>
      </c>
      <c r="L444" t="n">
        <v>0</v>
      </c>
      <c r="M444" t="n">
        <v>0</v>
      </c>
      <c r="N444" t="n">
        <v>0</v>
      </c>
      <c r="O444" t="n">
        <v>0</v>
      </c>
      <c r="P444" t="n">
        <v>0</v>
      </c>
      <c r="Q444" t="n">
        <v>0</v>
      </c>
      <c r="R444" s="2" t="inlineStr"/>
    </row>
    <row r="445" ht="15" customHeight="1">
      <c r="A445" t="inlineStr">
        <is>
          <t>A 26731-2025</t>
        </is>
      </c>
      <c r="B445" s="1" t="n">
        <v>45810.50702546296</v>
      </c>
      <c r="C445" s="1" t="n">
        <v>45931</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48824-2023</t>
        </is>
      </c>
      <c r="B446" s="1" t="n">
        <v>45203</v>
      </c>
      <c r="C446" s="1" t="n">
        <v>45931</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26711-2025</t>
        </is>
      </c>
      <c r="B447" s="1" t="n">
        <v>45810.46144675926</v>
      </c>
      <c r="C447" s="1" t="n">
        <v>45931</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45355-2024</t>
        </is>
      </c>
      <c r="B448" s="1" t="n">
        <v>45576</v>
      </c>
      <c r="C448" s="1" t="n">
        <v>45931</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20504-2023</t>
        </is>
      </c>
      <c r="B449" s="1" t="n">
        <v>45057</v>
      </c>
      <c r="C449" s="1" t="n">
        <v>45931</v>
      </c>
      <c r="D449" t="inlineStr">
        <is>
          <t>DALARNAS LÄN</t>
        </is>
      </c>
      <c r="E449" t="inlineStr">
        <is>
          <t>MORA</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44595-2024</t>
        </is>
      </c>
      <c r="B450" s="1" t="n">
        <v>45574.51053240741</v>
      </c>
      <c r="C450" s="1" t="n">
        <v>45931</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27177-2025</t>
        </is>
      </c>
      <c r="B451" s="1" t="n">
        <v>45812.3533912037</v>
      </c>
      <c r="C451" s="1" t="n">
        <v>45931</v>
      </c>
      <c r="D451" t="inlineStr">
        <is>
          <t>DALARNAS LÄN</t>
        </is>
      </c>
      <c r="E451" t="inlineStr">
        <is>
          <t>MORA</t>
        </is>
      </c>
      <c r="F451" t="inlineStr">
        <is>
          <t>Bergvik skog öst AB</t>
        </is>
      </c>
      <c r="G451" t="n">
        <v>2.5</v>
      </c>
      <c r="H451" t="n">
        <v>0</v>
      </c>
      <c r="I451" t="n">
        <v>0</v>
      </c>
      <c r="J451" t="n">
        <v>0</v>
      </c>
      <c r="K451" t="n">
        <v>0</v>
      </c>
      <c r="L451" t="n">
        <v>0</v>
      </c>
      <c r="M451" t="n">
        <v>0</v>
      </c>
      <c r="N451" t="n">
        <v>0</v>
      </c>
      <c r="O451" t="n">
        <v>0</v>
      </c>
      <c r="P451" t="n">
        <v>0</v>
      </c>
      <c r="Q451" t="n">
        <v>0</v>
      </c>
      <c r="R451" s="2" t="inlineStr"/>
    </row>
    <row r="452" ht="15" customHeight="1">
      <c r="A452" t="inlineStr">
        <is>
          <t>A 27194-2025</t>
        </is>
      </c>
      <c r="B452" s="1" t="n">
        <v>45812.37965277778</v>
      </c>
      <c r="C452" s="1" t="n">
        <v>45931</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14611-2025</t>
        </is>
      </c>
      <c r="B453" s="1" t="n">
        <v>45742.38511574074</v>
      </c>
      <c r="C453" s="1" t="n">
        <v>45931</v>
      </c>
      <c r="D453" t="inlineStr">
        <is>
          <t>DALARNAS LÄN</t>
        </is>
      </c>
      <c r="E453" t="inlineStr">
        <is>
          <t>MORA</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27175-2025</t>
        </is>
      </c>
      <c r="B454" s="1" t="n">
        <v>45812.35072916667</v>
      </c>
      <c r="C454" s="1" t="n">
        <v>45931</v>
      </c>
      <c r="D454" t="inlineStr">
        <is>
          <t>DALARNAS LÄN</t>
        </is>
      </c>
      <c r="E454" t="inlineStr">
        <is>
          <t>MORA</t>
        </is>
      </c>
      <c r="F454" t="inlineStr">
        <is>
          <t>Bergvik skog öst AB</t>
        </is>
      </c>
      <c r="G454" t="n">
        <v>4</v>
      </c>
      <c r="H454" t="n">
        <v>0</v>
      </c>
      <c r="I454" t="n">
        <v>0</v>
      </c>
      <c r="J454" t="n">
        <v>0</v>
      </c>
      <c r="K454" t="n">
        <v>0</v>
      </c>
      <c r="L454" t="n">
        <v>0</v>
      </c>
      <c r="M454" t="n">
        <v>0</v>
      </c>
      <c r="N454" t="n">
        <v>0</v>
      </c>
      <c r="O454" t="n">
        <v>0</v>
      </c>
      <c r="P454" t="n">
        <v>0</v>
      </c>
      <c r="Q454" t="n">
        <v>0</v>
      </c>
      <c r="R454" s="2" t="inlineStr"/>
    </row>
    <row r="455" ht="15" customHeight="1">
      <c r="A455" t="inlineStr">
        <is>
          <t>A 44177-2023</t>
        </is>
      </c>
      <c r="B455" s="1" t="n">
        <v>45188.51439814815</v>
      </c>
      <c r="C455" s="1" t="n">
        <v>45931</v>
      </c>
      <c r="D455" t="inlineStr">
        <is>
          <t>DALARNAS LÄN</t>
        </is>
      </c>
      <c r="E455" t="inlineStr">
        <is>
          <t>MORA</t>
        </is>
      </c>
      <c r="G455" t="n">
        <v>2</v>
      </c>
      <c r="H455" t="n">
        <v>0</v>
      </c>
      <c r="I455" t="n">
        <v>0</v>
      </c>
      <c r="J455" t="n">
        <v>0</v>
      </c>
      <c r="K455" t="n">
        <v>0</v>
      </c>
      <c r="L455" t="n">
        <v>0</v>
      </c>
      <c r="M455" t="n">
        <v>0</v>
      </c>
      <c r="N455" t="n">
        <v>0</v>
      </c>
      <c r="O455" t="n">
        <v>0</v>
      </c>
      <c r="P455" t="n">
        <v>0</v>
      </c>
      <c r="Q455" t="n">
        <v>0</v>
      </c>
      <c r="R455" s="2" t="inlineStr"/>
    </row>
    <row r="456" ht="15" customHeight="1">
      <c r="A456" t="inlineStr">
        <is>
          <t>A 44201-2023</t>
        </is>
      </c>
      <c r="B456" s="1" t="n">
        <v>45188</v>
      </c>
      <c r="C456" s="1" t="n">
        <v>45931</v>
      </c>
      <c r="D456" t="inlineStr">
        <is>
          <t>DALARNAS LÄN</t>
        </is>
      </c>
      <c r="E456" t="inlineStr">
        <is>
          <t>MORA</t>
        </is>
      </c>
      <c r="G456" t="n">
        <v>0.6</v>
      </c>
      <c r="H456" t="n">
        <v>0</v>
      </c>
      <c r="I456" t="n">
        <v>0</v>
      </c>
      <c r="J456" t="n">
        <v>0</v>
      </c>
      <c r="K456" t="n">
        <v>0</v>
      </c>
      <c r="L456" t="n">
        <v>0</v>
      </c>
      <c r="M456" t="n">
        <v>0</v>
      </c>
      <c r="N456" t="n">
        <v>0</v>
      </c>
      <c r="O456" t="n">
        <v>0</v>
      </c>
      <c r="P456" t="n">
        <v>0</v>
      </c>
      <c r="Q456" t="n">
        <v>0</v>
      </c>
      <c r="R456" s="2" t="inlineStr"/>
    </row>
    <row r="457" ht="15" customHeight="1">
      <c r="A457" t="inlineStr">
        <is>
          <t>A 7565-2025</t>
        </is>
      </c>
      <c r="B457" s="1" t="n">
        <v>45705.59269675926</v>
      </c>
      <c r="C457" s="1" t="n">
        <v>45931</v>
      </c>
      <c r="D457" t="inlineStr">
        <is>
          <t>DALARNAS LÄN</t>
        </is>
      </c>
      <c r="E457" t="inlineStr">
        <is>
          <t>MORA</t>
        </is>
      </c>
      <c r="G457" t="n">
        <v>3</v>
      </c>
      <c r="H457" t="n">
        <v>0</v>
      </c>
      <c r="I457" t="n">
        <v>0</v>
      </c>
      <c r="J457" t="n">
        <v>0</v>
      </c>
      <c r="K457" t="n">
        <v>0</v>
      </c>
      <c r="L457" t="n">
        <v>0</v>
      </c>
      <c r="M457" t="n">
        <v>0</v>
      </c>
      <c r="N457" t="n">
        <v>0</v>
      </c>
      <c r="O457" t="n">
        <v>0</v>
      </c>
      <c r="P457" t="n">
        <v>0</v>
      </c>
      <c r="Q457" t="n">
        <v>0</v>
      </c>
      <c r="R457" s="2" t="inlineStr"/>
    </row>
    <row r="458" ht="15" customHeight="1">
      <c r="A458" t="inlineStr">
        <is>
          <t>A 27184-2025</t>
        </is>
      </c>
      <c r="B458" s="1" t="n">
        <v>45812.36133101852</v>
      </c>
      <c r="C458" s="1" t="n">
        <v>45931</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55222-2023</t>
        </is>
      </c>
      <c r="B459" s="1" t="n">
        <v>45237.60775462963</v>
      </c>
      <c r="C459" s="1" t="n">
        <v>45931</v>
      </c>
      <c r="D459" t="inlineStr">
        <is>
          <t>DALARNAS LÄN</t>
        </is>
      </c>
      <c r="E459" t="inlineStr">
        <is>
          <t>MORA</t>
        </is>
      </c>
      <c r="F459" t="inlineStr">
        <is>
          <t>Allmännings- och besparingsskogar</t>
        </is>
      </c>
      <c r="G459" t="n">
        <v>19.8</v>
      </c>
      <c r="H459" t="n">
        <v>0</v>
      </c>
      <c r="I459" t="n">
        <v>0</v>
      </c>
      <c r="J459" t="n">
        <v>0</v>
      </c>
      <c r="K459" t="n">
        <v>0</v>
      </c>
      <c r="L459" t="n">
        <v>0</v>
      </c>
      <c r="M459" t="n">
        <v>0</v>
      </c>
      <c r="N459" t="n">
        <v>0</v>
      </c>
      <c r="O459" t="n">
        <v>0</v>
      </c>
      <c r="P459" t="n">
        <v>0</v>
      </c>
      <c r="Q459" t="n">
        <v>0</v>
      </c>
      <c r="R459" s="2" t="inlineStr"/>
    </row>
    <row r="460" ht="15" customHeight="1">
      <c r="A460" t="inlineStr">
        <is>
          <t>A 31177-2021</t>
        </is>
      </c>
      <c r="B460" s="1" t="n">
        <v>44368</v>
      </c>
      <c r="C460" s="1" t="n">
        <v>45931</v>
      </c>
      <c r="D460" t="inlineStr">
        <is>
          <t>DALARNAS LÄN</t>
        </is>
      </c>
      <c r="E460" t="inlineStr">
        <is>
          <t>MORA</t>
        </is>
      </c>
      <c r="G460" t="n">
        <v>1.6</v>
      </c>
      <c r="H460" t="n">
        <v>0</v>
      </c>
      <c r="I460" t="n">
        <v>0</v>
      </c>
      <c r="J460" t="n">
        <v>0</v>
      </c>
      <c r="K460" t="n">
        <v>0</v>
      </c>
      <c r="L460" t="n">
        <v>0</v>
      </c>
      <c r="M460" t="n">
        <v>0</v>
      </c>
      <c r="N460" t="n">
        <v>0</v>
      </c>
      <c r="O460" t="n">
        <v>0</v>
      </c>
      <c r="P460" t="n">
        <v>0</v>
      </c>
      <c r="Q460" t="n">
        <v>0</v>
      </c>
      <c r="R460" s="2" t="inlineStr"/>
    </row>
    <row r="461" ht="15" customHeight="1">
      <c r="A461" t="inlineStr">
        <is>
          <t>A 43566-2023</t>
        </is>
      </c>
      <c r="B461" s="1" t="n">
        <v>45184.58199074074</v>
      </c>
      <c r="C461" s="1" t="n">
        <v>45931</v>
      </c>
      <c r="D461" t="inlineStr">
        <is>
          <t>DALARNAS LÄN</t>
        </is>
      </c>
      <c r="E461" t="inlineStr">
        <is>
          <t>MORA</t>
        </is>
      </c>
      <c r="F461" t="inlineStr">
        <is>
          <t>Bergvik skog väst AB</t>
        </is>
      </c>
      <c r="G461" t="n">
        <v>4.3</v>
      </c>
      <c r="H461" t="n">
        <v>0</v>
      </c>
      <c r="I461" t="n">
        <v>0</v>
      </c>
      <c r="J461" t="n">
        <v>0</v>
      </c>
      <c r="K461" t="n">
        <v>0</v>
      </c>
      <c r="L461" t="n">
        <v>0</v>
      </c>
      <c r="M461" t="n">
        <v>0</v>
      </c>
      <c r="N461" t="n">
        <v>0</v>
      </c>
      <c r="O461" t="n">
        <v>0</v>
      </c>
      <c r="P461" t="n">
        <v>0</v>
      </c>
      <c r="Q461" t="n">
        <v>0</v>
      </c>
      <c r="R461" s="2" t="inlineStr"/>
    </row>
    <row r="462" ht="15" customHeight="1">
      <c r="A462" t="inlineStr">
        <is>
          <t>A 17268-2025</t>
        </is>
      </c>
      <c r="B462" s="1" t="n">
        <v>45756</v>
      </c>
      <c r="C462" s="1" t="n">
        <v>45931</v>
      </c>
      <c r="D462" t="inlineStr">
        <is>
          <t>DALARNAS LÄN</t>
        </is>
      </c>
      <c r="E462" t="inlineStr">
        <is>
          <t>MORA</t>
        </is>
      </c>
      <c r="G462" t="n">
        <v>6.8</v>
      </c>
      <c r="H462" t="n">
        <v>0</v>
      </c>
      <c r="I462" t="n">
        <v>0</v>
      </c>
      <c r="J462" t="n">
        <v>0</v>
      </c>
      <c r="K462" t="n">
        <v>0</v>
      </c>
      <c r="L462" t="n">
        <v>0</v>
      </c>
      <c r="M462" t="n">
        <v>0</v>
      </c>
      <c r="N462" t="n">
        <v>0</v>
      </c>
      <c r="O462" t="n">
        <v>0</v>
      </c>
      <c r="P462" t="n">
        <v>0</v>
      </c>
      <c r="Q462" t="n">
        <v>0</v>
      </c>
      <c r="R462" s="2" t="inlineStr"/>
    </row>
    <row r="463" ht="15" customHeight="1">
      <c r="A463" t="inlineStr">
        <is>
          <t>A 51570-2023</t>
        </is>
      </c>
      <c r="B463" s="1" t="n">
        <v>45222</v>
      </c>
      <c r="C463" s="1" t="n">
        <v>45931</v>
      </c>
      <c r="D463" t="inlineStr">
        <is>
          <t>DALARNAS LÄN</t>
        </is>
      </c>
      <c r="E463" t="inlineStr">
        <is>
          <t>MORA</t>
        </is>
      </c>
      <c r="G463" t="n">
        <v>10.1</v>
      </c>
      <c r="H463" t="n">
        <v>0</v>
      </c>
      <c r="I463" t="n">
        <v>0</v>
      </c>
      <c r="J463" t="n">
        <v>0</v>
      </c>
      <c r="K463" t="n">
        <v>0</v>
      </c>
      <c r="L463" t="n">
        <v>0</v>
      </c>
      <c r="M463" t="n">
        <v>0</v>
      </c>
      <c r="N463" t="n">
        <v>0</v>
      </c>
      <c r="O463" t="n">
        <v>0</v>
      </c>
      <c r="P463" t="n">
        <v>0</v>
      </c>
      <c r="Q463" t="n">
        <v>0</v>
      </c>
      <c r="R463" s="2" t="inlineStr"/>
    </row>
    <row r="464" ht="15" customHeight="1">
      <c r="A464" t="inlineStr">
        <is>
          <t>A 32261-2022</t>
        </is>
      </c>
      <c r="B464" s="1" t="n">
        <v>44781.5350925926</v>
      </c>
      <c r="C464" s="1" t="n">
        <v>45931</v>
      </c>
      <c r="D464" t="inlineStr">
        <is>
          <t>DALARNAS LÄN</t>
        </is>
      </c>
      <c r="E464" t="inlineStr">
        <is>
          <t>MORA</t>
        </is>
      </c>
      <c r="G464" t="n">
        <v>2.7</v>
      </c>
      <c r="H464" t="n">
        <v>0</v>
      </c>
      <c r="I464" t="n">
        <v>0</v>
      </c>
      <c r="J464" t="n">
        <v>0</v>
      </c>
      <c r="K464" t="n">
        <v>0</v>
      </c>
      <c r="L464" t="n">
        <v>0</v>
      </c>
      <c r="M464" t="n">
        <v>0</v>
      </c>
      <c r="N464" t="n">
        <v>0</v>
      </c>
      <c r="O464" t="n">
        <v>0</v>
      </c>
      <c r="P464" t="n">
        <v>0</v>
      </c>
      <c r="Q464" t="n">
        <v>0</v>
      </c>
      <c r="R464" s="2" t="inlineStr"/>
    </row>
    <row r="465" ht="15" customHeight="1">
      <c r="A465" t="inlineStr">
        <is>
          <t>A 27642-2025</t>
        </is>
      </c>
      <c r="B465" s="1" t="n">
        <v>45813.59405092592</v>
      </c>
      <c r="C465" s="1" t="n">
        <v>45931</v>
      </c>
      <c r="D465" t="inlineStr">
        <is>
          <t>DALARNAS LÄN</t>
        </is>
      </c>
      <c r="E465" t="inlineStr">
        <is>
          <t>MORA</t>
        </is>
      </c>
      <c r="G465" t="n">
        <v>2.5</v>
      </c>
      <c r="H465" t="n">
        <v>0</v>
      </c>
      <c r="I465" t="n">
        <v>0</v>
      </c>
      <c r="J465" t="n">
        <v>0</v>
      </c>
      <c r="K465" t="n">
        <v>0</v>
      </c>
      <c r="L465" t="n">
        <v>0</v>
      </c>
      <c r="M465" t="n">
        <v>0</v>
      </c>
      <c r="N465" t="n">
        <v>0</v>
      </c>
      <c r="O465" t="n">
        <v>0</v>
      </c>
      <c r="P465" t="n">
        <v>0</v>
      </c>
      <c r="Q465" t="n">
        <v>0</v>
      </c>
      <c r="R465" s="2" t="inlineStr"/>
    </row>
    <row r="466" ht="15" customHeight="1">
      <c r="A466" t="inlineStr">
        <is>
          <t>A 8153-2021</t>
        </is>
      </c>
      <c r="B466" s="1" t="n">
        <v>44244</v>
      </c>
      <c r="C466" s="1" t="n">
        <v>45931</v>
      </c>
      <c r="D466" t="inlineStr">
        <is>
          <t>DALARNAS LÄN</t>
        </is>
      </c>
      <c r="E466" t="inlineStr">
        <is>
          <t>MORA</t>
        </is>
      </c>
      <c r="G466" t="n">
        <v>2.5</v>
      </c>
      <c r="H466" t="n">
        <v>0</v>
      </c>
      <c r="I466" t="n">
        <v>0</v>
      </c>
      <c r="J466" t="n">
        <v>0</v>
      </c>
      <c r="K466" t="n">
        <v>0</v>
      </c>
      <c r="L466" t="n">
        <v>0</v>
      </c>
      <c r="M466" t="n">
        <v>0</v>
      </c>
      <c r="N466" t="n">
        <v>0</v>
      </c>
      <c r="O466" t="n">
        <v>0</v>
      </c>
      <c r="P466" t="n">
        <v>0</v>
      </c>
      <c r="Q466" t="n">
        <v>0</v>
      </c>
      <c r="R466" s="2" t="inlineStr"/>
    </row>
    <row r="467" ht="15" customHeight="1">
      <c r="A467" t="inlineStr">
        <is>
          <t>A 53743-2024</t>
        </is>
      </c>
      <c r="B467" s="1" t="n">
        <v>45615.47137731482</v>
      </c>
      <c r="C467" s="1" t="n">
        <v>45931</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28033-2025</t>
        </is>
      </c>
      <c r="B468" s="1" t="n">
        <v>45817.6325462963</v>
      </c>
      <c r="C468" s="1" t="n">
        <v>45931</v>
      </c>
      <c r="D468" t="inlineStr">
        <is>
          <t>DALARNAS LÄN</t>
        </is>
      </c>
      <c r="E468" t="inlineStr">
        <is>
          <t>MORA</t>
        </is>
      </c>
      <c r="F468" t="inlineStr">
        <is>
          <t>Bergvik skog öst AB</t>
        </is>
      </c>
      <c r="G468" t="n">
        <v>12.8</v>
      </c>
      <c r="H468" t="n">
        <v>0</v>
      </c>
      <c r="I468" t="n">
        <v>0</v>
      </c>
      <c r="J468" t="n">
        <v>0</v>
      </c>
      <c r="K468" t="n">
        <v>0</v>
      </c>
      <c r="L468" t="n">
        <v>0</v>
      </c>
      <c r="M468" t="n">
        <v>0</v>
      </c>
      <c r="N468" t="n">
        <v>0</v>
      </c>
      <c r="O468" t="n">
        <v>0</v>
      </c>
      <c r="P468" t="n">
        <v>0</v>
      </c>
      <c r="Q468" t="n">
        <v>0</v>
      </c>
      <c r="R468" s="2" t="inlineStr"/>
    </row>
    <row r="469" ht="15" customHeight="1">
      <c r="A469" t="inlineStr">
        <is>
          <t>A 48825-2023</t>
        </is>
      </c>
      <c r="B469" s="1" t="n">
        <v>45203</v>
      </c>
      <c r="C469" s="1" t="n">
        <v>45931</v>
      </c>
      <c r="D469" t="inlineStr">
        <is>
          <t>DALARNAS LÄN</t>
        </is>
      </c>
      <c r="E469" t="inlineStr">
        <is>
          <t>MORA</t>
        </is>
      </c>
      <c r="G469" t="n">
        <v>7.9</v>
      </c>
      <c r="H469" t="n">
        <v>0</v>
      </c>
      <c r="I469" t="n">
        <v>0</v>
      </c>
      <c r="J469" t="n">
        <v>0</v>
      </c>
      <c r="K469" t="n">
        <v>0</v>
      </c>
      <c r="L469" t="n">
        <v>0</v>
      </c>
      <c r="M469" t="n">
        <v>0</v>
      </c>
      <c r="N469" t="n">
        <v>0</v>
      </c>
      <c r="O469" t="n">
        <v>0</v>
      </c>
      <c r="P469" t="n">
        <v>0</v>
      </c>
      <c r="Q469" t="n">
        <v>0</v>
      </c>
      <c r="R469" s="2" t="inlineStr"/>
    </row>
    <row r="470" ht="15" customHeight="1">
      <c r="A470" t="inlineStr">
        <is>
          <t>A 48170-2024</t>
        </is>
      </c>
      <c r="B470" s="1" t="n">
        <v>45589.76975694444</v>
      </c>
      <c r="C470" s="1" t="n">
        <v>45931</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18806-2025</t>
        </is>
      </c>
      <c r="B471" s="1" t="n">
        <v>45764.35269675926</v>
      </c>
      <c r="C471" s="1" t="n">
        <v>45931</v>
      </c>
      <c r="D471" t="inlineStr">
        <is>
          <t>DALARNAS LÄN</t>
        </is>
      </c>
      <c r="E471" t="inlineStr">
        <is>
          <t>MORA</t>
        </is>
      </c>
      <c r="G471" t="n">
        <v>1.7</v>
      </c>
      <c r="H471" t="n">
        <v>0</v>
      </c>
      <c r="I471" t="n">
        <v>0</v>
      </c>
      <c r="J471" t="n">
        <v>0</v>
      </c>
      <c r="K471" t="n">
        <v>0</v>
      </c>
      <c r="L471" t="n">
        <v>0</v>
      </c>
      <c r="M471" t="n">
        <v>0</v>
      </c>
      <c r="N471" t="n">
        <v>0</v>
      </c>
      <c r="O471" t="n">
        <v>0</v>
      </c>
      <c r="P471" t="n">
        <v>0</v>
      </c>
      <c r="Q471" t="n">
        <v>0</v>
      </c>
      <c r="R471" s="2" t="inlineStr"/>
    </row>
    <row r="472" ht="15" customHeight="1">
      <c r="A472" t="inlineStr">
        <is>
          <t>A 17163-2025</t>
        </is>
      </c>
      <c r="B472" s="1" t="n">
        <v>45756.35998842592</v>
      </c>
      <c r="C472" s="1" t="n">
        <v>45931</v>
      </c>
      <c r="D472" t="inlineStr">
        <is>
          <t>DALARNAS LÄN</t>
        </is>
      </c>
      <c r="E472" t="inlineStr">
        <is>
          <t>MORA</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10777-2025</t>
        </is>
      </c>
      <c r="B473" s="1" t="n">
        <v>45722.47743055555</v>
      </c>
      <c r="C473" s="1" t="n">
        <v>45931</v>
      </c>
      <c r="D473" t="inlineStr">
        <is>
          <t>DALARNAS LÄN</t>
        </is>
      </c>
      <c r="E473" t="inlineStr">
        <is>
          <t>MORA</t>
        </is>
      </c>
      <c r="G473" t="n">
        <v>9.9</v>
      </c>
      <c r="H473" t="n">
        <v>0</v>
      </c>
      <c r="I473" t="n">
        <v>0</v>
      </c>
      <c r="J473" t="n">
        <v>0</v>
      </c>
      <c r="K473" t="n">
        <v>0</v>
      </c>
      <c r="L473" t="n">
        <v>0</v>
      </c>
      <c r="M473" t="n">
        <v>0</v>
      </c>
      <c r="N473" t="n">
        <v>0</v>
      </c>
      <c r="O473" t="n">
        <v>0</v>
      </c>
      <c r="P473" t="n">
        <v>0</v>
      </c>
      <c r="Q473" t="n">
        <v>0</v>
      </c>
      <c r="R473" s="2" t="inlineStr"/>
    </row>
    <row r="474" ht="15" customHeight="1">
      <c r="A474" t="inlineStr">
        <is>
          <t>A 54253-2023</t>
        </is>
      </c>
      <c r="B474" s="1" t="n">
        <v>45232.63217592592</v>
      </c>
      <c r="C474" s="1" t="n">
        <v>45931</v>
      </c>
      <c r="D474" t="inlineStr">
        <is>
          <t>DALARNAS LÄN</t>
        </is>
      </c>
      <c r="E474" t="inlineStr">
        <is>
          <t>MORA</t>
        </is>
      </c>
      <c r="G474" t="n">
        <v>4.5</v>
      </c>
      <c r="H474" t="n">
        <v>0</v>
      </c>
      <c r="I474" t="n">
        <v>0</v>
      </c>
      <c r="J474" t="n">
        <v>0</v>
      </c>
      <c r="K474" t="n">
        <v>0</v>
      </c>
      <c r="L474" t="n">
        <v>0</v>
      </c>
      <c r="M474" t="n">
        <v>0</v>
      </c>
      <c r="N474" t="n">
        <v>0</v>
      </c>
      <c r="O474" t="n">
        <v>0</v>
      </c>
      <c r="P474" t="n">
        <v>0</v>
      </c>
      <c r="Q474" t="n">
        <v>0</v>
      </c>
      <c r="R474" s="2" t="inlineStr"/>
    </row>
    <row r="475" ht="15" customHeight="1">
      <c r="A475" t="inlineStr">
        <is>
          <t>A 28751-2025</t>
        </is>
      </c>
      <c r="B475" s="1" t="n">
        <v>45820.40034722222</v>
      </c>
      <c r="C475" s="1" t="n">
        <v>45931</v>
      </c>
      <c r="D475" t="inlineStr">
        <is>
          <t>DALARNAS LÄN</t>
        </is>
      </c>
      <c r="E475" t="inlineStr">
        <is>
          <t>MORA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20594-2025</t>
        </is>
      </c>
      <c r="B476" s="1" t="n">
        <v>45775.74009259259</v>
      </c>
      <c r="C476" s="1" t="n">
        <v>45931</v>
      </c>
      <c r="D476" t="inlineStr">
        <is>
          <t>DALARNAS LÄN</t>
        </is>
      </c>
      <c r="E476" t="inlineStr">
        <is>
          <t>MORA</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28925-2025</t>
        </is>
      </c>
      <c r="B477" s="1" t="n">
        <v>45820.67107638889</v>
      </c>
      <c r="C477" s="1" t="n">
        <v>45931</v>
      </c>
      <c r="D477" t="inlineStr">
        <is>
          <t>DALARNAS LÄN</t>
        </is>
      </c>
      <c r="E477" t="inlineStr">
        <is>
          <t>MORA</t>
        </is>
      </c>
      <c r="G477" t="n">
        <v>3.7</v>
      </c>
      <c r="H477" t="n">
        <v>0</v>
      </c>
      <c r="I477" t="n">
        <v>0</v>
      </c>
      <c r="J477" t="n">
        <v>0</v>
      </c>
      <c r="K477" t="n">
        <v>0</v>
      </c>
      <c r="L477" t="n">
        <v>0</v>
      </c>
      <c r="M477" t="n">
        <v>0</v>
      </c>
      <c r="N477" t="n">
        <v>0</v>
      </c>
      <c r="O477" t="n">
        <v>0</v>
      </c>
      <c r="P477" t="n">
        <v>0</v>
      </c>
      <c r="Q477" t="n">
        <v>0</v>
      </c>
      <c r="R477" s="2" t="inlineStr"/>
    </row>
    <row r="478" ht="15" customHeight="1">
      <c r="A478" t="inlineStr">
        <is>
          <t>A 28927-2025</t>
        </is>
      </c>
      <c r="B478" s="1" t="n">
        <v>45820.67221064815</v>
      </c>
      <c r="C478" s="1" t="n">
        <v>45931</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28924-2025</t>
        </is>
      </c>
      <c r="B479" s="1" t="n">
        <v>45820.66846064815</v>
      </c>
      <c r="C479" s="1" t="n">
        <v>45931</v>
      </c>
      <c r="D479" t="inlineStr">
        <is>
          <t>DALARNAS LÄN</t>
        </is>
      </c>
      <c r="E479" t="inlineStr">
        <is>
          <t>MORA</t>
        </is>
      </c>
      <c r="G479" t="n">
        <v>0.6</v>
      </c>
      <c r="H479" t="n">
        <v>0</v>
      </c>
      <c r="I479" t="n">
        <v>0</v>
      </c>
      <c r="J479" t="n">
        <v>0</v>
      </c>
      <c r="K479" t="n">
        <v>0</v>
      </c>
      <c r="L479" t="n">
        <v>0</v>
      </c>
      <c r="M479" t="n">
        <v>0</v>
      </c>
      <c r="N479" t="n">
        <v>0</v>
      </c>
      <c r="O479" t="n">
        <v>0</v>
      </c>
      <c r="P479" t="n">
        <v>0</v>
      </c>
      <c r="Q479" t="n">
        <v>0</v>
      </c>
      <c r="R479" s="2" t="inlineStr"/>
    </row>
    <row r="480" ht="15" customHeight="1">
      <c r="A480" t="inlineStr">
        <is>
          <t>A 25345-2025</t>
        </is>
      </c>
      <c r="B480" s="1" t="n">
        <v>45799</v>
      </c>
      <c r="C480" s="1" t="n">
        <v>45931</v>
      </c>
      <c r="D480" t="inlineStr">
        <is>
          <t>DALARNAS LÄN</t>
        </is>
      </c>
      <c r="E480" t="inlineStr">
        <is>
          <t>MORA</t>
        </is>
      </c>
      <c r="G480" t="n">
        <v>3.1</v>
      </c>
      <c r="H480" t="n">
        <v>0</v>
      </c>
      <c r="I480" t="n">
        <v>0</v>
      </c>
      <c r="J480" t="n">
        <v>0</v>
      </c>
      <c r="K480" t="n">
        <v>0</v>
      </c>
      <c r="L480" t="n">
        <v>0</v>
      </c>
      <c r="M480" t="n">
        <v>0</v>
      </c>
      <c r="N480" t="n">
        <v>0</v>
      </c>
      <c r="O480" t="n">
        <v>0</v>
      </c>
      <c r="P480" t="n">
        <v>0</v>
      </c>
      <c r="Q480" t="n">
        <v>0</v>
      </c>
      <c r="R480" s="2" t="inlineStr"/>
    </row>
    <row r="481" ht="15" customHeight="1">
      <c r="A481" t="inlineStr">
        <is>
          <t>A 44817-2023</t>
        </is>
      </c>
      <c r="B481" s="1" t="n">
        <v>45190.51887731482</v>
      </c>
      <c r="C481" s="1" t="n">
        <v>45931</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29425-2025</t>
        </is>
      </c>
      <c r="B482" s="1" t="n">
        <v>45824.64524305556</v>
      </c>
      <c r="C482" s="1" t="n">
        <v>45931</v>
      </c>
      <c r="D482" t="inlineStr">
        <is>
          <t>DALARNAS LÄN</t>
        </is>
      </c>
      <c r="E482" t="inlineStr">
        <is>
          <t>MORA</t>
        </is>
      </c>
      <c r="G482" t="n">
        <v>4.4</v>
      </c>
      <c r="H482" t="n">
        <v>0</v>
      </c>
      <c r="I482" t="n">
        <v>0</v>
      </c>
      <c r="J482" t="n">
        <v>0</v>
      </c>
      <c r="K482" t="n">
        <v>0</v>
      </c>
      <c r="L482" t="n">
        <v>0</v>
      </c>
      <c r="M482" t="n">
        <v>0</v>
      </c>
      <c r="N482" t="n">
        <v>0</v>
      </c>
      <c r="O482" t="n">
        <v>0</v>
      </c>
      <c r="P482" t="n">
        <v>0</v>
      </c>
      <c r="Q482" t="n">
        <v>0</v>
      </c>
      <c r="R482" s="2" t="inlineStr"/>
    </row>
    <row r="483" ht="15" customHeight="1">
      <c r="A483" t="inlineStr">
        <is>
          <t>A 64088-2023</t>
        </is>
      </c>
      <c r="B483" s="1" t="n">
        <v>45279.43570601852</v>
      </c>
      <c r="C483" s="1" t="n">
        <v>45931</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17865-2025</t>
        </is>
      </c>
      <c r="B484" s="1" t="n">
        <v>45758.62951388889</v>
      </c>
      <c r="C484" s="1" t="n">
        <v>45931</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28976-2025</t>
        </is>
      </c>
      <c r="B485" s="1" t="n">
        <v>45821.34855324074</v>
      </c>
      <c r="C485" s="1" t="n">
        <v>45931</v>
      </c>
      <c r="D485" t="inlineStr">
        <is>
          <t>DALARNAS LÄN</t>
        </is>
      </c>
      <c r="E485" t="inlineStr">
        <is>
          <t>MORA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17167-2025</t>
        </is>
      </c>
      <c r="B486" s="1" t="n">
        <v>45756.36844907407</v>
      </c>
      <c r="C486" s="1" t="n">
        <v>45931</v>
      </c>
      <c r="D486" t="inlineStr">
        <is>
          <t>DALARNAS LÄN</t>
        </is>
      </c>
      <c r="E486" t="inlineStr">
        <is>
          <t>MORA</t>
        </is>
      </c>
      <c r="F486" t="inlineStr">
        <is>
          <t>Bergvik skog öst AB</t>
        </is>
      </c>
      <c r="G486" t="n">
        <v>1.7</v>
      </c>
      <c r="H486" t="n">
        <v>0</v>
      </c>
      <c r="I486" t="n">
        <v>0</v>
      </c>
      <c r="J486" t="n">
        <v>0</v>
      </c>
      <c r="K486" t="n">
        <v>0</v>
      </c>
      <c r="L486" t="n">
        <v>0</v>
      </c>
      <c r="M486" t="n">
        <v>0</v>
      </c>
      <c r="N486" t="n">
        <v>0</v>
      </c>
      <c r="O486" t="n">
        <v>0</v>
      </c>
      <c r="P486" t="n">
        <v>0</v>
      </c>
      <c r="Q486" t="n">
        <v>0</v>
      </c>
      <c r="R486" s="2" t="inlineStr"/>
    </row>
    <row r="487" ht="15" customHeight="1">
      <c r="A487" t="inlineStr">
        <is>
          <t>A 17176-2025</t>
        </is>
      </c>
      <c r="B487" s="1" t="n">
        <v>45756.37520833333</v>
      </c>
      <c r="C487" s="1" t="n">
        <v>45931</v>
      </c>
      <c r="D487" t="inlineStr">
        <is>
          <t>DALARNAS LÄN</t>
        </is>
      </c>
      <c r="E487" t="inlineStr">
        <is>
          <t>MORA</t>
        </is>
      </c>
      <c r="F487" t="inlineStr">
        <is>
          <t>Bergvik skog öst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29440-2025</t>
        </is>
      </c>
      <c r="B488" s="1" t="n">
        <v>45824.65862268519</v>
      </c>
      <c r="C488" s="1" t="n">
        <v>45931</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29068-2025</t>
        </is>
      </c>
      <c r="B489" s="1" t="n">
        <v>45821.50900462963</v>
      </c>
      <c r="C489" s="1" t="n">
        <v>45931</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57999-2023</t>
        </is>
      </c>
      <c r="B490" s="1" t="n">
        <v>45247</v>
      </c>
      <c r="C490" s="1" t="n">
        <v>45931</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57319-2023</t>
        </is>
      </c>
      <c r="B491" s="1" t="n">
        <v>45245.64877314815</v>
      </c>
      <c r="C491" s="1" t="n">
        <v>45931</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62853-2023</t>
        </is>
      </c>
      <c r="B492" s="1" t="n">
        <v>45272</v>
      </c>
      <c r="C492" s="1" t="n">
        <v>45931</v>
      </c>
      <c r="D492" t="inlineStr">
        <is>
          <t>DALARNAS LÄN</t>
        </is>
      </c>
      <c r="E492" t="inlineStr">
        <is>
          <t>MORA</t>
        </is>
      </c>
      <c r="G492" t="n">
        <v>13.6</v>
      </c>
      <c r="H492" t="n">
        <v>0</v>
      </c>
      <c r="I492" t="n">
        <v>0</v>
      </c>
      <c r="J492" t="n">
        <v>0</v>
      </c>
      <c r="K492" t="n">
        <v>0</v>
      </c>
      <c r="L492" t="n">
        <v>0</v>
      </c>
      <c r="M492" t="n">
        <v>0</v>
      </c>
      <c r="N492" t="n">
        <v>0</v>
      </c>
      <c r="O492" t="n">
        <v>0</v>
      </c>
      <c r="P492" t="n">
        <v>0</v>
      </c>
      <c r="Q492" t="n">
        <v>0</v>
      </c>
      <c r="R492" s="2" t="inlineStr"/>
    </row>
    <row r="493" ht="15" customHeight="1">
      <c r="A493" t="inlineStr">
        <is>
          <t>A 29870-2025</t>
        </is>
      </c>
      <c r="B493" s="1" t="n">
        <v>45826.35716435185</v>
      </c>
      <c r="C493" s="1" t="n">
        <v>45931</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29873-2025</t>
        </is>
      </c>
      <c r="B494" s="1" t="n">
        <v>45826</v>
      </c>
      <c r="C494" s="1" t="n">
        <v>45931</v>
      </c>
      <c r="D494" t="inlineStr">
        <is>
          <t>DALARNAS LÄN</t>
        </is>
      </c>
      <c r="E494" t="inlineStr">
        <is>
          <t>MORA</t>
        </is>
      </c>
      <c r="G494" t="n">
        <v>0.6</v>
      </c>
      <c r="H494" t="n">
        <v>0</v>
      </c>
      <c r="I494" t="n">
        <v>0</v>
      </c>
      <c r="J494" t="n">
        <v>0</v>
      </c>
      <c r="K494" t="n">
        <v>0</v>
      </c>
      <c r="L494" t="n">
        <v>0</v>
      </c>
      <c r="M494" t="n">
        <v>0</v>
      </c>
      <c r="N494" t="n">
        <v>0</v>
      </c>
      <c r="O494" t="n">
        <v>0</v>
      </c>
      <c r="P494" t="n">
        <v>0</v>
      </c>
      <c r="Q494" t="n">
        <v>0</v>
      </c>
      <c r="R494" s="2" t="inlineStr"/>
    </row>
    <row r="495" ht="15" customHeight="1">
      <c r="A495" t="inlineStr">
        <is>
          <t>A 43826-2022</t>
        </is>
      </c>
      <c r="B495" s="1" t="n">
        <v>44838</v>
      </c>
      <c r="C495" s="1" t="n">
        <v>45931</v>
      </c>
      <c r="D495" t="inlineStr">
        <is>
          <t>DALARNAS LÄN</t>
        </is>
      </c>
      <c r="E495" t="inlineStr">
        <is>
          <t>MORA</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29754-2022</t>
        </is>
      </c>
      <c r="B496" s="1" t="n">
        <v>44755.59188657408</v>
      </c>
      <c r="C496" s="1" t="n">
        <v>45931</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60718-2023</t>
        </is>
      </c>
      <c r="B497" s="1" t="n">
        <v>45260.5284375</v>
      </c>
      <c r="C497" s="1" t="n">
        <v>45931</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29528-2025</t>
        </is>
      </c>
      <c r="B498" s="1" t="n">
        <v>45825.34322916667</v>
      </c>
      <c r="C498" s="1" t="n">
        <v>45931</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14641-2023</t>
        </is>
      </c>
      <c r="B499" s="1" t="n">
        <v>45013</v>
      </c>
      <c r="C499" s="1" t="n">
        <v>45931</v>
      </c>
      <c r="D499" t="inlineStr">
        <is>
          <t>DALARNAS LÄN</t>
        </is>
      </c>
      <c r="E499" t="inlineStr">
        <is>
          <t>MORA</t>
        </is>
      </c>
      <c r="G499" t="n">
        <v>1.5</v>
      </c>
      <c r="H499" t="n">
        <v>0</v>
      </c>
      <c r="I499" t="n">
        <v>0</v>
      </c>
      <c r="J499" t="n">
        <v>0</v>
      </c>
      <c r="K499" t="n">
        <v>0</v>
      </c>
      <c r="L499" t="n">
        <v>0</v>
      </c>
      <c r="M499" t="n">
        <v>0</v>
      </c>
      <c r="N499" t="n">
        <v>0</v>
      </c>
      <c r="O499" t="n">
        <v>0</v>
      </c>
      <c r="P499" t="n">
        <v>0</v>
      </c>
      <c r="Q499" t="n">
        <v>0</v>
      </c>
      <c r="R499" s="2" t="inlineStr"/>
    </row>
    <row r="500" ht="15" customHeight="1">
      <c r="A500" t="inlineStr">
        <is>
          <t>A 36579-2022</t>
        </is>
      </c>
      <c r="B500" s="1" t="n">
        <v>44804.61636574074</v>
      </c>
      <c r="C500" s="1" t="n">
        <v>45931</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3531-2024</t>
        </is>
      </c>
      <c r="B501" s="1" t="n">
        <v>45320</v>
      </c>
      <c r="C501" s="1" t="n">
        <v>45931</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c r="U501">
        <f>HYPERLINK("https://klasma.github.io/Logging_2062/knärot/A 3531-2024 karta knärot.png", "A 3531-2024")</f>
        <v/>
      </c>
      <c r="V501">
        <f>HYPERLINK("https://klasma.github.io/Logging_2062/klagomål/A 3531-2024 FSC-klagomål.docx", "A 3531-2024")</f>
        <v/>
      </c>
      <c r="W501">
        <f>HYPERLINK("https://klasma.github.io/Logging_2062/klagomålsmail/A 3531-2024 FSC-klagomål mail.docx", "A 3531-2024")</f>
        <v/>
      </c>
      <c r="X501">
        <f>HYPERLINK("https://klasma.github.io/Logging_2062/tillsyn/A 3531-2024 tillsynsbegäran.docx", "A 3531-2024")</f>
        <v/>
      </c>
      <c r="Y501">
        <f>HYPERLINK("https://klasma.github.io/Logging_2062/tillsynsmail/A 3531-2024 tillsynsbegäran mail.docx", "A 3531-2024")</f>
        <v/>
      </c>
    </row>
    <row r="502" ht="15" customHeight="1">
      <c r="A502" t="inlineStr">
        <is>
          <t>A 30087-2025</t>
        </is>
      </c>
      <c r="B502" s="1" t="n">
        <v>45826.6575</v>
      </c>
      <c r="C502" s="1" t="n">
        <v>45931</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12151-2021</t>
        </is>
      </c>
      <c r="B503" s="1" t="n">
        <v>44266</v>
      </c>
      <c r="C503" s="1" t="n">
        <v>45931</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30166-2025</t>
        </is>
      </c>
      <c r="B504" s="1" t="n">
        <v>45827.33116898148</v>
      </c>
      <c r="C504" s="1" t="n">
        <v>45931</v>
      </c>
      <c r="D504" t="inlineStr">
        <is>
          <t>DALARNAS LÄN</t>
        </is>
      </c>
      <c r="E504" t="inlineStr">
        <is>
          <t>MORA</t>
        </is>
      </c>
      <c r="G504" t="n">
        <v>1.3</v>
      </c>
      <c r="H504" t="n">
        <v>0</v>
      </c>
      <c r="I504" t="n">
        <v>0</v>
      </c>
      <c r="J504" t="n">
        <v>0</v>
      </c>
      <c r="K504" t="n">
        <v>0</v>
      </c>
      <c r="L504" t="n">
        <v>0</v>
      </c>
      <c r="M504" t="n">
        <v>0</v>
      </c>
      <c r="N504" t="n">
        <v>0</v>
      </c>
      <c r="O504" t="n">
        <v>0</v>
      </c>
      <c r="P504" t="n">
        <v>0</v>
      </c>
      <c r="Q504" t="n">
        <v>0</v>
      </c>
      <c r="R504" s="2" t="inlineStr"/>
    </row>
    <row r="505" ht="15" customHeight="1">
      <c r="A505" t="inlineStr">
        <is>
          <t>A 39009-2023</t>
        </is>
      </c>
      <c r="B505" s="1" t="n">
        <v>45162</v>
      </c>
      <c r="C505" s="1" t="n">
        <v>45931</v>
      </c>
      <c r="D505" t="inlineStr">
        <is>
          <t>DALARNAS LÄN</t>
        </is>
      </c>
      <c r="E505" t="inlineStr">
        <is>
          <t>MORA</t>
        </is>
      </c>
      <c r="G505" t="n">
        <v>1.9</v>
      </c>
      <c r="H505" t="n">
        <v>0</v>
      </c>
      <c r="I505" t="n">
        <v>0</v>
      </c>
      <c r="J505" t="n">
        <v>0</v>
      </c>
      <c r="K505" t="n">
        <v>0</v>
      </c>
      <c r="L505" t="n">
        <v>0</v>
      </c>
      <c r="M505" t="n">
        <v>0</v>
      </c>
      <c r="N505" t="n">
        <v>0</v>
      </c>
      <c r="O505" t="n">
        <v>0</v>
      </c>
      <c r="P505" t="n">
        <v>0</v>
      </c>
      <c r="Q505" t="n">
        <v>0</v>
      </c>
      <c r="R505" s="2" t="inlineStr"/>
    </row>
    <row r="506" ht="15" customHeight="1">
      <c r="A506" t="inlineStr">
        <is>
          <t>A 42611-2022</t>
        </is>
      </c>
      <c r="B506" s="1" t="n">
        <v>44831.81482638889</v>
      </c>
      <c r="C506" s="1" t="n">
        <v>45931</v>
      </c>
      <c r="D506" t="inlineStr">
        <is>
          <t>DALARNAS LÄN</t>
        </is>
      </c>
      <c r="E506" t="inlineStr">
        <is>
          <t>MORA</t>
        </is>
      </c>
      <c r="G506" t="n">
        <v>2.1</v>
      </c>
      <c r="H506" t="n">
        <v>0</v>
      </c>
      <c r="I506" t="n">
        <v>0</v>
      </c>
      <c r="J506" t="n">
        <v>0</v>
      </c>
      <c r="K506" t="n">
        <v>0</v>
      </c>
      <c r="L506" t="n">
        <v>0</v>
      </c>
      <c r="M506" t="n">
        <v>0</v>
      </c>
      <c r="N506" t="n">
        <v>0</v>
      </c>
      <c r="O506" t="n">
        <v>0</v>
      </c>
      <c r="P506" t="n">
        <v>0</v>
      </c>
      <c r="Q506" t="n">
        <v>0</v>
      </c>
      <c r="R506" s="2" t="inlineStr"/>
    </row>
    <row r="507" ht="15" customHeight="1">
      <c r="A507" t="inlineStr">
        <is>
          <t>A 30507-2025</t>
        </is>
      </c>
      <c r="B507" s="1" t="n">
        <v>45831.24760416667</v>
      </c>
      <c r="C507" s="1" t="n">
        <v>45931</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44769-2021</t>
        </is>
      </c>
      <c r="B508" s="1" t="n">
        <v>44438</v>
      </c>
      <c r="C508" s="1" t="n">
        <v>45931</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28487-2024</t>
        </is>
      </c>
      <c r="B509" s="1" t="n">
        <v>45477.75744212963</v>
      </c>
      <c r="C509" s="1" t="n">
        <v>45931</v>
      </c>
      <c r="D509" t="inlineStr">
        <is>
          <t>DALARNAS LÄN</t>
        </is>
      </c>
      <c r="E509" t="inlineStr">
        <is>
          <t>MORA</t>
        </is>
      </c>
      <c r="G509" t="n">
        <v>3.1</v>
      </c>
      <c r="H509" t="n">
        <v>0</v>
      </c>
      <c r="I509" t="n">
        <v>0</v>
      </c>
      <c r="J509" t="n">
        <v>0</v>
      </c>
      <c r="K509" t="n">
        <v>0</v>
      </c>
      <c r="L509" t="n">
        <v>0</v>
      </c>
      <c r="M509" t="n">
        <v>0</v>
      </c>
      <c r="N509" t="n">
        <v>0</v>
      </c>
      <c r="O509" t="n">
        <v>0</v>
      </c>
      <c r="P509" t="n">
        <v>0</v>
      </c>
      <c r="Q509" t="n">
        <v>0</v>
      </c>
      <c r="R509" s="2" t="inlineStr"/>
    </row>
    <row r="510" ht="15" customHeight="1">
      <c r="A510" t="inlineStr">
        <is>
          <t>A 30858-2025</t>
        </is>
      </c>
      <c r="B510" s="1" t="n">
        <v>45831.92416666666</v>
      </c>
      <c r="C510" s="1" t="n">
        <v>45931</v>
      </c>
      <c r="D510" t="inlineStr">
        <is>
          <t>DALARNAS LÄN</t>
        </is>
      </c>
      <c r="E510" t="inlineStr">
        <is>
          <t>MORA</t>
        </is>
      </c>
      <c r="G510" t="n">
        <v>2.9</v>
      </c>
      <c r="H510" t="n">
        <v>0</v>
      </c>
      <c r="I510" t="n">
        <v>0</v>
      </c>
      <c r="J510" t="n">
        <v>0</v>
      </c>
      <c r="K510" t="n">
        <v>0</v>
      </c>
      <c r="L510" t="n">
        <v>0</v>
      </c>
      <c r="M510" t="n">
        <v>0</v>
      </c>
      <c r="N510" t="n">
        <v>0</v>
      </c>
      <c r="O510" t="n">
        <v>0</v>
      </c>
      <c r="P510" t="n">
        <v>0</v>
      </c>
      <c r="Q510" t="n">
        <v>0</v>
      </c>
      <c r="R510" s="2" t="inlineStr"/>
    </row>
    <row r="511" ht="15" customHeight="1">
      <c r="A511" t="inlineStr">
        <is>
          <t>A 30859-2025</t>
        </is>
      </c>
      <c r="B511" s="1" t="n">
        <v>45831.93105324074</v>
      </c>
      <c r="C511" s="1" t="n">
        <v>45931</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30989-2025</t>
        </is>
      </c>
      <c r="B512" s="1" t="n">
        <v>45832.48185185185</v>
      </c>
      <c r="C512" s="1" t="n">
        <v>45931</v>
      </c>
      <c r="D512" t="inlineStr">
        <is>
          <t>DALARNAS LÄN</t>
        </is>
      </c>
      <c r="E512" t="inlineStr">
        <is>
          <t>MORA</t>
        </is>
      </c>
      <c r="F512" t="inlineStr">
        <is>
          <t>Bergvik skog öst AB</t>
        </is>
      </c>
      <c r="G512" t="n">
        <v>4.1</v>
      </c>
      <c r="H512" t="n">
        <v>0</v>
      </c>
      <c r="I512" t="n">
        <v>0</v>
      </c>
      <c r="J512" t="n">
        <v>0</v>
      </c>
      <c r="K512" t="n">
        <v>0</v>
      </c>
      <c r="L512" t="n">
        <v>0</v>
      </c>
      <c r="M512" t="n">
        <v>0</v>
      </c>
      <c r="N512" t="n">
        <v>0</v>
      </c>
      <c r="O512" t="n">
        <v>0</v>
      </c>
      <c r="P512" t="n">
        <v>0</v>
      </c>
      <c r="Q512" t="n">
        <v>0</v>
      </c>
      <c r="R512" s="2" t="inlineStr"/>
    </row>
    <row r="513" ht="15" customHeight="1">
      <c r="A513" t="inlineStr">
        <is>
          <t>A 15416-2023</t>
        </is>
      </c>
      <c r="B513" s="1" t="n">
        <v>45019.71342592593</v>
      </c>
      <c r="C513" s="1" t="n">
        <v>45931</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48728-2022</t>
        </is>
      </c>
      <c r="B514" s="1" t="n">
        <v>44859.52145833334</v>
      </c>
      <c r="C514" s="1" t="n">
        <v>45931</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30509-2025</t>
        </is>
      </c>
      <c r="B515" s="1" t="n">
        <v>45831.25519675926</v>
      </c>
      <c r="C515" s="1" t="n">
        <v>45931</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52288-2024</t>
        </is>
      </c>
      <c r="B516" s="1" t="n">
        <v>45608.69395833334</v>
      </c>
      <c r="C516" s="1" t="n">
        <v>45931</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61222-2023</t>
        </is>
      </c>
      <c r="B517" s="1" t="n">
        <v>45264</v>
      </c>
      <c r="C517" s="1" t="n">
        <v>45931</v>
      </c>
      <c r="D517" t="inlineStr">
        <is>
          <t>DALARNAS LÄN</t>
        </is>
      </c>
      <c r="E517" t="inlineStr">
        <is>
          <t>MORA</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row>
    <row r="518" ht="15" customHeight="1">
      <c r="A518" t="inlineStr">
        <is>
          <t>A 31849-2025</t>
        </is>
      </c>
      <c r="B518" s="1" t="n">
        <v>45834.60525462963</v>
      </c>
      <c r="C518" s="1" t="n">
        <v>45931</v>
      </c>
      <c r="D518" t="inlineStr">
        <is>
          <t>DALARNAS LÄN</t>
        </is>
      </c>
      <c r="E518" t="inlineStr">
        <is>
          <t>MORA</t>
        </is>
      </c>
      <c r="G518" t="n">
        <v>3.9</v>
      </c>
      <c r="H518" t="n">
        <v>0</v>
      </c>
      <c r="I518" t="n">
        <v>0</v>
      </c>
      <c r="J518" t="n">
        <v>0</v>
      </c>
      <c r="K518" t="n">
        <v>0</v>
      </c>
      <c r="L518" t="n">
        <v>0</v>
      </c>
      <c r="M518" t="n">
        <v>0</v>
      </c>
      <c r="N518" t="n">
        <v>0</v>
      </c>
      <c r="O518" t="n">
        <v>0</v>
      </c>
      <c r="P518" t="n">
        <v>0</v>
      </c>
      <c r="Q518" t="n">
        <v>0</v>
      </c>
      <c r="R518" s="2" t="inlineStr"/>
    </row>
    <row r="519" ht="15" customHeight="1">
      <c r="A519" t="inlineStr">
        <is>
          <t>A 25935-2023</t>
        </is>
      </c>
      <c r="B519" s="1" t="n">
        <v>45090.68675925926</v>
      </c>
      <c r="C519" s="1" t="n">
        <v>45931</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31846-2025</t>
        </is>
      </c>
      <c r="B520" s="1" t="n">
        <v>45834.60209490741</v>
      </c>
      <c r="C520" s="1" t="n">
        <v>45931</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31842-2025</t>
        </is>
      </c>
      <c r="B521" s="1" t="n">
        <v>45834.59822916667</v>
      </c>
      <c r="C521" s="1" t="n">
        <v>45931</v>
      </c>
      <c r="D521" t="inlineStr">
        <is>
          <t>DALARNAS LÄN</t>
        </is>
      </c>
      <c r="E521" t="inlineStr">
        <is>
          <t>MORA</t>
        </is>
      </c>
      <c r="G521" t="n">
        <v>1.1</v>
      </c>
      <c r="H521" t="n">
        <v>0</v>
      </c>
      <c r="I521" t="n">
        <v>0</v>
      </c>
      <c r="J521" t="n">
        <v>0</v>
      </c>
      <c r="K521" t="n">
        <v>0</v>
      </c>
      <c r="L521" t="n">
        <v>0</v>
      </c>
      <c r="M521" t="n">
        <v>0</v>
      </c>
      <c r="N521" t="n">
        <v>0</v>
      </c>
      <c r="O521" t="n">
        <v>0</v>
      </c>
      <c r="P521" t="n">
        <v>0</v>
      </c>
      <c r="Q521" t="n">
        <v>0</v>
      </c>
      <c r="R521" s="2" t="inlineStr"/>
    </row>
    <row r="522" ht="15" customHeight="1">
      <c r="A522" t="inlineStr">
        <is>
          <t>A 24768-2024</t>
        </is>
      </c>
      <c r="B522" s="1" t="n">
        <v>45460.69545138889</v>
      </c>
      <c r="C522" s="1" t="n">
        <v>45931</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50911-2024</t>
        </is>
      </c>
      <c r="B523" s="1" t="n">
        <v>45602.7022337963</v>
      </c>
      <c r="C523" s="1" t="n">
        <v>45931</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60526-2023</t>
        </is>
      </c>
      <c r="B524" s="1" t="n">
        <v>45259</v>
      </c>
      <c r="C524" s="1" t="n">
        <v>45931</v>
      </c>
      <c r="D524" t="inlineStr">
        <is>
          <t>DALARNAS LÄN</t>
        </is>
      </c>
      <c r="E524" t="inlineStr">
        <is>
          <t>MORA</t>
        </is>
      </c>
      <c r="G524" t="n">
        <v>6.7</v>
      </c>
      <c r="H524" t="n">
        <v>0</v>
      </c>
      <c r="I524" t="n">
        <v>0</v>
      </c>
      <c r="J524" t="n">
        <v>0</v>
      </c>
      <c r="K524" t="n">
        <v>0</v>
      </c>
      <c r="L524" t="n">
        <v>0</v>
      </c>
      <c r="M524" t="n">
        <v>0</v>
      </c>
      <c r="N524" t="n">
        <v>0</v>
      </c>
      <c r="O524" t="n">
        <v>0</v>
      </c>
      <c r="P524" t="n">
        <v>0</v>
      </c>
      <c r="Q524" t="n">
        <v>0</v>
      </c>
      <c r="R524" s="2" t="inlineStr"/>
    </row>
    <row r="525" ht="15" customHeight="1">
      <c r="A525" t="inlineStr">
        <is>
          <t>A 35040-2023</t>
        </is>
      </c>
      <c r="B525" s="1" t="n">
        <v>45145.36853009259</v>
      </c>
      <c r="C525" s="1" t="n">
        <v>45931</v>
      </c>
      <c r="D525" t="inlineStr">
        <is>
          <t>DALARNAS LÄN</t>
        </is>
      </c>
      <c r="E525" t="inlineStr">
        <is>
          <t>MORA</t>
        </is>
      </c>
      <c r="G525" t="n">
        <v>2.1</v>
      </c>
      <c r="H525" t="n">
        <v>0</v>
      </c>
      <c r="I525" t="n">
        <v>0</v>
      </c>
      <c r="J525" t="n">
        <v>0</v>
      </c>
      <c r="K525" t="n">
        <v>0</v>
      </c>
      <c r="L525" t="n">
        <v>0</v>
      </c>
      <c r="M525" t="n">
        <v>0</v>
      </c>
      <c r="N525" t="n">
        <v>0</v>
      </c>
      <c r="O525" t="n">
        <v>0</v>
      </c>
      <c r="P525" t="n">
        <v>0</v>
      </c>
      <c r="Q525" t="n">
        <v>0</v>
      </c>
      <c r="R525" s="2" t="inlineStr"/>
    </row>
    <row r="526" ht="15" customHeight="1">
      <c r="A526" t="inlineStr">
        <is>
          <t>A 58036-2024</t>
        </is>
      </c>
      <c r="B526" s="1" t="n">
        <v>45631.71893518518</v>
      </c>
      <c r="C526" s="1" t="n">
        <v>45931</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32852-2025</t>
        </is>
      </c>
      <c r="B527" s="1" t="n">
        <v>45839.57559027777</v>
      </c>
      <c r="C527" s="1" t="n">
        <v>45931</v>
      </c>
      <c r="D527" t="inlineStr">
        <is>
          <t>DALARNAS LÄN</t>
        </is>
      </c>
      <c r="E527" t="inlineStr">
        <is>
          <t>MORA</t>
        </is>
      </c>
      <c r="G527" t="n">
        <v>1.7</v>
      </c>
      <c r="H527" t="n">
        <v>0</v>
      </c>
      <c r="I527" t="n">
        <v>0</v>
      </c>
      <c r="J527" t="n">
        <v>0</v>
      </c>
      <c r="K527" t="n">
        <v>0</v>
      </c>
      <c r="L527" t="n">
        <v>0</v>
      </c>
      <c r="M527" t="n">
        <v>0</v>
      </c>
      <c r="N527" t="n">
        <v>0</v>
      </c>
      <c r="O527" t="n">
        <v>0</v>
      </c>
      <c r="P527" t="n">
        <v>0</v>
      </c>
      <c r="Q527" t="n">
        <v>0</v>
      </c>
      <c r="R527" s="2" t="inlineStr"/>
    </row>
    <row r="528" ht="15" customHeight="1">
      <c r="A528" t="inlineStr">
        <is>
          <t>A 63958-2023</t>
        </is>
      </c>
      <c r="B528" s="1" t="n">
        <v>45278</v>
      </c>
      <c r="C528" s="1" t="n">
        <v>45931</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52908-2023</t>
        </is>
      </c>
      <c r="B529" s="1" t="n">
        <v>45226.49950231481</v>
      </c>
      <c r="C529" s="1" t="n">
        <v>45931</v>
      </c>
      <c r="D529" t="inlineStr">
        <is>
          <t>DALARNAS LÄN</t>
        </is>
      </c>
      <c r="E529" t="inlineStr">
        <is>
          <t>MORA</t>
        </is>
      </c>
      <c r="G529" t="n">
        <v>3.3</v>
      </c>
      <c r="H529" t="n">
        <v>0</v>
      </c>
      <c r="I529" t="n">
        <v>0</v>
      </c>
      <c r="J529" t="n">
        <v>0</v>
      </c>
      <c r="K529" t="n">
        <v>0</v>
      </c>
      <c r="L529" t="n">
        <v>0</v>
      </c>
      <c r="M529" t="n">
        <v>0</v>
      </c>
      <c r="N529" t="n">
        <v>0</v>
      </c>
      <c r="O529" t="n">
        <v>0</v>
      </c>
      <c r="P529" t="n">
        <v>0</v>
      </c>
      <c r="Q529" t="n">
        <v>0</v>
      </c>
      <c r="R529" s="2" t="inlineStr"/>
    </row>
    <row r="530" ht="15" customHeight="1">
      <c r="A530" t="inlineStr">
        <is>
          <t>A 19896-2021</t>
        </is>
      </c>
      <c r="B530" s="1" t="n">
        <v>44313.54942129629</v>
      </c>
      <c r="C530" s="1" t="n">
        <v>45931</v>
      </c>
      <c r="D530" t="inlineStr">
        <is>
          <t>DALARNAS LÄN</t>
        </is>
      </c>
      <c r="E530" t="inlineStr">
        <is>
          <t>MORA</t>
        </is>
      </c>
      <c r="G530" t="n">
        <v>1.8</v>
      </c>
      <c r="H530" t="n">
        <v>0</v>
      </c>
      <c r="I530" t="n">
        <v>0</v>
      </c>
      <c r="J530" t="n">
        <v>0</v>
      </c>
      <c r="K530" t="n">
        <v>0</v>
      </c>
      <c r="L530" t="n">
        <v>0</v>
      </c>
      <c r="M530" t="n">
        <v>0</v>
      </c>
      <c r="N530" t="n">
        <v>0</v>
      </c>
      <c r="O530" t="n">
        <v>0</v>
      </c>
      <c r="P530" t="n">
        <v>0</v>
      </c>
      <c r="Q530" t="n">
        <v>0</v>
      </c>
      <c r="R530" s="2" t="inlineStr"/>
    </row>
    <row r="531" ht="15" customHeight="1">
      <c r="A531" t="inlineStr">
        <is>
          <t>A 33443-2025</t>
        </is>
      </c>
      <c r="B531" s="1" t="n">
        <v>45841</v>
      </c>
      <c r="C531" s="1" t="n">
        <v>45931</v>
      </c>
      <c r="D531" t="inlineStr">
        <is>
          <t>DALARNAS LÄN</t>
        </is>
      </c>
      <c r="E531" t="inlineStr">
        <is>
          <t>MORA</t>
        </is>
      </c>
      <c r="G531" t="n">
        <v>2.7</v>
      </c>
      <c r="H531" t="n">
        <v>0</v>
      </c>
      <c r="I531" t="n">
        <v>0</v>
      </c>
      <c r="J531" t="n">
        <v>0</v>
      </c>
      <c r="K531" t="n">
        <v>0</v>
      </c>
      <c r="L531" t="n">
        <v>0</v>
      </c>
      <c r="M531" t="n">
        <v>0</v>
      </c>
      <c r="N531" t="n">
        <v>0</v>
      </c>
      <c r="O531" t="n">
        <v>0</v>
      </c>
      <c r="P531" t="n">
        <v>0</v>
      </c>
      <c r="Q531" t="n">
        <v>0</v>
      </c>
      <c r="R531" s="2" t="inlineStr"/>
    </row>
    <row r="532" ht="15" customHeight="1">
      <c r="A532" t="inlineStr">
        <is>
          <t>A 28964-2024</t>
        </is>
      </c>
      <c r="B532" s="1" t="n">
        <v>45481.42923611111</v>
      </c>
      <c r="C532" s="1" t="n">
        <v>45931</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27420-2024</t>
        </is>
      </c>
      <c r="B533" s="1" t="n">
        <v>45474.37850694444</v>
      </c>
      <c r="C533" s="1" t="n">
        <v>45931</v>
      </c>
      <c r="D533" t="inlineStr">
        <is>
          <t>DALARNAS LÄN</t>
        </is>
      </c>
      <c r="E533" t="inlineStr">
        <is>
          <t>MORA</t>
        </is>
      </c>
      <c r="G533" t="n">
        <v>7.3</v>
      </c>
      <c r="H533" t="n">
        <v>0</v>
      </c>
      <c r="I533" t="n">
        <v>0</v>
      </c>
      <c r="J533" t="n">
        <v>0</v>
      </c>
      <c r="K533" t="n">
        <v>0</v>
      </c>
      <c r="L533" t="n">
        <v>0</v>
      </c>
      <c r="M533" t="n">
        <v>0</v>
      </c>
      <c r="N533" t="n">
        <v>0</v>
      </c>
      <c r="O533" t="n">
        <v>0</v>
      </c>
      <c r="P533" t="n">
        <v>0</v>
      </c>
      <c r="Q533" t="n">
        <v>0</v>
      </c>
      <c r="R533" s="2" t="inlineStr"/>
    </row>
    <row r="534" ht="15" customHeight="1">
      <c r="A534" t="inlineStr">
        <is>
          <t>A 51253-2023</t>
        </is>
      </c>
      <c r="B534" s="1" t="n">
        <v>45219</v>
      </c>
      <c r="C534" s="1" t="n">
        <v>45931</v>
      </c>
      <c r="D534" t="inlineStr">
        <is>
          <t>DALARNAS LÄN</t>
        </is>
      </c>
      <c r="E534" t="inlineStr">
        <is>
          <t>MORA</t>
        </is>
      </c>
      <c r="G534" t="n">
        <v>5</v>
      </c>
      <c r="H534" t="n">
        <v>0</v>
      </c>
      <c r="I534" t="n">
        <v>0</v>
      </c>
      <c r="J534" t="n">
        <v>0</v>
      </c>
      <c r="K534" t="n">
        <v>0</v>
      </c>
      <c r="L534" t="n">
        <v>0</v>
      </c>
      <c r="M534" t="n">
        <v>0</v>
      </c>
      <c r="N534" t="n">
        <v>0</v>
      </c>
      <c r="O534" t="n">
        <v>0</v>
      </c>
      <c r="P534" t="n">
        <v>0</v>
      </c>
      <c r="Q534" t="n">
        <v>0</v>
      </c>
      <c r="R534" s="2" t="inlineStr"/>
    </row>
    <row r="535" ht="15" customHeight="1">
      <c r="A535" t="inlineStr">
        <is>
          <t>A 58116-2022</t>
        </is>
      </c>
      <c r="B535" s="1" t="n">
        <v>44900.65716435185</v>
      </c>
      <c r="C535" s="1" t="n">
        <v>45931</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33666-2024</t>
        </is>
      </c>
      <c r="B536" s="1" t="n">
        <v>45520.48304398148</v>
      </c>
      <c r="C536" s="1" t="n">
        <v>45931</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34005-2025</t>
        </is>
      </c>
      <c r="B537" s="1" t="n">
        <v>45844.58890046296</v>
      </c>
      <c r="C537" s="1" t="n">
        <v>45931</v>
      </c>
      <c r="D537" t="inlineStr">
        <is>
          <t>DALARNAS LÄN</t>
        </is>
      </c>
      <c r="E537" t="inlineStr">
        <is>
          <t>MORA</t>
        </is>
      </c>
      <c r="G537" t="n">
        <v>7.2</v>
      </c>
      <c r="H537" t="n">
        <v>0</v>
      </c>
      <c r="I537" t="n">
        <v>0</v>
      </c>
      <c r="J537" t="n">
        <v>0</v>
      </c>
      <c r="K537" t="n">
        <v>0</v>
      </c>
      <c r="L537" t="n">
        <v>0</v>
      </c>
      <c r="M537" t="n">
        <v>0</v>
      </c>
      <c r="N537" t="n">
        <v>0</v>
      </c>
      <c r="O537" t="n">
        <v>0</v>
      </c>
      <c r="P537" t="n">
        <v>0</v>
      </c>
      <c r="Q537" t="n">
        <v>0</v>
      </c>
      <c r="R537" s="2" t="inlineStr"/>
    </row>
    <row r="538" ht="15" customHeight="1">
      <c r="A538" t="inlineStr">
        <is>
          <t>A 42941-2024</t>
        </is>
      </c>
      <c r="B538" s="1" t="n">
        <v>45567.3515162037</v>
      </c>
      <c r="C538" s="1" t="n">
        <v>45931</v>
      </c>
      <c r="D538" t="inlineStr">
        <is>
          <t>DALARNAS LÄN</t>
        </is>
      </c>
      <c r="E538" t="inlineStr">
        <is>
          <t>MORA</t>
        </is>
      </c>
      <c r="G538" t="n">
        <v>1.6</v>
      </c>
      <c r="H538" t="n">
        <v>0</v>
      </c>
      <c r="I538" t="n">
        <v>0</v>
      </c>
      <c r="J538" t="n">
        <v>0</v>
      </c>
      <c r="K538" t="n">
        <v>0</v>
      </c>
      <c r="L538" t="n">
        <v>0</v>
      </c>
      <c r="M538" t="n">
        <v>0</v>
      </c>
      <c r="N538" t="n">
        <v>0</v>
      </c>
      <c r="O538" t="n">
        <v>0</v>
      </c>
      <c r="P538" t="n">
        <v>0</v>
      </c>
      <c r="Q538" t="n">
        <v>0</v>
      </c>
      <c r="R538" s="2" t="inlineStr"/>
    </row>
    <row r="539" ht="15" customHeight="1">
      <c r="A539" t="inlineStr">
        <is>
          <t>A 34382-2025</t>
        </is>
      </c>
      <c r="B539" s="1" t="n">
        <v>45846</v>
      </c>
      <c r="C539" s="1" t="n">
        <v>45931</v>
      </c>
      <c r="D539" t="inlineStr">
        <is>
          <t>DALARNAS LÄN</t>
        </is>
      </c>
      <c r="E539" t="inlineStr">
        <is>
          <t>MORA</t>
        </is>
      </c>
      <c r="G539" t="n">
        <v>0.7</v>
      </c>
      <c r="H539" t="n">
        <v>0</v>
      </c>
      <c r="I539" t="n">
        <v>0</v>
      </c>
      <c r="J539" t="n">
        <v>0</v>
      </c>
      <c r="K539" t="n">
        <v>0</v>
      </c>
      <c r="L539" t="n">
        <v>0</v>
      </c>
      <c r="M539" t="n">
        <v>0</v>
      </c>
      <c r="N539" t="n">
        <v>0</v>
      </c>
      <c r="O539" t="n">
        <v>0</v>
      </c>
      <c r="P539" t="n">
        <v>0</v>
      </c>
      <c r="Q539" t="n">
        <v>0</v>
      </c>
      <c r="R539" s="2" t="inlineStr"/>
    </row>
    <row r="540" ht="15" customHeight="1">
      <c r="A540" t="inlineStr">
        <is>
          <t>A 34182-2025</t>
        </is>
      </c>
      <c r="B540" s="1" t="n">
        <v>45845.60520833333</v>
      </c>
      <c r="C540" s="1" t="n">
        <v>45931</v>
      </c>
      <c r="D540" t="inlineStr">
        <is>
          <t>DALARNAS LÄN</t>
        </is>
      </c>
      <c r="E540" t="inlineStr">
        <is>
          <t>MORA</t>
        </is>
      </c>
      <c r="G540" t="n">
        <v>3.4</v>
      </c>
      <c r="H540" t="n">
        <v>0</v>
      </c>
      <c r="I540" t="n">
        <v>0</v>
      </c>
      <c r="J540" t="n">
        <v>0</v>
      </c>
      <c r="K540" t="n">
        <v>0</v>
      </c>
      <c r="L540" t="n">
        <v>0</v>
      </c>
      <c r="M540" t="n">
        <v>0</v>
      </c>
      <c r="N540" t="n">
        <v>0</v>
      </c>
      <c r="O540" t="n">
        <v>0</v>
      </c>
      <c r="P540" t="n">
        <v>0</v>
      </c>
      <c r="Q540" t="n">
        <v>0</v>
      </c>
      <c r="R540" s="2" t="inlineStr"/>
    </row>
    <row r="541" ht="15" customHeight="1">
      <c r="A541" t="inlineStr">
        <is>
          <t>A 39674-2023</t>
        </is>
      </c>
      <c r="B541" s="1" t="n">
        <v>45167</v>
      </c>
      <c r="C541" s="1" t="n">
        <v>45931</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34482-2025</t>
        </is>
      </c>
      <c r="B542" s="1" t="n">
        <v>45847.38469907407</v>
      </c>
      <c r="C542" s="1" t="n">
        <v>45931</v>
      </c>
      <c r="D542" t="inlineStr">
        <is>
          <t>DALARNAS LÄN</t>
        </is>
      </c>
      <c r="E542" t="inlineStr">
        <is>
          <t>MORA</t>
        </is>
      </c>
      <c r="G542" t="n">
        <v>1.5</v>
      </c>
      <c r="H542" t="n">
        <v>0</v>
      </c>
      <c r="I542" t="n">
        <v>0</v>
      </c>
      <c r="J542" t="n">
        <v>0</v>
      </c>
      <c r="K542" t="n">
        <v>0</v>
      </c>
      <c r="L542" t="n">
        <v>0</v>
      </c>
      <c r="M542" t="n">
        <v>0</v>
      </c>
      <c r="N542" t="n">
        <v>0</v>
      </c>
      <c r="O542" t="n">
        <v>0</v>
      </c>
      <c r="P542" t="n">
        <v>0</v>
      </c>
      <c r="Q542" t="n">
        <v>0</v>
      </c>
      <c r="R542" s="2" t="inlineStr"/>
    </row>
    <row r="543" ht="15" customHeight="1">
      <c r="A543" t="inlineStr">
        <is>
          <t>A 12920-2022</t>
        </is>
      </c>
      <c r="B543" s="1" t="n">
        <v>44642.65418981481</v>
      </c>
      <c r="C543" s="1" t="n">
        <v>45931</v>
      </c>
      <c r="D543" t="inlineStr">
        <is>
          <t>DALARNAS LÄN</t>
        </is>
      </c>
      <c r="E543" t="inlineStr">
        <is>
          <t>MORA</t>
        </is>
      </c>
      <c r="G543" t="n">
        <v>0.8</v>
      </c>
      <c r="H543" t="n">
        <v>0</v>
      </c>
      <c r="I543" t="n">
        <v>0</v>
      </c>
      <c r="J543" t="n">
        <v>0</v>
      </c>
      <c r="K543" t="n">
        <v>0</v>
      </c>
      <c r="L543" t="n">
        <v>0</v>
      </c>
      <c r="M543" t="n">
        <v>0</v>
      </c>
      <c r="N543" t="n">
        <v>0</v>
      </c>
      <c r="O543" t="n">
        <v>0</v>
      </c>
      <c r="P543" t="n">
        <v>0</v>
      </c>
      <c r="Q543" t="n">
        <v>0</v>
      </c>
      <c r="R543" s="2" t="inlineStr"/>
    </row>
    <row r="544" ht="15" customHeight="1">
      <c r="A544" t="inlineStr">
        <is>
          <t>A 61188-2024</t>
        </is>
      </c>
      <c r="B544" s="1" t="n">
        <v>45645.62282407407</v>
      </c>
      <c r="C544" s="1" t="n">
        <v>45931</v>
      </c>
      <c r="D544" t="inlineStr">
        <is>
          <t>DALARNAS LÄN</t>
        </is>
      </c>
      <c r="E544" t="inlineStr">
        <is>
          <t>MORA</t>
        </is>
      </c>
      <c r="G544" t="n">
        <v>1.6</v>
      </c>
      <c r="H544" t="n">
        <v>0</v>
      </c>
      <c r="I544" t="n">
        <v>0</v>
      </c>
      <c r="J544" t="n">
        <v>0</v>
      </c>
      <c r="K544" t="n">
        <v>0</v>
      </c>
      <c r="L544" t="n">
        <v>0</v>
      </c>
      <c r="M544" t="n">
        <v>0</v>
      </c>
      <c r="N544" t="n">
        <v>0</v>
      </c>
      <c r="O544" t="n">
        <v>0</v>
      </c>
      <c r="P544" t="n">
        <v>0</v>
      </c>
      <c r="Q544" t="n">
        <v>0</v>
      </c>
      <c r="R544" s="2" t="inlineStr"/>
    </row>
    <row r="545" ht="15" customHeight="1">
      <c r="A545" t="inlineStr">
        <is>
          <t>A 53341-2023</t>
        </is>
      </c>
      <c r="B545" s="1" t="n">
        <v>45229</v>
      </c>
      <c r="C545" s="1" t="n">
        <v>45931</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39456-2025</t>
        </is>
      </c>
      <c r="B546" s="1" t="n">
        <v>45889.76200231481</v>
      </c>
      <c r="C546" s="1" t="n">
        <v>45931</v>
      </c>
      <c r="D546" t="inlineStr">
        <is>
          <t>DALARNAS LÄN</t>
        </is>
      </c>
      <c r="E546" t="inlineStr">
        <is>
          <t>MORA</t>
        </is>
      </c>
      <c r="F546" t="inlineStr">
        <is>
          <t>Bergvik skog öst AB</t>
        </is>
      </c>
      <c r="G546" t="n">
        <v>16.7</v>
      </c>
      <c r="H546" t="n">
        <v>0</v>
      </c>
      <c r="I546" t="n">
        <v>0</v>
      </c>
      <c r="J546" t="n">
        <v>0</v>
      </c>
      <c r="K546" t="n">
        <v>0</v>
      </c>
      <c r="L546" t="n">
        <v>0</v>
      </c>
      <c r="M546" t="n">
        <v>0</v>
      </c>
      <c r="N546" t="n">
        <v>0</v>
      </c>
      <c r="O546" t="n">
        <v>0</v>
      </c>
      <c r="P546" t="n">
        <v>0</v>
      </c>
      <c r="Q546" t="n">
        <v>0</v>
      </c>
      <c r="R546" s="2" t="inlineStr"/>
    </row>
    <row r="547" ht="15" customHeight="1">
      <c r="A547" t="inlineStr">
        <is>
          <t>A 58089-2024</t>
        </is>
      </c>
      <c r="B547" s="1" t="n">
        <v>45632.34984953704</v>
      </c>
      <c r="C547" s="1" t="n">
        <v>45931</v>
      </c>
      <c r="D547" t="inlineStr">
        <is>
          <t>DALARNAS LÄN</t>
        </is>
      </c>
      <c r="E547" t="inlineStr">
        <is>
          <t>MORA</t>
        </is>
      </c>
      <c r="G547" t="n">
        <v>1.4</v>
      </c>
      <c r="H547" t="n">
        <v>0</v>
      </c>
      <c r="I547" t="n">
        <v>0</v>
      </c>
      <c r="J547" t="n">
        <v>0</v>
      </c>
      <c r="K547" t="n">
        <v>0</v>
      </c>
      <c r="L547" t="n">
        <v>0</v>
      </c>
      <c r="M547" t="n">
        <v>0</v>
      </c>
      <c r="N547" t="n">
        <v>0</v>
      </c>
      <c r="O547" t="n">
        <v>0</v>
      </c>
      <c r="P547" t="n">
        <v>0</v>
      </c>
      <c r="Q547" t="n">
        <v>0</v>
      </c>
      <c r="R547" s="2" t="inlineStr"/>
    </row>
    <row r="548" ht="15" customHeight="1">
      <c r="A548" t="inlineStr">
        <is>
          <t>A 5001-2025</t>
        </is>
      </c>
      <c r="B548" s="1" t="n">
        <v>45691.36403935185</v>
      </c>
      <c r="C548" s="1" t="n">
        <v>45931</v>
      </c>
      <c r="D548" t="inlineStr">
        <is>
          <t>DALARNAS LÄN</t>
        </is>
      </c>
      <c r="E548" t="inlineStr">
        <is>
          <t>MORA</t>
        </is>
      </c>
      <c r="G548" t="n">
        <v>1.3</v>
      </c>
      <c r="H548" t="n">
        <v>0</v>
      </c>
      <c r="I548" t="n">
        <v>0</v>
      </c>
      <c r="J548" t="n">
        <v>0</v>
      </c>
      <c r="K548" t="n">
        <v>0</v>
      </c>
      <c r="L548" t="n">
        <v>0</v>
      </c>
      <c r="M548" t="n">
        <v>0</v>
      </c>
      <c r="N548" t="n">
        <v>0</v>
      </c>
      <c r="O548" t="n">
        <v>0</v>
      </c>
      <c r="P548" t="n">
        <v>0</v>
      </c>
      <c r="Q548" t="n">
        <v>0</v>
      </c>
      <c r="R548" s="2" t="inlineStr"/>
    </row>
    <row r="549" ht="15" customHeight="1">
      <c r="A549" t="inlineStr">
        <is>
          <t>A 40147-2025</t>
        </is>
      </c>
      <c r="B549" s="1" t="n">
        <v>45894.57918981482</v>
      </c>
      <c r="C549" s="1" t="n">
        <v>45931</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61350-2024</t>
        </is>
      </c>
      <c r="B550" s="1" t="n">
        <v>45646.37872685185</v>
      </c>
      <c r="C550" s="1" t="n">
        <v>45931</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54903-2024</t>
        </is>
      </c>
      <c r="B551" s="1" t="n">
        <v>45618</v>
      </c>
      <c r="C551" s="1" t="n">
        <v>45931</v>
      </c>
      <c r="D551" t="inlineStr">
        <is>
          <t>DALARNAS LÄN</t>
        </is>
      </c>
      <c r="E551" t="inlineStr">
        <is>
          <t>MORA</t>
        </is>
      </c>
      <c r="G551" t="n">
        <v>28.2</v>
      </c>
      <c r="H551" t="n">
        <v>0</v>
      </c>
      <c r="I551" t="n">
        <v>0</v>
      </c>
      <c r="J551" t="n">
        <v>0</v>
      </c>
      <c r="K551" t="n">
        <v>0</v>
      </c>
      <c r="L551" t="n">
        <v>0</v>
      </c>
      <c r="M551" t="n">
        <v>0</v>
      </c>
      <c r="N551" t="n">
        <v>0</v>
      </c>
      <c r="O551" t="n">
        <v>0</v>
      </c>
      <c r="P551" t="n">
        <v>0</v>
      </c>
      <c r="Q551" t="n">
        <v>0</v>
      </c>
      <c r="R551" s="2" t="inlineStr"/>
    </row>
    <row r="552" ht="15" customHeight="1">
      <c r="A552" t="inlineStr">
        <is>
          <t>A 34933-2025</t>
        </is>
      </c>
      <c r="B552" s="1" t="n">
        <v>45849.57297453703</v>
      </c>
      <c r="C552" s="1" t="n">
        <v>45931</v>
      </c>
      <c r="D552" t="inlineStr">
        <is>
          <t>DALARNAS LÄN</t>
        </is>
      </c>
      <c r="E552" t="inlineStr">
        <is>
          <t>MORA</t>
        </is>
      </c>
      <c r="F552" t="inlineStr">
        <is>
          <t>Bergvik skog väst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62266-2020</t>
        </is>
      </c>
      <c r="B553" s="1" t="n">
        <v>44160.35008101852</v>
      </c>
      <c r="C553" s="1" t="n">
        <v>45931</v>
      </c>
      <c r="D553" t="inlineStr">
        <is>
          <t>DALARNAS LÄN</t>
        </is>
      </c>
      <c r="E553" t="inlineStr">
        <is>
          <t>MORA</t>
        </is>
      </c>
      <c r="F553" t="inlineStr">
        <is>
          <t>Bergvik skog väst AB</t>
        </is>
      </c>
      <c r="G553" t="n">
        <v>5.9</v>
      </c>
      <c r="H553" t="n">
        <v>0</v>
      </c>
      <c r="I553" t="n">
        <v>0</v>
      </c>
      <c r="J553" t="n">
        <v>0</v>
      </c>
      <c r="K553" t="n">
        <v>0</v>
      </c>
      <c r="L553" t="n">
        <v>0</v>
      </c>
      <c r="M553" t="n">
        <v>0</v>
      </c>
      <c r="N553" t="n">
        <v>0</v>
      </c>
      <c r="O553" t="n">
        <v>0</v>
      </c>
      <c r="P553" t="n">
        <v>0</v>
      </c>
      <c r="Q553" t="n">
        <v>0</v>
      </c>
      <c r="R553" s="2" t="inlineStr"/>
    </row>
    <row r="554" ht="15" customHeight="1">
      <c r="A554" t="inlineStr">
        <is>
          <t>A 40140-2025</t>
        </is>
      </c>
      <c r="B554" s="1" t="n">
        <v>45894.57016203704</v>
      </c>
      <c r="C554" s="1" t="n">
        <v>45931</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40142-2025</t>
        </is>
      </c>
      <c r="B555" s="1" t="n">
        <v>45894.57202546296</v>
      </c>
      <c r="C555" s="1" t="n">
        <v>45931</v>
      </c>
      <c r="D555" t="inlineStr">
        <is>
          <t>DALARNAS LÄN</t>
        </is>
      </c>
      <c r="E555" t="inlineStr">
        <is>
          <t>MORA</t>
        </is>
      </c>
      <c r="G555" t="n">
        <v>0.4</v>
      </c>
      <c r="H555" t="n">
        <v>0</v>
      </c>
      <c r="I555" t="n">
        <v>0</v>
      </c>
      <c r="J555" t="n">
        <v>0</v>
      </c>
      <c r="K555" t="n">
        <v>0</v>
      </c>
      <c r="L555" t="n">
        <v>0</v>
      </c>
      <c r="M555" t="n">
        <v>0</v>
      </c>
      <c r="N555" t="n">
        <v>0</v>
      </c>
      <c r="O555" t="n">
        <v>0</v>
      </c>
      <c r="P555" t="n">
        <v>0</v>
      </c>
      <c r="Q555" t="n">
        <v>0</v>
      </c>
      <c r="R555" s="2" t="inlineStr"/>
    </row>
    <row r="556" ht="15" customHeight="1">
      <c r="A556" t="inlineStr">
        <is>
          <t>A 39787-2025</t>
        </is>
      </c>
      <c r="B556" s="1" t="n">
        <v>45891</v>
      </c>
      <c r="C556" s="1" t="n">
        <v>45931</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39824-2025</t>
        </is>
      </c>
      <c r="B557" s="1" t="n">
        <v>45891</v>
      </c>
      <c r="C557" s="1" t="n">
        <v>45931</v>
      </c>
      <c r="D557" t="inlineStr">
        <is>
          <t>DALARNAS LÄN</t>
        </is>
      </c>
      <c r="E557" t="inlineStr">
        <is>
          <t>MORA</t>
        </is>
      </c>
      <c r="G557" t="n">
        <v>2</v>
      </c>
      <c r="H557" t="n">
        <v>0</v>
      </c>
      <c r="I557" t="n">
        <v>0</v>
      </c>
      <c r="J557" t="n">
        <v>0</v>
      </c>
      <c r="K557" t="n">
        <v>0</v>
      </c>
      <c r="L557" t="n">
        <v>0</v>
      </c>
      <c r="M557" t="n">
        <v>0</v>
      </c>
      <c r="N557" t="n">
        <v>0</v>
      </c>
      <c r="O557" t="n">
        <v>0</v>
      </c>
      <c r="P557" t="n">
        <v>0</v>
      </c>
      <c r="Q557" t="n">
        <v>0</v>
      </c>
      <c r="R557" s="2" t="inlineStr"/>
    </row>
    <row r="558" ht="15" customHeight="1">
      <c r="A558" t="inlineStr">
        <is>
          <t>A 35121-2025</t>
        </is>
      </c>
      <c r="B558" s="1" t="n">
        <v>45852.60936342592</v>
      </c>
      <c r="C558" s="1" t="n">
        <v>45931</v>
      </c>
      <c r="D558" t="inlineStr">
        <is>
          <t>DALARNAS LÄN</t>
        </is>
      </c>
      <c r="E558" t="inlineStr">
        <is>
          <t>MORA</t>
        </is>
      </c>
      <c r="F558" t="inlineStr">
        <is>
          <t>Bergvik skog öst AB</t>
        </is>
      </c>
      <c r="G558" t="n">
        <v>15.9</v>
      </c>
      <c r="H558" t="n">
        <v>0</v>
      </c>
      <c r="I558" t="n">
        <v>0</v>
      </c>
      <c r="J558" t="n">
        <v>0</v>
      </c>
      <c r="K558" t="n">
        <v>0</v>
      </c>
      <c r="L558" t="n">
        <v>0</v>
      </c>
      <c r="M558" t="n">
        <v>0</v>
      </c>
      <c r="N558" t="n">
        <v>0</v>
      </c>
      <c r="O558" t="n">
        <v>0</v>
      </c>
      <c r="P558" t="n">
        <v>0</v>
      </c>
      <c r="Q558" t="n">
        <v>0</v>
      </c>
      <c r="R558" s="2" t="inlineStr"/>
    </row>
    <row r="559" ht="15" customHeight="1">
      <c r="A559" t="inlineStr">
        <is>
          <t>A 40660-2025</t>
        </is>
      </c>
      <c r="B559" s="1" t="n">
        <v>45896.64631944444</v>
      </c>
      <c r="C559" s="1" t="n">
        <v>45931</v>
      </c>
      <c r="D559" t="inlineStr">
        <is>
          <t>DALARNAS LÄN</t>
        </is>
      </c>
      <c r="E559" t="inlineStr">
        <is>
          <t>MORA</t>
        </is>
      </c>
      <c r="F559" t="inlineStr">
        <is>
          <t>Bergvik skog väst AB</t>
        </is>
      </c>
      <c r="G559" t="n">
        <v>5.4</v>
      </c>
      <c r="H559" t="n">
        <v>0</v>
      </c>
      <c r="I559" t="n">
        <v>0</v>
      </c>
      <c r="J559" t="n">
        <v>0</v>
      </c>
      <c r="K559" t="n">
        <v>0</v>
      </c>
      <c r="L559" t="n">
        <v>0</v>
      </c>
      <c r="M559" t="n">
        <v>0</v>
      </c>
      <c r="N559" t="n">
        <v>0</v>
      </c>
      <c r="O559" t="n">
        <v>0</v>
      </c>
      <c r="P559" t="n">
        <v>0</v>
      </c>
      <c r="Q559" t="n">
        <v>0</v>
      </c>
      <c r="R559" s="2" t="inlineStr"/>
    </row>
    <row r="560" ht="15" customHeight="1">
      <c r="A560" t="inlineStr">
        <is>
          <t>A 40661-2025</t>
        </is>
      </c>
      <c r="B560" s="1" t="n">
        <v>45896.64715277778</v>
      </c>
      <c r="C560" s="1" t="n">
        <v>45931</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43533-2023</t>
        </is>
      </c>
      <c r="B561" s="1" t="n">
        <v>45184.53412037037</v>
      </c>
      <c r="C561" s="1" t="n">
        <v>45931</v>
      </c>
      <c r="D561" t="inlineStr">
        <is>
          <t>DALARNAS LÄN</t>
        </is>
      </c>
      <c r="E561" t="inlineStr">
        <is>
          <t>MORA</t>
        </is>
      </c>
      <c r="F561" t="inlineStr">
        <is>
          <t>Bergvik skog väst AB</t>
        </is>
      </c>
      <c r="G561" t="n">
        <v>10.3</v>
      </c>
      <c r="H561" t="n">
        <v>0</v>
      </c>
      <c r="I561" t="n">
        <v>0</v>
      </c>
      <c r="J561" t="n">
        <v>0</v>
      </c>
      <c r="K561" t="n">
        <v>0</v>
      </c>
      <c r="L561" t="n">
        <v>0</v>
      </c>
      <c r="M561" t="n">
        <v>0</v>
      </c>
      <c r="N561" t="n">
        <v>0</v>
      </c>
      <c r="O561" t="n">
        <v>0</v>
      </c>
      <c r="P561" t="n">
        <v>0</v>
      </c>
      <c r="Q561" t="n">
        <v>0</v>
      </c>
      <c r="R561" s="2" t="inlineStr"/>
    </row>
    <row r="562" ht="15" customHeight="1">
      <c r="A562" t="inlineStr">
        <is>
          <t>A 40471-2025</t>
        </is>
      </c>
      <c r="B562" s="1" t="n">
        <v>45895.67356481482</v>
      </c>
      <c r="C562" s="1" t="n">
        <v>45931</v>
      </c>
      <c r="D562" t="inlineStr">
        <is>
          <t>DALARNAS LÄN</t>
        </is>
      </c>
      <c r="E562" t="inlineStr">
        <is>
          <t>MORA</t>
        </is>
      </c>
      <c r="G562" t="n">
        <v>2.8</v>
      </c>
      <c r="H562" t="n">
        <v>0</v>
      </c>
      <c r="I562" t="n">
        <v>0</v>
      </c>
      <c r="J562" t="n">
        <v>0</v>
      </c>
      <c r="K562" t="n">
        <v>0</v>
      </c>
      <c r="L562" t="n">
        <v>0</v>
      </c>
      <c r="M562" t="n">
        <v>0</v>
      </c>
      <c r="N562" t="n">
        <v>0</v>
      </c>
      <c r="O562" t="n">
        <v>0</v>
      </c>
      <c r="P562" t="n">
        <v>0</v>
      </c>
      <c r="Q562" t="n">
        <v>0</v>
      </c>
      <c r="R562" s="2" t="inlineStr"/>
    </row>
    <row r="563" ht="15" customHeight="1">
      <c r="A563" t="inlineStr">
        <is>
          <t>A 30998-2022</t>
        </is>
      </c>
      <c r="B563" s="1" t="n">
        <v>44768</v>
      </c>
      <c r="C563" s="1" t="n">
        <v>45931</v>
      </c>
      <c r="D563" t="inlineStr">
        <is>
          <t>DALARNAS LÄN</t>
        </is>
      </c>
      <c r="E563" t="inlineStr">
        <is>
          <t>MORA</t>
        </is>
      </c>
      <c r="G563" t="n">
        <v>1.7</v>
      </c>
      <c r="H563" t="n">
        <v>0</v>
      </c>
      <c r="I563" t="n">
        <v>0</v>
      </c>
      <c r="J563" t="n">
        <v>0</v>
      </c>
      <c r="K563" t="n">
        <v>0</v>
      </c>
      <c r="L563" t="n">
        <v>0</v>
      </c>
      <c r="M563" t="n">
        <v>0</v>
      </c>
      <c r="N563" t="n">
        <v>0</v>
      </c>
      <c r="O563" t="n">
        <v>0</v>
      </c>
      <c r="P563" t="n">
        <v>0</v>
      </c>
      <c r="Q563" t="n">
        <v>0</v>
      </c>
      <c r="R563" s="2" t="inlineStr"/>
    </row>
    <row r="564" ht="15" customHeight="1">
      <c r="A564" t="inlineStr">
        <is>
          <t>A 41200-2025</t>
        </is>
      </c>
      <c r="B564" s="1" t="n">
        <v>45898.5738425926</v>
      </c>
      <c r="C564" s="1" t="n">
        <v>45931</v>
      </c>
      <c r="D564" t="inlineStr">
        <is>
          <t>DALARNAS LÄN</t>
        </is>
      </c>
      <c r="E564" t="inlineStr">
        <is>
          <t>MORA</t>
        </is>
      </c>
      <c r="G564" t="n">
        <v>8.9</v>
      </c>
      <c r="H564" t="n">
        <v>0</v>
      </c>
      <c r="I564" t="n">
        <v>0</v>
      </c>
      <c r="J564" t="n">
        <v>0</v>
      </c>
      <c r="K564" t="n">
        <v>0</v>
      </c>
      <c r="L564" t="n">
        <v>0</v>
      </c>
      <c r="M564" t="n">
        <v>0</v>
      </c>
      <c r="N564" t="n">
        <v>0</v>
      </c>
      <c r="O564" t="n">
        <v>0</v>
      </c>
      <c r="P564" t="n">
        <v>0</v>
      </c>
      <c r="Q564" t="n">
        <v>0</v>
      </c>
      <c r="R564" s="2" t="inlineStr"/>
    </row>
    <row r="565" ht="15" customHeight="1">
      <c r="A565" t="inlineStr">
        <is>
          <t>A 40805-2025</t>
        </is>
      </c>
      <c r="B565" s="1" t="n">
        <v>45897.46659722222</v>
      </c>
      <c r="C565" s="1" t="n">
        <v>45931</v>
      </c>
      <c r="D565" t="inlineStr">
        <is>
          <t>DALARNAS LÄN</t>
        </is>
      </c>
      <c r="E565" t="inlineStr">
        <is>
          <t>MORA</t>
        </is>
      </c>
      <c r="G565" t="n">
        <v>1.6</v>
      </c>
      <c r="H565" t="n">
        <v>0</v>
      </c>
      <c r="I565" t="n">
        <v>0</v>
      </c>
      <c r="J565" t="n">
        <v>0</v>
      </c>
      <c r="K565" t="n">
        <v>0</v>
      </c>
      <c r="L565" t="n">
        <v>0</v>
      </c>
      <c r="M565" t="n">
        <v>0</v>
      </c>
      <c r="N565" t="n">
        <v>0</v>
      </c>
      <c r="O565" t="n">
        <v>0</v>
      </c>
      <c r="P565" t="n">
        <v>0</v>
      </c>
      <c r="Q565" t="n">
        <v>0</v>
      </c>
      <c r="R565" s="2" t="inlineStr"/>
    </row>
    <row r="566" ht="15" customHeight="1">
      <c r="A566" t="inlineStr">
        <is>
          <t>A 41175-2025</t>
        </is>
      </c>
      <c r="B566" s="1" t="n">
        <v>45898.55165509259</v>
      </c>
      <c r="C566" s="1" t="n">
        <v>45931</v>
      </c>
      <c r="D566" t="inlineStr">
        <is>
          <t>DALARNAS LÄN</t>
        </is>
      </c>
      <c r="E566" t="inlineStr">
        <is>
          <t>MORA</t>
        </is>
      </c>
      <c r="G566" t="n">
        <v>4.5</v>
      </c>
      <c r="H566" t="n">
        <v>0</v>
      </c>
      <c r="I566" t="n">
        <v>0</v>
      </c>
      <c r="J566" t="n">
        <v>0</v>
      </c>
      <c r="K566" t="n">
        <v>0</v>
      </c>
      <c r="L566" t="n">
        <v>0</v>
      </c>
      <c r="M566" t="n">
        <v>0</v>
      </c>
      <c r="N566" t="n">
        <v>0</v>
      </c>
      <c r="O566" t="n">
        <v>0</v>
      </c>
      <c r="P566" t="n">
        <v>0</v>
      </c>
      <c r="Q566" t="n">
        <v>0</v>
      </c>
      <c r="R566" s="2" t="inlineStr"/>
    </row>
    <row r="567" ht="15" customHeight="1">
      <c r="A567" t="inlineStr">
        <is>
          <t>A 35407-2025</t>
        </is>
      </c>
      <c r="B567" s="1" t="n">
        <v>45855.35989583333</v>
      </c>
      <c r="C567" s="1" t="n">
        <v>45931</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14040-2023</t>
        </is>
      </c>
      <c r="B568" s="1" t="n">
        <v>45008.64575231481</v>
      </c>
      <c r="C568" s="1" t="n">
        <v>45931</v>
      </c>
      <c r="D568" t="inlineStr">
        <is>
          <t>DALARNAS LÄN</t>
        </is>
      </c>
      <c r="E568" t="inlineStr">
        <is>
          <t>MORA</t>
        </is>
      </c>
      <c r="G568" t="n">
        <v>1.3</v>
      </c>
      <c r="H568" t="n">
        <v>0</v>
      </c>
      <c r="I568" t="n">
        <v>0</v>
      </c>
      <c r="J568" t="n">
        <v>0</v>
      </c>
      <c r="K568" t="n">
        <v>0</v>
      </c>
      <c r="L568" t="n">
        <v>0</v>
      </c>
      <c r="M568" t="n">
        <v>0</v>
      </c>
      <c r="N568" t="n">
        <v>0</v>
      </c>
      <c r="O568" t="n">
        <v>0</v>
      </c>
      <c r="P568" t="n">
        <v>0</v>
      </c>
      <c r="Q568" t="n">
        <v>0</v>
      </c>
      <c r="R568" s="2" t="inlineStr"/>
    </row>
    <row r="569" ht="15" customHeight="1">
      <c r="A569" t="inlineStr">
        <is>
          <t>A 8343-2025</t>
        </is>
      </c>
      <c r="B569" s="1" t="n">
        <v>45708.67253472222</v>
      </c>
      <c r="C569" s="1" t="n">
        <v>45931</v>
      </c>
      <c r="D569" t="inlineStr">
        <is>
          <t>DALARNAS LÄN</t>
        </is>
      </c>
      <c r="E569" t="inlineStr">
        <is>
          <t>MORA</t>
        </is>
      </c>
      <c r="G569" t="n">
        <v>3.4</v>
      </c>
      <c r="H569" t="n">
        <v>0</v>
      </c>
      <c r="I569" t="n">
        <v>0</v>
      </c>
      <c r="J569" t="n">
        <v>0</v>
      </c>
      <c r="K569" t="n">
        <v>0</v>
      </c>
      <c r="L569" t="n">
        <v>0</v>
      </c>
      <c r="M569" t="n">
        <v>0</v>
      </c>
      <c r="N569" t="n">
        <v>0</v>
      </c>
      <c r="O569" t="n">
        <v>0</v>
      </c>
      <c r="P569" t="n">
        <v>0</v>
      </c>
      <c r="Q569" t="n">
        <v>0</v>
      </c>
      <c r="R569" s="2" t="inlineStr"/>
    </row>
    <row r="570" ht="15" customHeight="1">
      <c r="A570" t="inlineStr">
        <is>
          <t>A 55331-2022</t>
        </is>
      </c>
      <c r="B570" s="1" t="n">
        <v>44887.43714120371</v>
      </c>
      <c r="C570" s="1" t="n">
        <v>45931</v>
      </c>
      <c r="D570" t="inlineStr">
        <is>
          <t>DALARNAS LÄN</t>
        </is>
      </c>
      <c r="E570" t="inlineStr">
        <is>
          <t>MORA</t>
        </is>
      </c>
      <c r="F570" t="inlineStr">
        <is>
          <t>Bergvik skog väst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45475-2023</t>
        </is>
      </c>
      <c r="B571" s="1" t="n">
        <v>45188</v>
      </c>
      <c r="C571" s="1" t="n">
        <v>45931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35611-2025</t>
        </is>
      </c>
      <c r="B572" s="1" t="n">
        <v>45859.35384259259</v>
      </c>
      <c r="C572" s="1" t="n">
        <v>45931</v>
      </c>
      <c r="D572" t="inlineStr">
        <is>
          <t>DALARNAS LÄN</t>
        </is>
      </c>
      <c r="E572" t="inlineStr">
        <is>
          <t>MORA</t>
        </is>
      </c>
      <c r="G572" t="n">
        <v>2.5</v>
      </c>
      <c r="H572" t="n">
        <v>0</v>
      </c>
      <c r="I572" t="n">
        <v>0</v>
      </c>
      <c r="J572" t="n">
        <v>0</v>
      </c>
      <c r="K572" t="n">
        <v>0</v>
      </c>
      <c r="L572" t="n">
        <v>0</v>
      </c>
      <c r="M572" t="n">
        <v>0</v>
      </c>
      <c r="N572" t="n">
        <v>0</v>
      </c>
      <c r="O572" t="n">
        <v>0</v>
      </c>
      <c r="P572" t="n">
        <v>0</v>
      </c>
      <c r="Q572" t="n">
        <v>0</v>
      </c>
      <c r="R572" s="2" t="inlineStr"/>
    </row>
    <row r="573" ht="15" customHeight="1">
      <c r="A573" t="inlineStr">
        <is>
          <t>A 41794-2025</t>
        </is>
      </c>
      <c r="B573" s="1" t="n">
        <v>45902.60008101852</v>
      </c>
      <c r="C573" s="1" t="n">
        <v>45931</v>
      </c>
      <c r="D573" t="inlineStr">
        <is>
          <t>DALARNAS LÄN</t>
        </is>
      </c>
      <c r="E573" t="inlineStr">
        <is>
          <t>MORA</t>
        </is>
      </c>
      <c r="G573" t="n">
        <v>14.4</v>
      </c>
      <c r="H573" t="n">
        <v>0</v>
      </c>
      <c r="I573" t="n">
        <v>0</v>
      </c>
      <c r="J573" t="n">
        <v>0</v>
      </c>
      <c r="K573" t="n">
        <v>0</v>
      </c>
      <c r="L573" t="n">
        <v>0</v>
      </c>
      <c r="M573" t="n">
        <v>0</v>
      </c>
      <c r="N573" t="n">
        <v>0</v>
      </c>
      <c r="O573" t="n">
        <v>0</v>
      </c>
      <c r="P573" t="n">
        <v>0</v>
      </c>
      <c r="Q573" t="n">
        <v>0</v>
      </c>
      <c r="R573" s="2" t="inlineStr"/>
    </row>
    <row r="574" ht="15" customHeight="1">
      <c r="A574" t="inlineStr">
        <is>
          <t>A 41783-2025</t>
        </is>
      </c>
      <c r="B574" s="1" t="n">
        <v>45902.58721064815</v>
      </c>
      <c r="C574" s="1" t="n">
        <v>45931</v>
      </c>
      <c r="D574" t="inlineStr">
        <is>
          <t>DALARNAS LÄN</t>
        </is>
      </c>
      <c r="E574" t="inlineStr">
        <is>
          <t>MORA</t>
        </is>
      </c>
      <c r="G574" t="n">
        <v>0.6</v>
      </c>
      <c r="H574" t="n">
        <v>0</v>
      </c>
      <c r="I574" t="n">
        <v>0</v>
      </c>
      <c r="J574" t="n">
        <v>0</v>
      </c>
      <c r="K574" t="n">
        <v>0</v>
      </c>
      <c r="L574" t="n">
        <v>0</v>
      </c>
      <c r="M574" t="n">
        <v>0</v>
      </c>
      <c r="N574" t="n">
        <v>0</v>
      </c>
      <c r="O574" t="n">
        <v>0</v>
      </c>
      <c r="P574" t="n">
        <v>0</v>
      </c>
      <c r="Q574" t="n">
        <v>0</v>
      </c>
      <c r="R574" s="2" t="inlineStr"/>
    </row>
    <row r="575" ht="15" customHeight="1">
      <c r="A575" t="inlineStr">
        <is>
          <t>A 35622-2025</t>
        </is>
      </c>
      <c r="B575" s="1" t="n">
        <v>45859</v>
      </c>
      <c r="C575" s="1" t="n">
        <v>45931</v>
      </c>
      <c r="D575" t="inlineStr">
        <is>
          <t>DALARNAS LÄN</t>
        </is>
      </c>
      <c r="E575" t="inlineStr">
        <is>
          <t>MORA</t>
        </is>
      </c>
      <c r="F575" t="inlineStr">
        <is>
          <t>Bergvik skog öst AB</t>
        </is>
      </c>
      <c r="G575" t="n">
        <v>5.8</v>
      </c>
      <c r="H575" t="n">
        <v>0</v>
      </c>
      <c r="I575" t="n">
        <v>0</v>
      </c>
      <c r="J575" t="n">
        <v>0</v>
      </c>
      <c r="K575" t="n">
        <v>0</v>
      </c>
      <c r="L575" t="n">
        <v>0</v>
      </c>
      <c r="M575" t="n">
        <v>0</v>
      </c>
      <c r="N575" t="n">
        <v>0</v>
      </c>
      <c r="O575" t="n">
        <v>0</v>
      </c>
      <c r="P575" t="n">
        <v>0</v>
      </c>
      <c r="Q575" t="n">
        <v>0</v>
      </c>
      <c r="R575" s="2" t="inlineStr"/>
    </row>
    <row r="576" ht="15" customHeight="1">
      <c r="A576" t="inlineStr">
        <is>
          <t>A 35734-2025</t>
        </is>
      </c>
      <c r="B576" s="1" t="n">
        <v>45860.471875</v>
      </c>
      <c r="C576" s="1" t="n">
        <v>45931</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9277-2024</t>
        </is>
      </c>
      <c r="B577" s="1" t="n">
        <v>45358.63265046296</v>
      </c>
      <c r="C577" s="1" t="n">
        <v>45931</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41410-2025</t>
        </is>
      </c>
      <c r="B578" s="1" t="n">
        <v>45901.35030092593</v>
      </c>
      <c r="C578" s="1" t="n">
        <v>45931</v>
      </c>
      <c r="D578" t="inlineStr">
        <is>
          <t>DALARNAS LÄN</t>
        </is>
      </c>
      <c r="E578" t="inlineStr">
        <is>
          <t>MORA</t>
        </is>
      </c>
      <c r="G578" t="n">
        <v>4.5</v>
      </c>
      <c r="H578" t="n">
        <v>0</v>
      </c>
      <c r="I578" t="n">
        <v>0</v>
      </c>
      <c r="J578" t="n">
        <v>0</v>
      </c>
      <c r="K578" t="n">
        <v>0</v>
      </c>
      <c r="L578" t="n">
        <v>0</v>
      </c>
      <c r="M578" t="n">
        <v>0</v>
      </c>
      <c r="N578" t="n">
        <v>0</v>
      </c>
      <c r="O578" t="n">
        <v>0</v>
      </c>
      <c r="P578" t="n">
        <v>0</v>
      </c>
      <c r="Q578" t="n">
        <v>0</v>
      </c>
      <c r="R578" s="2" t="inlineStr"/>
    </row>
    <row r="579" ht="15" customHeight="1">
      <c r="A579" t="inlineStr">
        <is>
          <t>A 11919-2024</t>
        </is>
      </c>
      <c r="B579" s="1" t="n">
        <v>45376.61019675926</v>
      </c>
      <c r="C579" s="1" t="n">
        <v>45931</v>
      </c>
      <c r="D579" t="inlineStr">
        <is>
          <t>DALARNAS LÄN</t>
        </is>
      </c>
      <c r="E579" t="inlineStr">
        <is>
          <t>MORA</t>
        </is>
      </c>
      <c r="G579" t="n">
        <v>3.5</v>
      </c>
      <c r="H579" t="n">
        <v>0</v>
      </c>
      <c r="I579" t="n">
        <v>0</v>
      </c>
      <c r="J579" t="n">
        <v>0</v>
      </c>
      <c r="K579" t="n">
        <v>0</v>
      </c>
      <c r="L579" t="n">
        <v>0</v>
      </c>
      <c r="M579" t="n">
        <v>0</v>
      </c>
      <c r="N579" t="n">
        <v>0</v>
      </c>
      <c r="O579" t="n">
        <v>0</v>
      </c>
      <c r="P579" t="n">
        <v>0</v>
      </c>
      <c r="Q579" t="n">
        <v>0</v>
      </c>
      <c r="R579" s="2" t="inlineStr"/>
    </row>
    <row r="580" ht="15" customHeight="1">
      <c r="A580" t="inlineStr">
        <is>
          <t>A 17164-2025</t>
        </is>
      </c>
      <c r="B580" s="1" t="n">
        <v>45756.36403935185</v>
      </c>
      <c r="C580" s="1" t="n">
        <v>45931</v>
      </c>
      <c r="D580" t="inlineStr">
        <is>
          <t>DALARNAS LÄN</t>
        </is>
      </c>
      <c r="E580" t="inlineStr">
        <is>
          <t>MORA</t>
        </is>
      </c>
      <c r="F580" t="inlineStr">
        <is>
          <t>Bergvik skog öst AB</t>
        </is>
      </c>
      <c r="G580" t="n">
        <v>0.3</v>
      </c>
      <c r="H580" t="n">
        <v>0</v>
      </c>
      <c r="I580" t="n">
        <v>0</v>
      </c>
      <c r="J580" t="n">
        <v>0</v>
      </c>
      <c r="K580" t="n">
        <v>0</v>
      </c>
      <c r="L580" t="n">
        <v>0</v>
      </c>
      <c r="M580" t="n">
        <v>0</v>
      </c>
      <c r="N580" t="n">
        <v>0</v>
      </c>
      <c r="O580" t="n">
        <v>0</v>
      </c>
      <c r="P580" t="n">
        <v>0</v>
      </c>
      <c r="Q580" t="n">
        <v>0</v>
      </c>
      <c r="R580" s="2" t="inlineStr"/>
    </row>
    <row r="581" ht="15" customHeight="1">
      <c r="A581" t="inlineStr">
        <is>
          <t>A 35623-2025</t>
        </is>
      </c>
      <c r="B581" s="1" t="n">
        <v>45859</v>
      </c>
      <c r="C581" s="1" t="n">
        <v>45931</v>
      </c>
      <c r="D581" t="inlineStr">
        <is>
          <t>DALARNAS LÄN</t>
        </is>
      </c>
      <c r="E581" t="inlineStr">
        <is>
          <t>MORA</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45315-2024</t>
        </is>
      </c>
      <c r="B582" s="1" t="n">
        <v>45576.43782407408</v>
      </c>
      <c r="C582" s="1" t="n">
        <v>45931</v>
      </c>
      <c r="D582" t="inlineStr">
        <is>
          <t>DALARNAS LÄN</t>
        </is>
      </c>
      <c r="E582" t="inlineStr">
        <is>
          <t>MORA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41614-2025</t>
        </is>
      </c>
      <c r="B583" s="1" t="n">
        <v>45901.68267361111</v>
      </c>
      <c r="C583" s="1" t="n">
        <v>45931</v>
      </c>
      <c r="D583" t="inlineStr">
        <is>
          <t>DALARNAS LÄN</t>
        </is>
      </c>
      <c r="E583" t="inlineStr">
        <is>
          <t>MORA</t>
        </is>
      </c>
      <c r="F583" t="inlineStr">
        <is>
          <t>Bergvik skog väst AB</t>
        </is>
      </c>
      <c r="G583" t="n">
        <v>13.8</v>
      </c>
      <c r="H583" t="n">
        <v>0</v>
      </c>
      <c r="I583" t="n">
        <v>0</v>
      </c>
      <c r="J583" t="n">
        <v>0</v>
      </c>
      <c r="K583" t="n">
        <v>0</v>
      </c>
      <c r="L583" t="n">
        <v>0</v>
      </c>
      <c r="M583" t="n">
        <v>0</v>
      </c>
      <c r="N583" t="n">
        <v>0</v>
      </c>
      <c r="O583" t="n">
        <v>0</v>
      </c>
      <c r="P583" t="n">
        <v>0</v>
      </c>
      <c r="Q583" t="n">
        <v>0</v>
      </c>
      <c r="R583" s="2" t="inlineStr"/>
    </row>
    <row r="584" ht="15" customHeight="1">
      <c r="A584" t="inlineStr">
        <is>
          <t>A 35624-2025</t>
        </is>
      </c>
      <c r="B584" s="1" t="n">
        <v>45859</v>
      </c>
      <c r="C584" s="1" t="n">
        <v>45931</v>
      </c>
      <c r="D584" t="inlineStr">
        <is>
          <t>DALARNAS LÄN</t>
        </is>
      </c>
      <c r="E584" t="inlineStr">
        <is>
          <t>MORA</t>
        </is>
      </c>
      <c r="F584" t="inlineStr">
        <is>
          <t>Bergvik skog öst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37774-2022</t>
        </is>
      </c>
      <c r="B585" s="1" t="n">
        <v>44810.64164351852</v>
      </c>
      <c r="C585" s="1" t="n">
        <v>45931</v>
      </c>
      <c r="D585" t="inlineStr">
        <is>
          <t>DALARNAS LÄN</t>
        </is>
      </c>
      <c r="E585" t="inlineStr">
        <is>
          <t>MORA</t>
        </is>
      </c>
      <c r="F585" t="inlineStr">
        <is>
          <t>Bergvik skog väst AB</t>
        </is>
      </c>
      <c r="G585" t="n">
        <v>8.5</v>
      </c>
      <c r="H585" t="n">
        <v>0</v>
      </c>
      <c r="I585" t="n">
        <v>0</v>
      </c>
      <c r="J585" t="n">
        <v>0</v>
      </c>
      <c r="K585" t="n">
        <v>0</v>
      </c>
      <c r="L585" t="n">
        <v>0</v>
      </c>
      <c r="M585" t="n">
        <v>0</v>
      </c>
      <c r="N585" t="n">
        <v>0</v>
      </c>
      <c r="O585" t="n">
        <v>0</v>
      </c>
      <c r="P585" t="n">
        <v>0</v>
      </c>
      <c r="Q585" t="n">
        <v>0</v>
      </c>
      <c r="R585" s="2" t="inlineStr"/>
    </row>
    <row r="586" ht="15" customHeight="1">
      <c r="A586" t="inlineStr">
        <is>
          <t>A 17529-2023</t>
        </is>
      </c>
      <c r="B586" s="1" t="n">
        <v>45036.46804398148</v>
      </c>
      <c r="C586" s="1" t="n">
        <v>45931</v>
      </c>
      <c r="D586" t="inlineStr">
        <is>
          <t>DALARNAS LÄN</t>
        </is>
      </c>
      <c r="E586" t="inlineStr">
        <is>
          <t>MORA</t>
        </is>
      </c>
      <c r="G586" t="n">
        <v>6</v>
      </c>
      <c r="H586" t="n">
        <v>0</v>
      </c>
      <c r="I586" t="n">
        <v>0</v>
      </c>
      <c r="J586" t="n">
        <v>0</v>
      </c>
      <c r="K586" t="n">
        <v>0</v>
      </c>
      <c r="L586" t="n">
        <v>0</v>
      </c>
      <c r="M586" t="n">
        <v>0</v>
      </c>
      <c r="N586" t="n">
        <v>0</v>
      </c>
      <c r="O586" t="n">
        <v>0</v>
      </c>
      <c r="P586" t="n">
        <v>0</v>
      </c>
      <c r="Q586" t="n">
        <v>0</v>
      </c>
      <c r="R586" s="2" t="inlineStr"/>
    </row>
    <row r="587" ht="15" customHeight="1">
      <c r="A587" t="inlineStr">
        <is>
          <t>A 4209-2023</t>
        </is>
      </c>
      <c r="B587" s="1" t="n">
        <v>44953</v>
      </c>
      <c r="C587" s="1" t="n">
        <v>45931</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42112-2025</t>
        </is>
      </c>
      <c r="B588" s="1" t="n">
        <v>45904.32134259259</v>
      </c>
      <c r="C588" s="1" t="n">
        <v>45931</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41855-2025</t>
        </is>
      </c>
      <c r="B589" s="1" t="n">
        <v>45902.93693287037</v>
      </c>
      <c r="C589" s="1" t="n">
        <v>45931</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42813-2025</t>
        </is>
      </c>
      <c r="B590" s="1" t="n">
        <v>45908.56168981481</v>
      </c>
      <c r="C590" s="1" t="n">
        <v>45931</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8146-2021</t>
        </is>
      </c>
      <c r="B591" s="1" t="n">
        <v>44244</v>
      </c>
      <c r="C591" s="1" t="n">
        <v>45931</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39344-2024</t>
        </is>
      </c>
      <c r="B592" s="1" t="n">
        <v>45551.44503472222</v>
      </c>
      <c r="C592" s="1" t="n">
        <v>45931</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42830-2025</t>
        </is>
      </c>
      <c r="B593" s="1" t="n">
        <v>45908.57753472222</v>
      </c>
      <c r="C593" s="1" t="n">
        <v>45931</v>
      </c>
      <c r="D593" t="inlineStr">
        <is>
          <t>DALARNAS LÄN</t>
        </is>
      </c>
      <c r="E593" t="inlineStr">
        <is>
          <t>MORA</t>
        </is>
      </c>
      <c r="G593" t="n">
        <v>1</v>
      </c>
      <c r="H593" t="n">
        <v>0</v>
      </c>
      <c r="I593" t="n">
        <v>0</v>
      </c>
      <c r="J593" t="n">
        <v>0</v>
      </c>
      <c r="K593" t="n">
        <v>0</v>
      </c>
      <c r="L593" t="n">
        <v>0</v>
      </c>
      <c r="M593" t="n">
        <v>0</v>
      </c>
      <c r="N593" t="n">
        <v>0</v>
      </c>
      <c r="O593" t="n">
        <v>0</v>
      </c>
      <c r="P593" t="n">
        <v>0</v>
      </c>
      <c r="Q593" t="n">
        <v>0</v>
      </c>
      <c r="R593" s="2" t="inlineStr"/>
    </row>
    <row r="594" ht="15" customHeight="1">
      <c r="A594" t="inlineStr">
        <is>
          <t>A 26314-2021</t>
        </is>
      </c>
      <c r="B594" s="1" t="n">
        <v>44347</v>
      </c>
      <c r="C594" s="1" t="n">
        <v>45931</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36041-2025</t>
        </is>
      </c>
      <c r="B595" s="1" t="n">
        <v>45866.34385416667</v>
      </c>
      <c r="C595" s="1" t="n">
        <v>45931</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56532-2024</t>
        </is>
      </c>
      <c r="B596" s="1" t="n">
        <v>45625.55440972222</v>
      </c>
      <c r="C596" s="1" t="n">
        <v>45931</v>
      </c>
      <c r="D596" t="inlineStr">
        <is>
          <t>DALARNAS LÄN</t>
        </is>
      </c>
      <c r="E596" t="inlineStr">
        <is>
          <t>MORA</t>
        </is>
      </c>
      <c r="G596" t="n">
        <v>6.9</v>
      </c>
      <c r="H596" t="n">
        <v>0</v>
      </c>
      <c r="I596" t="n">
        <v>0</v>
      </c>
      <c r="J596" t="n">
        <v>0</v>
      </c>
      <c r="K596" t="n">
        <v>0</v>
      </c>
      <c r="L596" t="n">
        <v>0</v>
      </c>
      <c r="M596" t="n">
        <v>0</v>
      </c>
      <c r="N596" t="n">
        <v>0</v>
      </c>
      <c r="O596" t="n">
        <v>0</v>
      </c>
      <c r="P596" t="n">
        <v>0</v>
      </c>
      <c r="Q596" t="n">
        <v>0</v>
      </c>
      <c r="R596" s="2" t="inlineStr"/>
    </row>
    <row r="597" ht="15" customHeight="1">
      <c r="A597" t="inlineStr">
        <is>
          <t>A 16174-2025</t>
        </is>
      </c>
      <c r="B597" s="1" t="n">
        <v>45750</v>
      </c>
      <c r="C597" s="1" t="n">
        <v>45931</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24465-2021</t>
        </is>
      </c>
      <c r="B598" s="1" t="n">
        <v>44337</v>
      </c>
      <c r="C598" s="1" t="n">
        <v>45931</v>
      </c>
      <c r="D598" t="inlineStr">
        <is>
          <t>DALARNAS LÄN</t>
        </is>
      </c>
      <c r="E598" t="inlineStr">
        <is>
          <t>MORA</t>
        </is>
      </c>
      <c r="G598" t="n">
        <v>2.6</v>
      </c>
      <c r="H598" t="n">
        <v>0</v>
      </c>
      <c r="I598" t="n">
        <v>0</v>
      </c>
      <c r="J598" t="n">
        <v>0</v>
      </c>
      <c r="K598" t="n">
        <v>0</v>
      </c>
      <c r="L598" t="n">
        <v>0</v>
      </c>
      <c r="M598" t="n">
        <v>0</v>
      </c>
      <c r="N598" t="n">
        <v>0</v>
      </c>
      <c r="O598" t="n">
        <v>0</v>
      </c>
      <c r="P598" t="n">
        <v>0</v>
      </c>
      <c r="Q598" t="n">
        <v>0</v>
      </c>
      <c r="R598" s="2" t="inlineStr"/>
    </row>
    <row r="599" ht="15" customHeight="1">
      <c r="A599" t="inlineStr">
        <is>
          <t>A 5298-2023</t>
        </is>
      </c>
      <c r="B599" s="1" t="n">
        <v>44959.54355324074</v>
      </c>
      <c r="C599" s="1" t="n">
        <v>45931</v>
      </c>
      <c r="D599" t="inlineStr">
        <is>
          <t>DALARNAS LÄN</t>
        </is>
      </c>
      <c r="E599" t="inlineStr">
        <is>
          <t>MORA</t>
        </is>
      </c>
      <c r="F599" t="inlineStr">
        <is>
          <t>Bergvik skog väst AB</t>
        </is>
      </c>
      <c r="G599" t="n">
        <v>6.2</v>
      </c>
      <c r="H599" t="n">
        <v>0</v>
      </c>
      <c r="I599" t="n">
        <v>0</v>
      </c>
      <c r="J599" t="n">
        <v>0</v>
      </c>
      <c r="K599" t="n">
        <v>0</v>
      </c>
      <c r="L599" t="n">
        <v>0</v>
      </c>
      <c r="M599" t="n">
        <v>0</v>
      </c>
      <c r="N599" t="n">
        <v>0</v>
      </c>
      <c r="O599" t="n">
        <v>0</v>
      </c>
      <c r="P599" t="n">
        <v>0</v>
      </c>
      <c r="Q599" t="n">
        <v>0</v>
      </c>
      <c r="R599" s="2" t="inlineStr"/>
    </row>
    <row r="600" ht="15" customHeight="1">
      <c r="A600" t="inlineStr">
        <is>
          <t>A 43153-2025</t>
        </is>
      </c>
      <c r="B600" s="1" t="n">
        <v>45910.34449074074</v>
      </c>
      <c r="C600" s="1" t="n">
        <v>45931</v>
      </c>
      <c r="D600" t="inlineStr">
        <is>
          <t>DALARNAS LÄN</t>
        </is>
      </c>
      <c r="E600" t="inlineStr">
        <is>
          <t>MORA</t>
        </is>
      </c>
      <c r="G600" t="n">
        <v>3.9</v>
      </c>
      <c r="H600" t="n">
        <v>0</v>
      </c>
      <c r="I600" t="n">
        <v>0</v>
      </c>
      <c r="J600" t="n">
        <v>0</v>
      </c>
      <c r="K600" t="n">
        <v>0</v>
      </c>
      <c r="L600" t="n">
        <v>0</v>
      </c>
      <c r="M600" t="n">
        <v>0</v>
      </c>
      <c r="N600" t="n">
        <v>0</v>
      </c>
      <c r="O600" t="n">
        <v>0</v>
      </c>
      <c r="P600" t="n">
        <v>0</v>
      </c>
      <c r="Q600" t="n">
        <v>0</v>
      </c>
      <c r="R600" s="2" t="inlineStr"/>
    </row>
    <row r="601" ht="15" customHeight="1">
      <c r="A601" t="inlineStr">
        <is>
          <t>A 42954-2025</t>
        </is>
      </c>
      <c r="B601" s="1" t="n">
        <v>45909.3578125</v>
      </c>
      <c r="C601" s="1" t="n">
        <v>45931</v>
      </c>
      <c r="D601" t="inlineStr">
        <is>
          <t>DALARNAS LÄN</t>
        </is>
      </c>
      <c r="E601" t="inlineStr">
        <is>
          <t>MORA</t>
        </is>
      </c>
      <c r="G601" t="n">
        <v>2.5</v>
      </c>
      <c r="H601" t="n">
        <v>0</v>
      </c>
      <c r="I601" t="n">
        <v>0</v>
      </c>
      <c r="J601" t="n">
        <v>0</v>
      </c>
      <c r="K601" t="n">
        <v>0</v>
      </c>
      <c r="L601" t="n">
        <v>0</v>
      </c>
      <c r="M601" t="n">
        <v>0</v>
      </c>
      <c r="N601" t="n">
        <v>0</v>
      </c>
      <c r="O601" t="n">
        <v>0</v>
      </c>
      <c r="P601" t="n">
        <v>0</v>
      </c>
      <c r="Q601" t="n">
        <v>0</v>
      </c>
      <c r="R601" s="2" t="inlineStr"/>
    </row>
    <row r="602" ht="15" customHeight="1">
      <c r="A602" t="inlineStr">
        <is>
          <t>A 42960-2025</t>
        </is>
      </c>
      <c r="B602" s="1" t="n">
        <v>45909.36631944445</v>
      </c>
      <c r="C602" s="1" t="n">
        <v>45931</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42319-2025</t>
        </is>
      </c>
      <c r="B603" s="1" t="n">
        <v>45903</v>
      </c>
      <c r="C603" s="1" t="n">
        <v>45931</v>
      </c>
      <c r="D603" t="inlineStr">
        <is>
          <t>DALARNAS LÄN</t>
        </is>
      </c>
      <c r="E603" t="inlineStr">
        <is>
          <t>MORA</t>
        </is>
      </c>
      <c r="G603" t="n">
        <v>2.3</v>
      </c>
      <c r="H603" t="n">
        <v>0</v>
      </c>
      <c r="I603" t="n">
        <v>0</v>
      </c>
      <c r="J603" t="n">
        <v>0</v>
      </c>
      <c r="K603" t="n">
        <v>0</v>
      </c>
      <c r="L603" t="n">
        <v>0</v>
      </c>
      <c r="M603" t="n">
        <v>0</v>
      </c>
      <c r="N603" t="n">
        <v>0</v>
      </c>
      <c r="O603" t="n">
        <v>0</v>
      </c>
      <c r="P603" t="n">
        <v>0</v>
      </c>
      <c r="Q603" t="n">
        <v>0</v>
      </c>
      <c r="R603" s="2" t="inlineStr"/>
    </row>
    <row r="604" ht="15" customHeight="1">
      <c r="A604" t="inlineStr">
        <is>
          <t>A 43157-2025</t>
        </is>
      </c>
      <c r="B604" s="1" t="n">
        <v>45910.34953703704</v>
      </c>
      <c r="C604" s="1" t="n">
        <v>45931</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59002-2024</t>
        </is>
      </c>
      <c r="B605" s="1" t="n">
        <v>45636</v>
      </c>
      <c r="C605" s="1" t="n">
        <v>45931</v>
      </c>
      <c r="D605" t="inlineStr">
        <is>
          <t>DALARNAS LÄN</t>
        </is>
      </c>
      <c r="E605" t="inlineStr">
        <is>
          <t>MORA</t>
        </is>
      </c>
      <c r="F605" t="inlineStr">
        <is>
          <t>Bergvik skog väst AB</t>
        </is>
      </c>
      <c r="G605" t="n">
        <v>24.8</v>
      </c>
      <c r="H605" t="n">
        <v>0</v>
      </c>
      <c r="I605" t="n">
        <v>0</v>
      </c>
      <c r="J605" t="n">
        <v>0</v>
      </c>
      <c r="K605" t="n">
        <v>0</v>
      </c>
      <c r="L605" t="n">
        <v>0</v>
      </c>
      <c r="M605" t="n">
        <v>0</v>
      </c>
      <c r="N605" t="n">
        <v>0</v>
      </c>
      <c r="O605" t="n">
        <v>0</v>
      </c>
      <c r="P605" t="n">
        <v>0</v>
      </c>
      <c r="Q605" t="n">
        <v>0</v>
      </c>
      <c r="R605" s="2" t="inlineStr"/>
    </row>
    <row r="606" ht="15" customHeight="1">
      <c r="A606" t="inlineStr">
        <is>
          <t>A 36179-2025</t>
        </is>
      </c>
      <c r="B606" s="1" t="n">
        <v>45867</v>
      </c>
      <c r="C606" s="1" t="n">
        <v>45931</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42947-2025</t>
        </is>
      </c>
      <c r="B607" s="1" t="n">
        <v>45909.34799768519</v>
      </c>
      <c r="C607" s="1" t="n">
        <v>45931</v>
      </c>
      <c r="D607" t="inlineStr">
        <is>
          <t>DALARNAS LÄN</t>
        </is>
      </c>
      <c r="E607" t="inlineStr">
        <is>
          <t>MORA</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43569-2025</t>
        </is>
      </c>
      <c r="B608" s="1" t="n">
        <v>45911.63363425926</v>
      </c>
      <c r="C608" s="1" t="n">
        <v>45931</v>
      </c>
      <c r="D608" t="inlineStr">
        <is>
          <t>DALARNAS LÄN</t>
        </is>
      </c>
      <c r="E608" t="inlineStr">
        <is>
          <t>MORA</t>
        </is>
      </c>
      <c r="G608" t="n">
        <v>4.7</v>
      </c>
      <c r="H608" t="n">
        <v>0</v>
      </c>
      <c r="I608" t="n">
        <v>0</v>
      </c>
      <c r="J608" t="n">
        <v>0</v>
      </c>
      <c r="K608" t="n">
        <v>0</v>
      </c>
      <c r="L608" t="n">
        <v>0</v>
      </c>
      <c r="M608" t="n">
        <v>0</v>
      </c>
      <c r="N608" t="n">
        <v>0</v>
      </c>
      <c r="O608" t="n">
        <v>0</v>
      </c>
      <c r="P608" t="n">
        <v>0</v>
      </c>
      <c r="Q608" t="n">
        <v>0</v>
      </c>
      <c r="R608" s="2" t="inlineStr"/>
    </row>
    <row r="609" ht="15" customHeight="1">
      <c r="A609" t="inlineStr">
        <is>
          <t>A 43811-2025</t>
        </is>
      </c>
      <c r="B609" s="1" t="n">
        <v>45912.58710648148</v>
      </c>
      <c r="C609" s="1" t="n">
        <v>45931</v>
      </c>
      <c r="D609" t="inlineStr">
        <is>
          <t>DALARNAS LÄN</t>
        </is>
      </c>
      <c r="E609" t="inlineStr">
        <is>
          <t>MORA</t>
        </is>
      </c>
      <c r="G609" t="n">
        <v>1</v>
      </c>
      <c r="H609" t="n">
        <v>0</v>
      </c>
      <c r="I609" t="n">
        <v>0</v>
      </c>
      <c r="J609" t="n">
        <v>0</v>
      </c>
      <c r="K609" t="n">
        <v>0</v>
      </c>
      <c r="L609" t="n">
        <v>0</v>
      </c>
      <c r="M609" t="n">
        <v>0</v>
      </c>
      <c r="N609" t="n">
        <v>0</v>
      </c>
      <c r="O609" t="n">
        <v>0</v>
      </c>
      <c r="P609" t="n">
        <v>0</v>
      </c>
      <c r="Q609" t="n">
        <v>0</v>
      </c>
      <c r="R609" s="2" t="inlineStr"/>
    </row>
    <row r="610" ht="15" customHeight="1">
      <c r="A610" t="inlineStr">
        <is>
          <t>A 36586-2025</t>
        </is>
      </c>
      <c r="B610" s="1" t="n">
        <v>45869</v>
      </c>
      <c r="C610" s="1" t="n">
        <v>45931</v>
      </c>
      <c r="D610" t="inlineStr">
        <is>
          <t>DALARNAS LÄN</t>
        </is>
      </c>
      <c r="E610" t="inlineStr">
        <is>
          <t>MORA</t>
        </is>
      </c>
      <c r="G610" t="n">
        <v>1.8</v>
      </c>
      <c r="H610" t="n">
        <v>0</v>
      </c>
      <c r="I610" t="n">
        <v>0</v>
      </c>
      <c r="J610" t="n">
        <v>0</v>
      </c>
      <c r="K610" t="n">
        <v>0</v>
      </c>
      <c r="L610" t="n">
        <v>0</v>
      </c>
      <c r="M610" t="n">
        <v>0</v>
      </c>
      <c r="N610" t="n">
        <v>0</v>
      </c>
      <c r="O610" t="n">
        <v>0</v>
      </c>
      <c r="P610" t="n">
        <v>0</v>
      </c>
      <c r="Q610" t="n">
        <v>0</v>
      </c>
      <c r="R610" s="2" t="inlineStr"/>
    </row>
    <row r="611" ht="15" customHeight="1">
      <c r="A611" t="inlineStr">
        <is>
          <t>A 44106-2023</t>
        </is>
      </c>
      <c r="B611" s="1" t="n">
        <v>45188</v>
      </c>
      <c r="C611" s="1" t="n">
        <v>45931</v>
      </c>
      <c r="D611" t="inlineStr">
        <is>
          <t>DALARNAS LÄN</t>
        </is>
      </c>
      <c r="E611" t="inlineStr">
        <is>
          <t>MORA</t>
        </is>
      </c>
      <c r="G611" t="n">
        <v>10.1</v>
      </c>
      <c r="H611" t="n">
        <v>0</v>
      </c>
      <c r="I611" t="n">
        <v>0</v>
      </c>
      <c r="J611" t="n">
        <v>0</v>
      </c>
      <c r="K611" t="n">
        <v>0</v>
      </c>
      <c r="L611" t="n">
        <v>0</v>
      </c>
      <c r="M611" t="n">
        <v>0</v>
      </c>
      <c r="N611" t="n">
        <v>0</v>
      </c>
      <c r="O611" t="n">
        <v>0</v>
      </c>
      <c r="P611" t="n">
        <v>0</v>
      </c>
      <c r="Q611" t="n">
        <v>0</v>
      </c>
      <c r="R611" s="2" t="inlineStr"/>
    </row>
    <row r="612" ht="15" customHeight="1">
      <c r="A612" t="inlineStr">
        <is>
          <t>A 18559-2024</t>
        </is>
      </c>
      <c r="B612" s="1" t="n">
        <v>45425.66265046296</v>
      </c>
      <c r="C612" s="1" t="n">
        <v>45931</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57091-2021</t>
        </is>
      </c>
      <c r="B613" s="1" t="n">
        <v>44482</v>
      </c>
      <c r="C613" s="1" t="n">
        <v>45931</v>
      </c>
      <c r="D613" t="inlineStr">
        <is>
          <t>DALARNAS LÄN</t>
        </is>
      </c>
      <c r="E613" t="inlineStr">
        <is>
          <t>MORA</t>
        </is>
      </c>
      <c r="G613" t="n">
        <v>1</v>
      </c>
      <c r="H613" t="n">
        <v>0</v>
      </c>
      <c r="I613" t="n">
        <v>0</v>
      </c>
      <c r="J613" t="n">
        <v>0</v>
      </c>
      <c r="K613" t="n">
        <v>0</v>
      </c>
      <c r="L613" t="n">
        <v>0</v>
      </c>
      <c r="M613" t="n">
        <v>0</v>
      </c>
      <c r="N613" t="n">
        <v>0</v>
      </c>
      <c r="O613" t="n">
        <v>0</v>
      </c>
      <c r="P613" t="n">
        <v>0</v>
      </c>
      <c r="Q613" t="n">
        <v>0</v>
      </c>
      <c r="R613" s="2" t="inlineStr"/>
    </row>
    <row r="614" ht="15" customHeight="1">
      <c r="A614" t="inlineStr">
        <is>
          <t>A 43474-2025</t>
        </is>
      </c>
      <c r="B614" s="1" t="n">
        <v>45911.48967592593</v>
      </c>
      <c r="C614" s="1" t="n">
        <v>45931</v>
      </c>
      <c r="D614" t="inlineStr">
        <is>
          <t>DALARNAS LÄN</t>
        </is>
      </c>
      <c r="E614" t="inlineStr">
        <is>
          <t>MORA</t>
        </is>
      </c>
      <c r="G614" t="n">
        <v>1.8</v>
      </c>
      <c r="H614" t="n">
        <v>0</v>
      </c>
      <c r="I614" t="n">
        <v>0</v>
      </c>
      <c r="J614" t="n">
        <v>0</v>
      </c>
      <c r="K614" t="n">
        <v>0</v>
      </c>
      <c r="L614" t="n">
        <v>0</v>
      </c>
      <c r="M614" t="n">
        <v>0</v>
      </c>
      <c r="N614" t="n">
        <v>0</v>
      </c>
      <c r="O614" t="n">
        <v>0</v>
      </c>
      <c r="P614" t="n">
        <v>0</v>
      </c>
      <c r="Q614" t="n">
        <v>0</v>
      </c>
      <c r="R614" s="2" t="inlineStr"/>
    </row>
    <row r="615" ht="15" customHeight="1">
      <c r="A615" t="inlineStr">
        <is>
          <t>A 4994-2025</t>
        </is>
      </c>
      <c r="B615" s="1" t="n">
        <v>45691.35427083333</v>
      </c>
      <c r="C615" s="1" t="n">
        <v>45931</v>
      </c>
      <c r="D615" t="inlineStr">
        <is>
          <t>DALARNAS LÄN</t>
        </is>
      </c>
      <c r="E615" t="inlineStr">
        <is>
          <t>MORA</t>
        </is>
      </c>
      <c r="G615" t="n">
        <v>4.6</v>
      </c>
      <c r="H615" t="n">
        <v>0</v>
      </c>
      <c r="I615" t="n">
        <v>0</v>
      </c>
      <c r="J615" t="n">
        <v>0</v>
      </c>
      <c r="K615" t="n">
        <v>0</v>
      </c>
      <c r="L615" t="n">
        <v>0</v>
      </c>
      <c r="M615" t="n">
        <v>0</v>
      </c>
      <c r="N615" t="n">
        <v>0</v>
      </c>
      <c r="O615" t="n">
        <v>0</v>
      </c>
      <c r="P615" t="n">
        <v>0</v>
      </c>
      <c r="Q615" t="n">
        <v>0</v>
      </c>
      <c r="R615" s="2" t="inlineStr"/>
    </row>
    <row r="616" ht="15" customHeight="1">
      <c r="A616" t="inlineStr">
        <is>
          <t>A 35287-2024</t>
        </is>
      </c>
      <c r="B616" s="1" t="n">
        <v>45530</v>
      </c>
      <c r="C616" s="1" t="n">
        <v>45931</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60051-2022</t>
        </is>
      </c>
      <c r="B617" s="1" t="n">
        <v>44909.52385416667</v>
      </c>
      <c r="C617" s="1" t="n">
        <v>45931</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18702-2025</t>
        </is>
      </c>
      <c r="B618" s="1" t="n">
        <v>45763.63166666667</v>
      </c>
      <c r="C618" s="1" t="n">
        <v>45931</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7766-2025</t>
        </is>
      </c>
      <c r="B619" s="1" t="n">
        <v>45706.5562037037</v>
      </c>
      <c r="C619" s="1" t="n">
        <v>45931</v>
      </c>
      <c r="D619" t="inlineStr">
        <is>
          <t>DALARNAS LÄN</t>
        </is>
      </c>
      <c r="E619" t="inlineStr">
        <is>
          <t>MORA</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44384-2025</t>
        </is>
      </c>
      <c r="B620" s="1" t="n">
        <v>45916.48513888889</v>
      </c>
      <c r="C620" s="1" t="n">
        <v>45931</v>
      </c>
      <c r="D620" t="inlineStr">
        <is>
          <t>DALARNAS LÄN</t>
        </is>
      </c>
      <c r="E620" t="inlineStr">
        <is>
          <t>MORA</t>
        </is>
      </c>
      <c r="F620" t="inlineStr">
        <is>
          <t>Kyrkan</t>
        </is>
      </c>
      <c r="G620" t="n">
        <v>5.1</v>
      </c>
      <c r="H620" t="n">
        <v>0</v>
      </c>
      <c r="I620" t="n">
        <v>0</v>
      </c>
      <c r="J620" t="n">
        <v>0</v>
      </c>
      <c r="K620" t="n">
        <v>0</v>
      </c>
      <c r="L620" t="n">
        <v>0</v>
      </c>
      <c r="M620" t="n">
        <v>0</v>
      </c>
      <c r="N620" t="n">
        <v>0</v>
      </c>
      <c r="O620" t="n">
        <v>0</v>
      </c>
      <c r="P620" t="n">
        <v>0</v>
      </c>
      <c r="Q620" t="n">
        <v>0</v>
      </c>
      <c r="R620" s="2" t="inlineStr"/>
    </row>
    <row r="621" ht="15" customHeight="1">
      <c r="A621" t="inlineStr">
        <is>
          <t>A 12478-2025</t>
        </is>
      </c>
      <c r="B621" s="1" t="n">
        <v>45730.57429398148</v>
      </c>
      <c r="C621" s="1" t="n">
        <v>45931</v>
      </c>
      <c r="D621" t="inlineStr">
        <is>
          <t>DALARNAS LÄN</t>
        </is>
      </c>
      <c r="E621" t="inlineStr">
        <is>
          <t>MORA</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36760-2025</t>
        </is>
      </c>
      <c r="B622" s="1" t="n">
        <v>45873.57319444444</v>
      </c>
      <c r="C622" s="1" t="n">
        <v>45931</v>
      </c>
      <c r="D622" t="inlineStr">
        <is>
          <t>DALARNAS LÄN</t>
        </is>
      </c>
      <c r="E622" t="inlineStr">
        <is>
          <t>MORA</t>
        </is>
      </c>
      <c r="G622" t="n">
        <v>4.6</v>
      </c>
      <c r="H622" t="n">
        <v>0</v>
      </c>
      <c r="I622" t="n">
        <v>0</v>
      </c>
      <c r="J622" t="n">
        <v>0</v>
      </c>
      <c r="K622" t="n">
        <v>0</v>
      </c>
      <c r="L622" t="n">
        <v>0</v>
      </c>
      <c r="M622" t="n">
        <v>0</v>
      </c>
      <c r="N622" t="n">
        <v>0</v>
      </c>
      <c r="O622" t="n">
        <v>0</v>
      </c>
      <c r="P622" t="n">
        <v>0</v>
      </c>
      <c r="Q622" t="n">
        <v>0</v>
      </c>
      <c r="R622" s="2" t="inlineStr"/>
    </row>
    <row r="623" ht="15" customHeight="1">
      <c r="A623" t="inlineStr">
        <is>
          <t>A 48390-2024</t>
        </is>
      </c>
      <c r="B623" s="1" t="n">
        <v>45590.60216435185</v>
      </c>
      <c r="C623" s="1" t="n">
        <v>45931</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5309-2023</t>
        </is>
      </c>
      <c r="B624" s="1" t="n">
        <v>44956</v>
      </c>
      <c r="C624" s="1" t="n">
        <v>45931</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55671-2024</t>
        </is>
      </c>
      <c r="B625" s="1" t="n">
        <v>45622.65269675926</v>
      </c>
      <c r="C625" s="1" t="n">
        <v>45931</v>
      </c>
      <c r="D625" t="inlineStr">
        <is>
          <t>DALARNAS LÄN</t>
        </is>
      </c>
      <c r="E625" t="inlineStr">
        <is>
          <t>MORA</t>
        </is>
      </c>
      <c r="G625" t="n">
        <v>1.2</v>
      </c>
      <c r="H625" t="n">
        <v>0</v>
      </c>
      <c r="I625" t="n">
        <v>0</v>
      </c>
      <c r="J625" t="n">
        <v>0</v>
      </c>
      <c r="K625" t="n">
        <v>0</v>
      </c>
      <c r="L625" t="n">
        <v>0</v>
      </c>
      <c r="M625" t="n">
        <v>0</v>
      </c>
      <c r="N625" t="n">
        <v>0</v>
      </c>
      <c r="O625" t="n">
        <v>0</v>
      </c>
      <c r="P625" t="n">
        <v>0</v>
      </c>
      <c r="Q625" t="n">
        <v>0</v>
      </c>
      <c r="R625" s="2" t="inlineStr"/>
    </row>
    <row r="626" ht="15" customHeight="1">
      <c r="A626" t="inlineStr">
        <is>
          <t>A 22854-2023</t>
        </is>
      </c>
      <c r="B626" s="1" t="n">
        <v>45072</v>
      </c>
      <c r="C626" s="1" t="n">
        <v>45931</v>
      </c>
      <c r="D626" t="inlineStr">
        <is>
          <t>DALARNAS LÄN</t>
        </is>
      </c>
      <c r="E626" t="inlineStr">
        <is>
          <t>MORA</t>
        </is>
      </c>
      <c r="G626" t="n">
        <v>3.3</v>
      </c>
      <c r="H626" t="n">
        <v>0</v>
      </c>
      <c r="I626" t="n">
        <v>0</v>
      </c>
      <c r="J626" t="n">
        <v>0</v>
      </c>
      <c r="K626" t="n">
        <v>0</v>
      </c>
      <c r="L626" t="n">
        <v>0</v>
      </c>
      <c r="M626" t="n">
        <v>0</v>
      </c>
      <c r="N626" t="n">
        <v>0</v>
      </c>
      <c r="O626" t="n">
        <v>0</v>
      </c>
      <c r="P626" t="n">
        <v>0</v>
      </c>
      <c r="Q626" t="n">
        <v>0</v>
      </c>
      <c r="R626" s="2" t="inlineStr"/>
    </row>
    <row r="627" ht="15" customHeight="1">
      <c r="A627" t="inlineStr">
        <is>
          <t>A 44318-2025</t>
        </is>
      </c>
      <c r="B627" s="1" t="n">
        <v>45916.39680555555</v>
      </c>
      <c r="C627" s="1" t="n">
        <v>45931</v>
      </c>
      <c r="D627" t="inlineStr">
        <is>
          <t>DALARNAS LÄN</t>
        </is>
      </c>
      <c r="E627" t="inlineStr">
        <is>
          <t>MORA</t>
        </is>
      </c>
      <c r="G627" t="n">
        <v>7.4</v>
      </c>
      <c r="H627" t="n">
        <v>0</v>
      </c>
      <c r="I627" t="n">
        <v>0</v>
      </c>
      <c r="J627" t="n">
        <v>0</v>
      </c>
      <c r="K627" t="n">
        <v>0</v>
      </c>
      <c r="L627" t="n">
        <v>0</v>
      </c>
      <c r="M627" t="n">
        <v>0</v>
      </c>
      <c r="N627" t="n">
        <v>0</v>
      </c>
      <c r="O627" t="n">
        <v>0</v>
      </c>
      <c r="P627" t="n">
        <v>0</v>
      </c>
      <c r="Q627" t="n">
        <v>0</v>
      </c>
      <c r="R627" s="2" t="inlineStr"/>
    </row>
    <row r="628" ht="15" customHeight="1">
      <c r="A628" t="inlineStr">
        <is>
          <t>A 30030-2021</t>
        </is>
      </c>
      <c r="B628" s="1" t="n">
        <v>44363</v>
      </c>
      <c r="C628" s="1" t="n">
        <v>45931</v>
      </c>
      <c r="D628" t="inlineStr">
        <is>
          <t>DALARNAS LÄN</t>
        </is>
      </c>
      <c r="E628" t="inlineStr">
        <is>
          <t>MORA</t>
        </is>
      </c>
      <c r="G628" t="n">
        <v>7.1</v>
      </c>
      <c r="H628" t="n">
        <v>0</v>
      </c>
      <c r="I628" t="n">
        <v>0</v>
      </c>
      <c r="J628" t="n">
        <v>0</v>
      </c>
      <c r="K628" t="n">
        <v>0</v>
      </c>
      <c r="L628" t="n">
        <v>0</v>
      </c>
      <c r="M628" t="n">
        <v>0</v>
      </c>
      <c r="N628" t="n">
        <v>0</v>
      </c>
      <c r="O628" t="n">
        <v>0</v>
      </c>
      <c r="P628" t="n">
        <v>0</v>
      </c>
      <c r="Q628" t="n">
        <v>0</v>
      </c>
      <c r="R628" s="2" t="inlineStr"/>
    </row>
    <row r="629" ht="15" customHeight="1">
      <c r="A629" t="inlineStr">
        <is>
          <t>A 31085-2024</t>
        </is>
      </c>
      <c r="B629" s="1" t="n">
        <v>45502.48047453703</v>
      </c>
      <c r="C629" s="1" t="n">
        <v>45931</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36846-2025</t>
        </is>
      </c>
      <c r="B630" s="1" t="n">
        <v>45874.38655092593</v>
      </c>
      <c r="C630" s="1" t="n">
        <v>45931</v>
      </c>
      <c r="D630" t="inlineStr">
        <is>
          <t>DALARNAS LÄN</t>
        </is>
      </c>
      <c r="E630" t="inlineStr">
        <is>
          <t>MORA</t>
        </is>
      </c>
      <c r="G630" t="n">
        <v>10.7</v>
      </c>
      <c r="H630" t="n">
        <v>0</v>
      </c>
      <c r="I630" t="n">
        <v>0</v>
      </c>
      <c r="J630" t="n">
        <v>0</v>
      </c>
      <c r="K630" t="n">
        <v>0</v>
      </c>
      <c r="L630" t="n">
        <v>0</v>
      </c>
      <c r="M630" t="n">
        <v>0</v>
      </c>
      <c r="N630" t="n">
        <v>0</v>
      </c>
      <c r="O630" t="n">
        <v>0</v>
      </c>
      <c r="P630" t="n">
        <v>0</v>
      </c>
      <c r="Q630" t="n">
        <v>0</v>
      </c>
      <c r="R630" s="2" t="inlineStr"/>
    </row>
    <row r="631" ht="15" customHeight="1">
      <c r="A631" t="inlineStr">
        <is>
          <t>A 4208-2023</t>
        </is>
      </c>
      <c r="B631" s="1" t="n">
        <v>44953</v>
      </c>
      <c r="C631" s="1" t="n">
        <v>45931</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4210-2023</t>
        </is>
      </c>
      <c r="B632" s="1" t="n">
        <v>44953.44965277778</v>
      </c>
      <c r="C632" s="1" t="n">
        <v>45931</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44071-2024</t>
        </is>
      </c>
      <c r="B633" s="1" t="n">
        <v>45572.60915509259</v>
      </c>
      <c r="C633" s="1" t="n">
        <v>45931</v>
      </c>
      <c r="D633" t="inlineStr">
        <is>
          <t>DALARNAS LÄN</t>
        </is>
      </c>
      <c r="E633" t="inlineStr">
        <is>
          <t>MORA</t>
        </is>
      </c>
      <c r="G633" t="n">
        <v>4.5</v>
      </c>
      <c r="H633" t="n">
        <v>0</v>
      </c>
      <c r="I633" t="n">
        <v>0</v>
      </c>
      <c r="J633" t="n">
        <v>0</v>
      </c>
      <c r="K633" t="n">
        <v>0</v>
      </c>
      <c r="L633" t="n">
        <v>0</v>
      </c>
      <c r="M633" t="n">
        <v>0</v>
      </c>
      <c r="N633" t="n">
        <v>0</v>
      </c>
      <c r="O633" t="n">
        <v>0</v>
      </c>
      <c r="P633" t="n">
        <v>0</v>
      </c>
      <c r="Q633" t="n">
        <v>0</v>
      </c>
      <c r="R633" s="2" t="inlineStr"/>
    </row>
    <row r="634" ht="15" customHeight="1">
      <c r="A634" t="inlineStr">
        <is>
          <t>A 5491-2023</t>
        </is>
      </c>
      <c r="B634" s="1" t="n">
        <v>44957</v>
      </c>
      <c r="C634" s="1" t="n">
        <v>45931</v>
      </c>
      <c r="D634" t="inlineStr">
        <is>
          <t>DALARNAS LÄN</t>
        </is>
      </c>
      <c r="E634" t="inlineStr">
        <is>
          <t>MORA</t>
        </is>
      </c>
      <c r="G634" t="n">
        <v>3.5</v>
      </c>
      <c r="H634" t="n">
        <v>0</v>
      </c>
      <c r="I634" t="n">
        <v>0</v>
      </c>
      <c r="J634" t="n">
        <v>0</v>
      </c>
      <c r="K634" t="n">
        <v>0</v>
      </c>
      <c r="L634" t="n">
        <v>0</v>
      </c>
      <c r="M634" t="n">
        <v>0</v>
      </c>
      <c r="N634" t="n">
        <v>0</v>
      </c>
      <c r="O634" t="n">
        <v>0</v>
      </c>
      <c r="P634" t="n">
        <v>0</v>
      </c>
      <c r="Q634" t="n">
        <v>0</v>
      </c>
      <c r="R634" s="2" t="inlineStr"/>
    </row>
    <row r="635" ht="15" customHeight="1">
      <c r="A635" t="inlineStr">
        <is>
          <t>A 5493-2023</t>
        </is>
      </c>
      <c r="B635" s="1" t="n">
        <v>44957</v>
      </c>
      <c r="C635" s="1" t="n">
        <v>45931</v>
      </c>
      <c r="D635" t="inlineStr">
        <is>
          <t>DALARNAS LÄN</t>
        </is>
      </c>
      <c r="E635" t="inlineStr">
        <is>
          <t>MORA</t>
        </is>
      </c>
      <c r="F635" t="inlineStr">
        <is>
          <t>Allmännings- och besparingsskogar</t>
        </is>
      </c>
      <c r="G635" t="n">
        <v>14.9</v>
      </c>
      <c r="H635" t="n">
        <v>0</v>
      </c>
      <c r="I635" t="n">
        <v>0</v>
      </c>
      <c r="J635" t="n">
        <v>0</v>
      </c>
      <c r="K635" t="n">
        <v>0</v>
      </c>
      <c r="L635" t="n">
        <v>0</v>
      </c>
      <c r="M635" t="n">
        <v>0</v>
      </c>
      <c r="N635" t="n">
        <v>0</v>
      </c>
      <c r="O635" t="n">
        <v>0</v>
      </c>
      <c r="P635" t="n">
        <v>0</v>
      </c>
      <c r="Q635" t="n">
        <v>0</v>
      </c>
      <c r="R635" s="2" t="inlineStr"/>
    </row>
    <row r="636" ht="15" customHeight="1">
      <c r="A636" t="inlineStr">
        <is>
          <t>A 12490-2025</t>
        </is>
      </c>
      <c r="B636" s="1" t="n">
        <v>45730.59239583334</v>
      </c>
      <c r="C636" s="1" t="n">
        <v>45931</v>
      </c>
      <c r="D636" t="inlineStr">
        <is>
          <t>DALARNAS LÄN</t>
        </is>
      </c>
      <c r="E636" t="inlineStr">
        <is>
          <t>MORA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9554-2025</t>
        </is>
      </c>
      <c r="B637" s="1" t="n">
        <v>45715.59936342593</v>
      </c>
      <c r="C637" s="1" t="n">
        <v>45931</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11463-2024</t>
        </is>
      </c>
      <c r="B638" s="1" t="n">
        <v>45372.58969907407</v>
      </c>
      <c r="C638" s="1" t="n">
        <v>45931</v>
      </c>
      <c r="D638" t="inlineStr">
        <is>
          <t>DALARNAS LÄN</t>
        </is>
      </c>
      <c r="E638" t="inlineStr">
        <is>
          <t>MORA</t>
        </is>
      </c>
      <c r="F638" t="inlineStr">
        <is>
          <t>Bergvik skog väst AB</t>
        </is>
      </c>
      <c r="G638" t="n">
        <v>1.8</v>
      </c>
      <c r="H638" t="n">
        <v>0</v>
      </c>
      <c r="I638" t="n">
        <v>0</v>
      </c>
      <c r="J638" t="n">
        <v>0</v>
      </c>
      <c r="K638" t="n">
        <v>0</v>
      </c>
      <c r="L638" t="n">
        <v>0</v>
      </c>
      <c r="M638" t="n">
        <v>0</v>
      </c>
      <c r="N638" t="n">
        <v>0</v>
      </c>
      <c r="O638" t="n">
        <v>0</v>
      </c>
      <c r="P638" t="n">
        <v>0</v>
      </c>
      <c r="Q638" t="n">
        <v>0</v>
      </c>
      <c r="R638" s="2" t="inlineStr"/>
    </row>
    <row r="639" ht="15" customHeight="1">
      <c r="A639" t="inlineStr">
        <is>
          <t>A 27975-2023</t>
        </is>
      </c>
      <c r="B639" s="1" t="n">
        <v>45098</v>
      </c>
      <c r="C639" s="1" t="n">
        <v>45931</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44621-2025</t>
        </is>
      </c>
      <c r="B640" s="1" t="n">
        <v>45917.466875</v>
      </c>
      <c r="C640" s="1" t="n">
        <v>45931</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5769-2025</t>
        </is>
      </c>
      <c r="B641" s="1" t="n">
        <v>45694.59288194445</v>
      </c>
      <c r="C641" s="1" t="n">
        <v>45931</v>
      </c>
      <c r="D641" t="inlineStr">
        <is>
          <t>DALARNAS LÄN</t>
        </is>
      </c>
      <c r="E641" t="inlineStr">
        <is>
          <t>MORA</t>
        </is>
      </c>
      <c r="G641" t="n">
        <v>15.7</v>
      </c>
      <c r="H641" t="n">
        <v>0</v>
      </c>
      <c r="I641" t="n">
        <v>0</v>
      </c>
      <c r="J641" t="n">
        <v>0</v>
      </c>
      <c r="K641" t="n">
        <v>0</v>
      </c>
      <c r="L641" t="n">
        <v>0</v>
      </c>
      <c r="M641" t="n">
        <v>0</v>
      </c>
      <c r="N641" t="n">
        <v>0</v>
      </c>
      <c r="O641" t="n">
        <v>0</v>
      </c>
      <c r="P641" t="n">
        <v>0</v>
      </c>
      <c r="Q641" t="n">
        <v>0</v>
      </c>
      <c r="R641" s="2" t="inlineStr"/>
    </row>
    <row r="642" ht="15" customHeight="1">
      <c r="A642" t="inlineStr">
        <is>
          <t>A 37268-2025</t>
        </is>
      </c>
      <c r="B642" s="1" t="n">
        <v>45876.46681712963</v>
      </c>
      <c r="C642" s="1" t="n">
        <v>45931</v>
      </c>
      <c r="D642" t="inlineStr">
        <is>
          <t>DALARNAS LÄN</t>
        </is>
      </c>
      <c r="E642" t="inlineStr">
        <is>
          <t>MORA</t>
        </is>
      </c>
      <c r="G642" t="n">
        <v>2.1</v>
      </c>
      <c r="H642" t="n">
        <v>0</v>
      </c>
      <c r="I642" t="n">
        <v>0</v>
      </c>
      <c r="J642" t="n">
        <v>0</v>
      </c>
      <c r="K642" t="n">
        <v>0</v>
      </c>
      <c r="L642" t="n">
        <v>0</v>
      </c>
      <c r="M642" t="n">
        <v>0</v>
      </c>
      <c r="N642" t="n">
        <v>0</v>
      </c>
      <c r="O642" t="n">
        <v>0</v>
      </c>
      <c r="P642" t="n">
        <v>0</v>
      </c>
      <c r="Q642" t="n">
        <v>0</v>
      </c>
      <c r="R642" s="2" t="inlineStr"/>
    </row>
    <row r="643" ht="15" customHeight="1">
      <c r="A643" t="inlineStr">
        <is>
          <t>A 59101-2024</t>
        </is>
      </c>
      <c r="B643" s="1" t="n">
        <v>45637.34074074074</v>
      </c>
      <c r="C643" s="1" t="n">
        <v>45931</v>
      </c>
      <c r="D643" t="inlineStr">
        <is>
          <t>DALARNAS LÄN</t>
        </is>
      </c>
      <c r="E643" t="inlineStr">
        <is>
          <t>MORA</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37070-2025</t>
        </is>
      </c>
      <c r="B644" s="1" t="n">
        <v>45875.39822916667</v>
      </c>
      <c r="C644" s="1" t="n">
        <v>45931</v>
      </c>
      <c r="D644" t="inlineStr">
        <is>
          <t>DALARNAS LÄN</t>
        </is>
      </c>
      <c r="E644" t="inlineStr">
        <is>
          <t>MORA</t>
        </is>
      </c>
      <c r="G644" t="n">
        <v>2.7</v>
      </c>
      <c r="H644" t="n">
        <v>0</v>
      </c>
      <c r="I644" t="n">
        <v>0</v>
      </c>
      <c r="J644" t="n">
        <v>0</v>
      </c>
      <c r="K644" t="n">
        <v>0</v>
      </c>
      <c r="L644" t="n">
        <v>0</v>
      </c>
      <c r="M644" t="n">
        <v>0</v>
      </c>
      <c r="N644" t="n">
        <v>0</v>
      </c>
      <c r="O644" t="n">
        <v>0</v>
      </c>
      <c r="P644" t="n">
        <v>0</v>
      </c>
      <c r="Q644" t="n">
        <v>0</v>
      </c>
      <c r="R644" s="2" t="inlineStr"/>
    </row>
    <row r="645" ht="15" customHeight="1">
      <c r="A645" t="inlineStr">
        <is>
          <t>A 43874-2024</t>
        </is>
      </c>
      <c r="B645" s="1" t="n">
        <v>45572.38476851852</v>
      </c>
      <c r="C645" s="1" t="n">
        <v>45931</v>
      </c>
      <c r="D645" t="inlineStr">
        <is>
          <t>DALARNAS LÄN</t>
        </is>
      </c>
      <c r="E645" t="inlineStr">
        <is>
          <t>MORA</t>
        </is>
      </c>
      <c r="G645" t="n">
        <v>3.6</v>
      </c>
      <c r="H645" t="n">
        <v>0</v>
      </c>
      <c r="I645" t="n">
        <v>0</v>
      </c>
      <c r="J645" t="n">
        <v>0</v>
      </c>
      <c r="K645" t="n">
        <v>0</v>
      </c>
      <c r="L645" t="n">
        <v>0</v>
      </c>
      <c r="M645" t="n">
        <v>0</v>
      </c>
      <c r="N645" t="n">
        <v>0</v>
      </c>
      <c r="O645" t="n">
        <v>0</v>
      </c>
      <c r="P645" t="n">
        <v>0</v>
      </c>
      <c r="Q645" t="n">
        <v>0</v>
      </c>
      <c r="R645" s="2" t="inlineStr"/>
    </row>
    <row r="646" ht="15" customHeight="1">
      <c r="A646" t="inlineStr">
        <is>
          <t>A 57903-2022</t>
        </is>
      </c>
      <c r="B646" s="1" t="n">
        <v>44900.3521412037</v>
      </c>
      <c r="C646" s="1" t="n">
        <v>45931</v>
      </c>
      <c r="D646" t="inlineStr">
        <is>
          <t>DALARNAS LÄN</t>
        </is>
      </c>
      <c r="E646" t="inlineStr">
        <is>
          <t>MORA</t>
        </is>
      </c>
      <c r="G646" t="n">
        <v>4.3</v>
      </c>
      <c r="H646" t="n">
        <v>0</v>
      </c>
      <c r="I646" t="n">
        <v>0</v>
      </c>
      <c r="J646" t="n">
        <v>0</v>
      </c>
      <c r="K646" t="n">
        <v>0</v>
      </c>
      <c r="L646" t="n">
        <v>0</v>
      </c>
      <c r="M646" t="n">
        <v>0</v>
      </c>
      <c r="N646" t="n">
        <v>0</v>
      </c>
      <c r="O646" t="n">
        <v>0</v>
      </c>
      <c r="P646" t="n">
        <v>0</v>
      </c>
      <c r="Q646" t="n">
        <v>0</v>
      </c>
      <c r="R646" s="2" t="inlineStr"/>
    </row>
    <row r="647" ht="15" customHeight="1">
      <c r="A647" t="inlineStr">
        <is>
          <t>A 24169-2022</t>
        </is>
      </c>
      <c r="B647" s="1" t="n">
        <v>44725.50280092593</v>
      </c>
      <c r="C647" s="1" t="n">
        <v>45931</v>
      </c>
      <c r="D647" t="inlineStr">
        <is>
          <t>DALARNAS LÄN</t>
        </is>
      </c>
      <c r="E647" t="inlineStr">
        <is>
          <t>MORA</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65186-2021</t>
        </is>
      </c>
      <c r="B648" s="1" t="n">
        <v>44515</v>
      </c>
      <c r="C648" s="1" t="n">
        <v>45931</v>
      </c>
      <c r="D648" t="inlineStr">
        <is>
          <t>DALARNAS LÄN</t>
        </is>
      </c>
      <c r="E648" t="inlineStr">
        <is>
          <t>MORA</t>
        </is>
      </c>
      <c r="G648" t="n">
        <v>1.4</v>
      </c>
      <c r="H648" t="n">
        <v>0</v>
      </c>
      <c r="I648" t="n">
        <v>0</v>
      </c>
      <c r="J648" t="n">
        <v>0</v>
      </c>
      <c r="K648" t="n">
        <v>0</v>
      </c>
      <c r="L648" t="n">
        <v>0</v>
      </c>
      <c r="M648" t="n">
        <v>0</v>
      </c>
      <c r="N648" t="n">
        <v>0</v>
      </c>
      <c r="O648" t="n">
        <v>0</v>
      </c>
      <c r="P648" t="n">
        <v>0</v>
      </c>
      <c r="Q648" t="n">
        <v>0</v>
      </c>
      <c r="R648" s="2" t="inlineStr"/>
    </row>
    <row r="649" ht="15" customHeight="1">
      <c r="A649" t="inlineStr">
        <is>
          <t>A 58892-2023</t>
        </is>
      </c>
      <c r="B649" s="1" t="n">
        <v>45252.48592592592</v>
      </c>
      <c r="C649" s="1" t="n">
        <v>45931</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11442-2022</t>
        </is>
      </c>
      <c r="B650" s="1" t="n">
        <v>44630.62788194444</v>
      </c>
      <c r="C650" s="1" t="n">
        <v>45931</v>
      </c>
      <c r="D650" t="inlineStr">
        <is>
          <t>DALARNAS LÄN</t>
        </is>
      </c>
      <c r="E650" t="inlineStr">
        <is>
          <t>MORA</t>
        </is>
      </c>
      <c r="G650" t="n">
        <v>0.5</v>
      </c>
      <c r="H650" t="n">
        <v>0</v>
      </c>
      <c r="I650" t="n">
        <v>0</v>
      </c>
      <c r="J650" t="n">
        <v>0</v>
      </c>
      <c r="K650" t="n">
        <v>0</v>
      </c>
      <c r="L650" t="n">
        <v>0</v>
      </c>
      <c r="M650" t="n">
        <v>0</v>
      </c>
      <c r="N650" t="n">
        <v>0</v>
      </c>
      <c r="O650" t="n">
        <v>0</v>
      </c>
      <c r="P650" t="n">
        <v>0</v>
      </c>
      <c r="Q650" t="n">
        <v>0</v>
      </c>
      <c r="R650" s="2" t="inlineStr"/>
    </row>
    <row r="651" ht="15" customHeight="1">
      <c r="A651" t="inlineStr">
        <is>
          <t>A 6183-2024</t>
        </is>
      </c>
      <c r="B651" s="1" t="n">
        <v>45337.54135416666</v>
      </c>
      <c r="C651" s="1" t="n">
        <v>45931</v>
      </c>
      <c r="D651" t="inlineStr">
        <is>
          <t>DALARNAS LÄN</t>
        </is>
      </c>
      <c r="E651" t="inlineStr">
        <is>
          <t>MORA</t>
        </is>
      </c>
      <c r="G651" t="n">
        <v>7.9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45194.59378472222</v>
      </c>
      <c r="C652" s="1" t="n">
        <v>45931</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35551-2023</t>
        </is>
      </c>
      <c r="B653" s="1" t="n">
        <v>45147.3934837963</v>
      </c>
      <c r="C653" s="1" t="n">
        <v>45931</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45191-2025</t>
        </is>
      </c>
      <c r="B654" s="1" t="n">
        <v>45919.54811342592</v>
      </c>
      <c r="C654" s="1" t="n">
        <v>45931</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23300-2024</t>
        </is>
      </c>
      <c r="B655" s="1" t="n">
        <v>45453.43695601852</v>
      </c>
      <c r="C655" s="1" t="n">
        <v>45931</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45181-2025</t>
        </is>
      </c>
      <c r="B656" s="1" t="n">
        <v>45919.53329861111</v>
      </c>
      <c r="C656" s="1" t="n">
        <v>45931</v>
      </c>
      <c r="D656" t="inlineStr">
        <is>
          <t>DALARNAS LÄN</t>
        </is>
      </c>
      <c r="E656" t="inlineStr">
        <is>
          <t>MORA</t>
        </is>
      </c>
      <c r="G656" t="n">
        <v>4.5</v>
      </c>
      <c r="H656" t="n">
        <v>0</v>
      </c>
      <c r="I656" t="n">
        <v>0</v>
      </c>
      <c r="J656" t="n">
        <v>0</v>
      </c>
      <c r="K656" t="n">
        <v>0</v>
      </c>
      <c r="L656" t="n">
        <v>0</v>
      </c>
      <c r="M656" t="n">
        <v>0</v>
      </c>
      <c r="N656" t="n">
        <v>0</v>
      </c>
      <c r="O656" t="n">
        <v>0</v>
      </c>
      <c r="P656" t="n">
        <v>0</v>
      </c>
      <c r="Q656" t="n">
        <v>0</v>
      </c>
      <c r="R656" s="2" t="inlineStr"/>
    </row>
    <row r="657" ht="15" customHeight="1">
      <c r="A657" t="inlineStr">
        <is>
          <t>A 45199-2025</t>
        </is>
      </c>
      <c r="B657" s="1" t="n">
        <v>45919.56107638889</v>
      </c>
      <c r="C657" s="1" t="n">
        <v>45931</v>
      </c>
      <c r="D657" t="inlineStr">
        <is>
          <t>DALARNAS LÄN</t>
        </is>
      </c>
      <c r="E657" t="inlineStr">
        <is>
          <t>MORA</t>
        </is>
      </c>
      <c r="G657" t="n">
        <v>12.1</v>
      </c>
      <c r="H657" t="n">
        <v>0</v>
      </c>
      <c r="I657" t="n">
        <v>0</v>
      </c>
      <c r="J657" t="n">
        <v>0</v>
      </c>
      <c r="K657" t="n">
        <v>0</v>
      </c>
      <c r="L657" t="n">
        <v>0</v>
      </c>
      <c r="M657" t="n">
        <v>0</v>
      </c>
      <c r="N657" t="n">
        <v>0</v>
      </c>
      <c r="O657" t="n">
        <v>0</v>
      </c>
      <c r="P657" t="n">
        <v>0</v>
      </c>
      <c r="Q657" t="n">
        <v>0</v>
      </c>
      <c r="R657" s="2" t="inlineStr"/>
    </row>
    <row r="658" ht="15" customHeight="1">
      <c r="A658" t="inlineStr">
        <is>
          <t>A 56268-2024</t>
        </is>
      </c>
      <c r="B658" s="1" t="n">
        <v>45624.65785879629</v>
      </c>
      <c r="C658" s="1" t="n">
        <v>45931</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571-2024</t>
        </is>
      </c>
      <c r="B659" s="1" t="n">
        <v>45299</v>
      </c>
      <c r="C659" s="1" t="n">
        <v>45931</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50056-2022</t>
        </is>
      </c>
      <c r="B660" s="1" t="n">
        <v>44865</v>
      </c>
      <c r="C660" s="1" t="n">
        <v>45931</v>
      </c>
      <c r="D660" t="inlineStr">
        <is>
          <t>DALARNAS LÄN</t>
        </is>
      </c>
      <c r="E660" t="inlineStr">
        <is>
          <t>MORA</t>
        </is>
      </c>
      <c r="G660" t="n">
        <v>1.2</v>
      </c>
      <c r="H660" t="n">
        <v>0</v>
      </c>
      <c r="I660" t="n">
        <v>0</v>
      </c>
      <c r="J660" t="n">
        <v>0</v>
      </c>
      <c r="K660" t="n">
        <v>0</v>
      </c>
      <c r="L660" t="n">
        <v>0</v>
      </c>
      <c r="M660" t="n">
        <v>0</v>
      </c>
      <c r="N660" t="n">
        <v>0</v>
      </c>
      <c r="O660" t="n">
        <v>0</v>
      </c>
      <c r="P660" t="n">
        <v>0</v>
      </c>
      <c r="Q660" t="n">
        <v>0</v>
      </c>
      <c r="R660" s="2" t="inlineStr"/>
    </row>
    <row r="661" ht="15" customHeight="1">
      <c r="A661" t="inlineStr">
        <is>
          <t>A 46090-2025</t>
        </is>
      </c>
      <c r="B661" s="1" t="n">
        <v>45924.5253125</v>
      </c>
      <c r="C661" s="1" t="n">
        <v>45931</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46091-2025</t>
        </is>
      </c>
      <c r="B662" s="1" t="n">
        <v>45924.52871527777</v>
      </c>
      <c r="C662" s="1" t="n">
        <v>45931</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38073-2025</t>
        </is>
      </c>
      <c r="B663" s="1" t="n">
        <v>45882</v>
      </c>
      <c r="C663" s="1" t="n">
        <v>45931</v>
      </c>
      <c r="D663" t="inlineStr">
        <is>
          <t>DALARNAS LÄN</t>
        </is>
      </c>
      <c r="E663" t="inlineStr">
        <is>
          <t>MORA</t>
        </is>
      </c>
      <c r="G663" t="n">
        <v>2.5</v>
      </c>
      <c r="H663" t="n">
        <v>0</v>
      </c>
      <c r="I663" t="n">
        <v>0</v>
      </c>
      <c r="J663" t="n">
        <v>0</v>
      </c>
      <c r="K663" t="n">
        <v>0</v>
      </c>
      <c r="L663" t="n">
        <v>0</v>
      </c>
      <c r="M663" t="n">
        <v>0</v>
      </c>
      <c r="N663" t="n">
        <v>0</v>
      </c>
      <c r="O663" t="n">
        <v>0</v>
      </c>
      <c r="P663" t="n">
        <v>0</v>
      </c>
      <c r="Q663" t="n">
        <v>0</v>
      </c>
      <c r="R663" s="2" t="inlineStr"/>
    </row>
    <row r="664" ht="15" customHeight="1">
      <c r="A664" t="inlineStr">
        <is>
          <t>A 38086-2025</t>
        </is>
      </c>
      <c r="B664" s="1" t="n">
        <v>45882.47625</v>
      </c>
      <c r="C664" s="1" t="n">
        <v>45931</v>
      </c>
      <c r="D664" t="inlineStr">
        <is>
          <t>DALARNAS LÄN</t>
        </is>
      </c>
      <c r="E664" t="inlineStr">
        <is>
          <t>MORA</t>
        </is>
      </c>
      <c r="G664" t="n">
        <v>2.4</v>
      </c>
      <c r="H664" t="n">
        <v>0</v>
      </c>
      <c r="I664" t="n">
        <v>0</v>
      </c>
      <c r="J664" t="n">
        <v>0</v>
      </c>
      <c r="K664" t="n">
        <v>0</v>
      </c>
      <c r="L664" t="n">
        <v>0</v>
      </c>
      <c r="M664" t="n">
        <v>0</v>
      </c>
      <c r="N664" t="n">
        <v>0</v>
      </c>
      <c r="O664" t="n">
        <v>0</v>
      </c>
      <c r="P664" t="n">
        <v>0</v>
      </c>
      <c r="Q664" t="n">
        <v>0</v>
      </c>
      <c r="R664" s="2" t="inlineStr"/>
    </row>
    <row r="665" ht="15" customHeight="1">
      <c r="A665" t="inlineStr">
        <is>
          <t>A 37879-2025</t>
        </is>
      </c>
      <c r="B665" s="1" t="n">
        <v>45881.48791666667</v>
      </c>
      <c r="C665" s="1" t="n">
        <v>45931</v>
      </c>
      <c r="D665" t="inlineStr">
        <is>
          <t>DALARNAS LÄN</t>
        </is>
      </c>
      <c r="E665" t="inlineStr">
        <is>
          <t>MORA</t>
        </is>
      </c>
      <c r="G665" t="n">
        <v>1.4</v>
      </c>
      <c r="H665" t="n">
        <v>0</v>
      </c>
      <c r="I665" t="n">
        <v>0</v>
      </c>
      <c r="J665" t="n">
        <v>0</v>
      </c>
      <c r="K665" t="n">
        <v>0</v>
      </c>
      <c r="L665" t="n">
        <v>0</v>
      </c>
      <c r="M665" t="n">
        <v>0</v>
      </c>
      <c r="N665" t="n">
        <v>0</v>
      </c>
      <c r="O665" t="n">
        <v>0</v>
      </c>
      <c r="P665" t="n">
        <v>0</v>
      </c>
      <c r="Q665" t="n">
        <v>0</v>
      </c>
      <c r="R665" s="2" t="inlineStr"/>
    </row>
    <row r="666" ht="15" customHeight="1">
      <c r="A666" t="inlineStr">
        <is>
          <t>A 53527-2024</t>
        </is>
      </c>
      <c r="B666" s="1" t="n">
        <v>45614.61569444444</v>
      </c>
      <c r="C666" s="1" t="n">
        <v>45931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c r="A667" t="inlineStr">
        <is>
          <t>A 61278-2024</t>
        </is>
      </c>
      <c r="B667" s="1" t="n">
        <v>45645.76561342592</v>
      </c>
      <c r="C667" s="1" t="n">
        <v>45931</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2025-10-01T12:52:56Z</dcterms:created>
  <dcterms:modified xmlns:dcterms="http://purl.org/dc/terms/" xmlns:xsi="http://www.w3.org/2001/XMLSchema-instance" xsi:type="dcterms:W3CDTF">2025-10-01T12:52:56Z</dcterms:modified>
</cp:coreProperties>
</file>