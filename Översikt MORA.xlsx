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45781</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45781</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45781</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45781</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45781</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45781</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45781</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45781</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45781</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45781</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45781</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45781</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45781</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45781</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45781</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45781</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45781</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45781</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54028-2020</t>
        </is>
      </c>
      <c r="B22" s="1" t="n">
        <v>44125</v>
      </c>
      <c r="C22" s="1" t="n">
        <v>45781</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45781</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45781</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45781</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45781</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45781</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45781</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45781</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45781</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45781</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45781</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45781</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45781</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45781</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45781</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45781</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45781</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45781</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45781</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45781</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45781</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45781</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45781</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25881-2023</t>
        </is>
      </c>
      <c r="B45" s="1" t="n">
        <v>45090</v>
      </c>
      <c r="C45" s="1" t="n">
        <v>45781</v>
      </c>
      <c r="D45" t="inlineStr">
        <is>
          <t>DALARNAS LÄN</t>
        </is>
      </c>
      <c r="E45" t="inlineStr">
        <is>
          <t>MORA</t>
        </is>
      </c>
      <c r="G45" t="n">
        <v>8.5</v>
      </c>
      <c r="H45" t="n">
        <v>2</v>
      </c>
      <c r="I45" t="n">
        <v>0</v>
      </c>
      <c r="J45" t="n">
        <v>2</v>
      </c>
      <c r="K45" t="n">
        <v>0</v>
      </c>
      <c r="L45" t="n">
        <v>0</v>
      </c>
      <c r="M45" t="n">
        <v>0</v>
      </c>
      <c r="N45" t="n">
        <v>0</v>
      </c>
      <c r="O45" t="n">
        <v>2</v>
      </c>
      <c r="P45" t="n">
        <v>0</v>
      </c>
      <c r="Q45" t="n">
        <v>2</v>
      </c>
      <c r="R45" s="2" t="inlineStr">
        <is>
          <t>Talltita
Tretåig hackspett</t>
        </is>
      </c>
      <c r="S45">
        <f>HYPERLINK("https://klasma.github.io/Logging_2062/artfynd/A 25881-2023 artfynd.xlsx", "A 25881-2023")</f>
        <v/>
      </c>
      <c r="T45">
        <f>HYPERLINK("https://klasma.github.io/Logging_2062/kartor/A 25881-2023 karta.png", "A 25881-2023")</f>
        <v/>
      </c>
      <c r="V45">
        <f>HYPERLINK("https://klasma.github.io/Logging_2062/klagomål/A 25881-2023 FSC-klagomål.docx", "A 25881-2023")</f>
        <v/>
      </c>
      <c r="W45">
        <f>HYPERLINK("https://klasma.github.io/Logging_2062/klagomålsmail/A 25881-2023 FSC-klagomål mail.docx", "A 25881-2023")</f>
        <v/>
      </c>
      <c r="X45">
        <f>HYPERLINK("https://klasma.github.io/Logging_2062/tillsyn/A 25881-2023 tillsynsbegäran.docx", "A 25881-2023")</f>
        <v/>
      </c>
      <c r="Y45">
        <f>HYPERLINK("https://klasma.github.io/Logging_2062/tillsynsmail/A 25881-2023 tillsynsbegäran mail.docx", "A 25881-2023")</f>
        <v/>
      </c>
      <c r="Z45">
        <f>HYPERLINK("https://klasma.github.io/Logging_2062/fåglar/A 25881-2023 prioriterade fågelarter.docx", "A 25881-2023")</f>
        <v/>
      </c>
    </row>
    <row r="46" ht="15" customHeight="1">
      <c r="A46" t="inlineStr">
        <is>
          <t>A 26587-2023</t>
        </is>
      </c>
      <c r="B46" s="1" t="n">
        <v>45092</v>
      </c>
      <c r="C46" s="1" t="n">
        <v>45781</v>
      </c>
      <c r="D46" t="inlineStr">
        <is>
          <t>DALARNAS LÄN</t>
        </is>
      </c>
      <c r="E46" t="inlineStr">
        <is>
          <t>MORA</t>
        </is>
      </c>
      <c r="G46" t="n">
        <v>2.1</v>
      </c>
      <c r="H46" t="n">
        <v>0</v>
      </c>
      <c r="I46" t="n">
        <v>1</v>
      </c>
      <c r="J46" t="n">
        <v>1</v>
      </c>
      <c r="K46" t="n">
        <v>0</v>
      </c>
      <c r="L46" t="n">
        <v>0</v>
      </c>
      <c r="M46" t="n">
        <v>0</v>
      </c>
      <c r="N46" t="n">
        <v>0</v>
      </c>
      <c r="O46" t="n">
        <v>1</v>
      </c>
      <c r="P46" t="n">
        <v>0</v>
      </c>
      <c r="Q46" t="n">
        <v>2</v>
      </c>
      <c r="R46" s="2" t="inlineStr">
        <is>
          <t>Motaggsvamp
Mindre märgborre</t>
        </is>
      </c>
      <c r="S46">
        <f>HYPERLINK("https://klasma.github.io/Logging_2062/artfynd/A 26587-2023 artfynd.xlsx", "A 26587-2023")</f>
        <v/>
      </c>
      <c r="T46">
        <f>HYPERLINK("https://klasma.github.io/Logging_2062/kartor/A 26587-2023 karta.png", "A 26587-2023")</f>
        <v/>
      </c>
      <c r="V46">
        <f>HYPERLINK("https://klasma.github.io/Logging_2062/klagomål/A 26587-2023 FSC-klagomål.docx", "A 26587-2023")</f>
        <v/>
      </c>
      <c r="W46">
        <f>HYPERLINK("https://klasma.github.io/Logging_2062/klagomålsmail/A 26587-2023 FSC-klagomål mail.docx", "A 26587-2023")</f>
        <v/>
      </c>
      <c r="X46">
        <f>HYPERLINK("https://klasma.github.io/Logging_2062/tillsyn/A 26587-2023 tillsynsbegäran.docx", "A 26587-2023")</f>
        <v/>
      </c>
      <c r="Y46">
        <f>HYPERLINK("https://klasma.github.io/Logging_2062/tillsynsmail/A 26587-2023 tillsynsbegäran mail.docx", "A 26587-2023")</f>
        <v/>
      </c>
    </row>
    <row r="47" ht="15" customHeight="1">
      <c r="A47" t="inlineStr">
        <is>
          <t>A 30278-2023</t>
        </is>
      </c>
      <c r="B47" s="1" t="n">
        <v>45110</v>
      </c>
      <c r="C47" s="1" t="n">
        <v>45781</v>
      </c>
      <c r="D47" t="inlineStr">
        <is>
          <t>DALARNAS LÄN</t>
        </is>
      </c>
      <c r="E47" t="inlineStr">
        <is>
          <t>MORA</t>
        </is>
      </c>
      <c r="G47" t="n">
        <v>16</v>
      </c>
      <c r="H47" t="n">
        <v>0</v>
      </c>
      <c r="I47" t="n">
        <v>1</v>
      </c>
      <c r="J47" t="n">
        <v>0</v>
      </c>
      <c r="K47" t="n">
        <v>1</v>
      </c>
      <c r="L47" t="n">
        <v>0</v>
      </c>
      <c r="M47" t="n">
        <v>0</v>
      </c>
      <c r="N47" t="n">
        <v>0</v>
      </c>
      <c r="O47" t="n">
        <v>1</v>
      </c>
      <c r="P47" t="n">
        <v>1</v>
      </c>
      <c r="Q47" t="n">
        <v>2</v>
      </c>
      <c r="R47" s="2" t="inlineStr">
        <is>
          <t>Tallbarksvartbagge
Mindre märgborre</t>
        </is>
      </c>
      <c r="S47">
        <f>HYPERLINK("https://klasma.github.io/Logging_2062/artfynd/A 30278-2023 artfynd.xlsx", "A 30278-2023")</f>
        <v/>
      </c>
      <c r="T47">
        <f>HYPERLINK("https://klasma.github.io/Logging_2062/kartor/A 30278-2023 karta.png", "A 30278-2023")</f>
        <v/>
      </c>
      <c r="V47">
        <f>HYPERLINK("https://klasma.github.io/Logging_2062/klagomål/A 30278-2023 FSC-klagomål.docx", "A 30278-2023")</f>
        <v/>
      </c>
      <c r="W47">
        <f>HYPERLINK("https://klasma.github.io/Logging_2062/klagomålsmail/A 30278-2023 FSC-klagomål mail.docx", "A 30278-2023")</f>
        <v/>
      </c>
      <c r="X47">
        <f>HYPERLINK("https://klasma.github.io/Logging_2062/tillsyn/A 30278-2023 tillsynsbegäran.docx", "A 30278-2023")</f>
        <v/>
      </c>
      <c r="Y47">
        <f>HYPERLINK("https://klasma.github.io/Logging_2062/tillsynsmail/A 30278-2023 tillsynsbegäran mail.docx", "A 30278-2023")</f>
        <v/>
      </c>
    </row>
    <row r="48" ht="15" customHeight="1">
      <c r="A48" t="inlineStr">
        <is>
          <t>A 42028-2023</t>
        </is>
      </c>
      <c r="B48" s="1" t="n">
        <v>45177</v>
      </c>
      <c r="C48" s="1" t="n">
        <v>45781</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33968-2020</t>
        </is>
      </c>
      <c r="B49" s="1" t="n">
        <v>44028</v>
      </c>
      <c r="C49" s="1" t="n">
        <v>45781</v>
      </c>
      <c r="D49" t="inlineStr">
        <is>
          <t>DALARNAS LÄN</t>
        </is>
      </c>
      <c r="E49" t="inlineStr">
        <is>
          <t>MORA</t>
        </is>
      </c>
      <c r="G49" t="n">
        <v>0.5</v>
      </c>
      <c r="H49" t="n">
        <v>1</v>
      </c>
      <c r="I49" t="n">
        <v>0</v>
      </c>
      <c r="J49" t="n">
        <v>1</v>
      </c>
      <c r="K49" t="n">
        <v>0</v>
      </c>
      <c r="L49" t="n">
        <v>0</v>
      </c>
      <c r="M49" t="n">
        <v>0</v>
      </c>
      <c r="N49" t="n">
        <v>0</v>
      </c>
      <c r="O49" t="n">
        <v>1</v>
      </c>
      <c r="P49" t="n">
        <v>0</v>
      </c>
      <c r="Q49" t="n">
        <v>1</v>
      </c>
      <c r="R49" s="2" t="inlineStr">
        <is>
          <t>Spillkråka</t>
        </is>
      </c>
      <c r="S49">
        <f>HYPERLINK("https://klasma.github.io/Logging_2062/artfynd/A 33968-2020 artfynd.xlsx", "A 33968-2020")</f>
        <v/>
      </c>
      <c r="T49">
        <f>HYPERLINK("https://klasma.github.io/Logging_2062/kartor/A 33968-2020 karta.png", "A 33968-2020")</f>
        <v/>
      </c>
      <c r="V49">
        <f>HYPERLINK("https://klasma.github.io/Logging_2062/klagomål/A 33968-2020 FSC-klagomål.docx", "A 33968-2020")</f>
        <v/>
      </c>
      <c r="W49">
        <f>HYPERLINK("https://klasma.github.io/Logging_2062/klagomålsmail/A 33968-2020 FSC-klagomål mail.docx", "A 33968-2020")</f>
        <v/>
      </c>
      <c r="X49">
        <f>HYPERLINK("https://klasma.github.io/Logging_2062/tillsyn/A 33968-2020 tillsynsbegäran.docx", "A 33968-2020")</f>
        <v/>
      </c>
      <c r="Y49">
        <f>HYPERLINK("https://klasma.github.io/Logging_2062/tillsynsmail/A 33968-2020 tillsynsbegäran mail.docx", "A 33968-2020")</f>
        <v/>
      </c>
      <c r="Z49">
        <f>HYPERLINK("https://klasma.github.io/Logging_2062/fåglar/A 33968-2020 prioriterade fågelarter.docx", "A 33968-2020")</f>
        <v/>
      </c>
    </row>
    <row r="50" ht="15" customHeight="1">
      <c r="A50" t="inlineStr">
        <is>
          <t>A 30328-2021</t>
        </is>
      </c>
      <c r="B50" s="1" t="n">
        <v>44364</v>
      </c>
      <c r="C50" s="1" t="n">
        <v>45781</v>
      </c>
      <c r="D50" t="inlineStr">
        <is>
          <t>DALARNAS LÄN</t>
        </is>
      </c>
      <c r="E50" t="inlineStr">
        <is>
          <t>MORA</t>
        </is>
      </c>
      <c r="F50" t="inlineStr">
        <is>
          <t>Bergvik skog öst AB</t>
        </is>
      </c>
      <c r="G50" t="n">
        <v>1.1</v>
      </c>
      <c r="H50" t="n">
        <v>1</v>
      </c>
      <c r="I50" t="n">
        <v>0</v>
      </c>
      <c r="J50" t="n">
        <v>1</v>
      </c>
      <c r="K50" t="n">
        <v>0</v>
      </c>
      <c r="L50" t="n">
        <v>0</v>
      </c>
      <c r="M50" t="n">
        <v>0</v>
      </c>
      <c r="N50" t="n">
        <v>0</v>
      </c>
      <c r="O50" t="n">
        <v>1</v>
      </c>
      <c r="P50" t="n">
        <v>0</v>
      </c>
      <c r="Q50" t="n">
        <v>1</v>
      </c>
      <c r="R50" s="2" t="inlineStr">
        <is>
          <t>Fjällvråk</t>
        </is>
      </c>
      <c r="S50">
        <f>HYPERLINK("https://klasma.github.io/Logging_2062/artfynd/A 30328-2021 artfynd.xlsx", "A 30328-2021")</f>
        <v/>
      </c>
      <c r="T50">
        <f>HYPERLINK("https://klasma.github.io/Logging_2062/kartor/A 30328-2021 karta.png", "A 30328-2021")</f>
        <v/>
      </c>
      <c r="V50">
        <f>HYPERLINK("https://klasma.github.io/Logging_2062/klagomål/A 30328-2021 FSC-klagomål.docx", "A 30328-2021")</f>
        <v/>
      </c>
      <c r="W50">
        <f>HYPERLINK("https://klasma.github.io/Logging_2062/klagomålsmail/A 30328-2021 FSC-klagomål mail.docx", "A 30328-2021")</f>
        <v/>
      </c>
      <c r="X50">
        <f>HYPERLINK("https://klasma.github.io/Logging_2062/tillsyn/A 30328-2021 tillsynsbegäran.docx", "A 30328-2021")</f>
        <v/>
      </c>
      <c r="Y50">
        <f>HYPERLINK("https://klasma.github.io/Logging_2062/tillsynsmail/A 30328-2021 tillsynsbegäran mail.docx", "A 30328-2021")</f>
        <v/>
      </c>
      <c r="Z50">
        <f>HYPERLINK("https://klasma.github.io/Logging_2062/fåglar/A 30328-2021 prioriterade fågelarter.docx", "A 30328-2021")</f>
        <v/>
      </c>
    </row>
    <row r="51" ht="15" customHeight="1">
      <c r="A51" t="inlineStr">
        <is>
          <t>A 44426-2021</t>
        </is>
      </c>
      <c r="B51" s="1" t="n">
        <v>44435</v>
      </c>
      <c r="C51" s="1" t="n">
        <v>45781</v>
      </c>
      <c r="D51" t="inlineStr">
        <is>
          <t>DALARNAS LÄN</t>
        </is>
      </c>
      <c r="E51" t="inlineStr">
        <is>
          <t>MORA</t>
        </is>
      </c>
      <c r="G51" t="n">
        <v>2.2</v>
      </c>
      <c r="H51" t="n">
        <v>0</v>
      </c>
      <c r="I51" t="n">
        <v>0</v>
      </c>
      <c r="J51" t="n">
        <v>1</v>
      </c>
      <c r="K51" t="n">
        <v>0</v>
      </c>
      <c r="L51" t="n">
        <v>0</v>
      </c>
      <c r="M51" t="n">
        <v>0</v>
      </c>
      <c r="N51" t="n">
        <v>0</v>
      </c>
      <c r="O51" t="n">
        <v>1</v>
      </c>
      <c r="P51" t="n">
        <v>0</v>
      </c>
      <c r="Q51" t="n">
        <v>1</v>
      </c>
      <c r="R51" s="2" t="inlineStr">
        <is>
          <t>Garnlav</t>
        </is>
      </c>
      <c r="S51">
        <f>HYPERLINK("https://klasma.github.io/Logging_2062/artfynd/A 44426-2021 artfynd.xlsx", "A 44426-2021")</f>
        <v/>
      </c>
      <c r="T51">
        <f>HYPERLINK("https://klasma.github.io/Logging_2062/kartor/A 44426-2021 karta.png", "A 44426-2021")</f>
        <v/>
      </c>
      <c r="V51">
        <f>HYPERLINK("https://klasma.github.io/Logging_2062/klagomål/A 44426-2021 FSC-klagomål.docx", "A 44426-2021")</f>
        <v/>
      </c>
      <c r="W51">
        <f>HYPERLINK("https://klasma.github.io/Logging_2062/klagomålsmail/A 44426-2021 FSC-klagomål mail.docx", "A 44426-2021")</f>
        <v/>
      </c>
      <c r="X51">
        <f>HYPERLINK("https://klasma.github.io/Logging_2062/tillsyn/A 44426-2021 tillsynsbegäran.docx", "A 44426-2021")</f>
        <v/>
      </c>
      <c r="Y51">
        <f>HYPERLINK("https://klasma.github.io/Logging_2062/tillsynsmail/A 44426-2021 tillsynsbegäran mail.docx", "A 44426-2021")</f>
        <v/>
      </c>
    </row>
    <row r="52" ht="15" customHeight="1">
      <c r="A52" t="inlineStr">
        <is>
          <t>A 57669-2022</t>
        </is>
      </c>
      <c r="B52" s="1" t="n">
        <v>44897</v>
      </c>
      <c r="C52" s="1" t="n">
        <v>45781</v>
      </c>
      <c r="D52" t="inlineStr">
        <is>
          <t>DALARNAS LÄN</t>
        </is>
      </c>
      <c r="E52" t="inlineStr">
        <is>
          <t>MORA</t>
        </is>
      </c>
      <c r="G52" t="n">
        <v>4.1</v>
      </c>
      <c r="H52" t="n">
        <v>0</v>
      </c>
      <c r="I52" t="n">
        <v>0</v>
      </c>
      <c r="J52" t="n">
        <v>1</v>
      </c>
      <c r="K52" t="n">
        <v>0</v>
      </c>
      <c r="L52" t="n">
        <v>0</v>
      </c>
      <c r="M52" t="n">
        <v>0</v>
      </c>
      <c r="N52" t="n">
        <v>0</v>
      </c>
      <c r="O52" t="n">
        <v>1</v>
      </c>
      <c r="P52" t="n">
        <v>0</v>
      </c>
      <c r="Q52" t="n">
        <v>1</v>
      </c>
      <c r="R52" s="2" t="inlineStr">
        <is>
          <t>Igelkott</t>
        </is>
      </c>
      <c r="S52">
        <f>HYPERLINK("https://klasma.github.io/Logging_2062/artfynd/A 57669-2022 artfynd.xlsx", "A 57669-2022")</f>
        <v/>
      </c>
      <c r="T52">
        <f>HYPERLINK("https://klasma.github.io/Logging_2062/kartor/A 57669-2022 karta.png", "A 57669-2022")</f>
        <v/>
      </c>
      <c r="V52">
        <f>HYPERLINK("https://klasma.github.io/Logging_2062/klagomål/A 57669-2022 FSC-klagomål.docx", "A 57669-2022")</f>
        <v/>
      </c>
      <c r="W52">
        <f>HYPERLINK("https://klasma.github.io/Logging_2062/klagomålsmail/A 57669-2022 FSC-klagomål mail.docx", "A 57669-2022")</f>
        <v/>
      </c>
      <c r="X52">
        <f>HYPERLINK("https://klasma.github.io/Logging_2062/tillsyn/A 57669-2022 tillsynsbegäran.docx", "A 57669-2022")</f>
        <v/>
      </c>
      <c r="Y52">
        <f>HYPERLINK("https://klasma.github.io/Logging_2062/tillsynsmail/A 57669-2022 tillsynsbegäran mail.docx", "A 57669-2022")</f>
        <v/>
      </c>
    </row>
    <row r="53" ht="15" customHeight="1">
      <c r="A53" t="inlineStr">
        <is>
          <t>A 5304-2023</t>
        </is>
      </c>
      <c r="B53" s="1" t="n">
        <v>44959</v>
      </c>
      <c r="C53" s="1" t="n">
        <v>45781</v>
      </c>
      <c r="D53" t="inlineStr">
        <is>
          <t>DALARNAS LÄN</t>
        </is>
      </c>
      <c r="E53" t="inlineStr">
        <is>
          <t>MORA</t>
        </is>
      </c>
      <c r="F53" t="inlineStr">
        <is>
          <t>Bergvik skog väst AB</t>
        </is>
      </c>
      <c r="G53" t="n">
        <v>7.3</v>
      </c>
      <c r="H53" t="n">
        <v>0</v>
      </c>
      <c r="I53" t="n">
        <v>0</v>
      </c>
      <c r="J53" t="n">
        <v>1</v>
      </c>
      <c r="K53" t="n">
        <v>0</v>
      </c>
      <c r="L53" t="n">
        <v>0</v>
      </c>
      <c r="M53" t="n">
        <v>0</v>
      </c>
      <c r="N53" t="n">
        <v>0</v>
      </c>
      <c r="O53" t="n">
        <v>1</v>
      </c>
      <c r="P53" t="n">
        <v>0</v>
      </c>
      <c r="Q53" t="n">
        <v>1</v>
      </c>
      <c r="R53" s="2" t="inlineStr">
        <is>
          <t>Backruta</t>
        </is>
      </c>
      <c r="S53">
        <f>HYPERLINK("https://klasma.github.io/Logging_2062/artfynd/A 5304-2023 artfynd.xlsx", "A 5304-2023")</f>
        <v/>
      </c>
      <c r="T53">
        <f>HYPERLINK("https://klasma.github.io/Logging_2062/kartor/A 5304-2023 karta.png", "A 5304-2023")</f>
        <v/>
      </c>
      <c r="V53">
        <f>HYPERLINK("https://klasma.github.io/Logging_2062/klagomål/A 5304-2023 FSC-klagomål.docx", "A 5304-2023")</f>
        <v/>
      </c>
      <c r="W53">
        <f>HYPERLINK("https://klasma.github.io/Logging_2062/klagomålsmail/A 5304-2023 FSC-klagomål mail.docx", "A 5304-2023")</f>
        <v/>
      </c>
      <c r="X53">
        <f>HYPERLINK("https://klasma.github.io/Logging_2062/tillsyn/A 5304-2023 tillsynsbegäran.docx", "A 5304-2023")</f>
        <v/>
      </c>
      <c r="Y53">
        <f>HYPERLINK("https://klasma.github.io/Logging_2062/tillsynsmail/A 5304-2023 tillsynsbegäran mail.docx", "A 5304-2023")</f>
        <v/>
      </c>
    </row>
    <row r="54" ht="15" customHeight="1">
      <c r="A54" t="inlineStr">
        <is>
          <t>A 23736-2023</t>
        </is>
      </c>
      <c r="B54" s="1" t="n">
        <v>45077</v>
      </c>
      <c r="C54" s="1" t="n">
        <v>45781</v>
      </c>
      <c r="D54" t="inlineStr">
        <is>
          <t>DALARNAS LÄN</t>
        </is>
      </c>
      <c r="E54" t="inlineStr">
        <is>
          <t>MORA</t>
        </is>
      </c>
      <c r="G54" t="n">
        <v>7.2</v>
      </c>
      <c r="H54" t="n">
        <v>0</v>
      </c>
      <c r="I54" t="n">
        <v>0</v>
      </c>
      <c r="J54" t="n">
        <v>1</v>
      </c>
      <c r="K54" t="n">
        <v>0</v>
      </c>
      <c r="L54" t="n">
        <v>0</v>
      </c>
      <c r="M54" t="n">
        <v>0</v>
      </c>
      <c r="N54" t="n">
        <v>0</v>
      </c>
      <c r="O54" t="n">
        <v>1</v>
      </c>
      <c r="P54" t="n">
        <v>0</v>
      </c>
      <c r="Q54" t="n">
        <v>1</v>
      </c>
      <c r="R54" s="2" t="inlineStr">
        <is>
          <t>Reliktbock</t>
        </is>
      </c>
      <c r="S54">
        <f>HYPERLINK("https://klasma.github.io/Logging_2062/artfynd/A 23736-2023 artfynd.xlsx", "A 23736-2023")</f>
        <v/>
      </c>
      <c r="T54">
        <f>HYPERLINK("https://klasma.github.io/Logging_2062/kartor/A 23736-2023 karta.png", "A 23736-2023")</f>
        <v/>
      </c>
      <c r="V54">
        <f>HYPERLINK("https://klasma.github.io/Logging_2062/klagomål/A 23736-2023 FSC-klagomål.docx", "A 23736-2023")</f>
        <v/>
      </c>
      <c r="W54">
        <f>HYPERLINK("https://klasma.github.io/Logging_2062/klagomålsmail/A 23736-2023 FSC-klagomål mail.docx", "A 23736-2023")</f>
        <v/>
      </c>
      <c r="X54">
        <f>HYPERLINK("https://klasma.github.io/Logging_2062/tillsyn/A 23736-2023 tillsynsbegäran.docx", "A 23736-2023")</f>
        <v/>
      </c>
      <c r="Y54">
        <f>HYPERLINK("https://klasma.github.io/Logging_2062/tillsynsmail/A 23736-2023 tillsynsbegäran mail.docx", "A 23736-2023")</f>
        <v/>
      </c>
    </row>
    <row r="55" ht="15" customHeight="1">
      <c r="A55" t="inlineStr">
        <is>
          <t>A 24681-2023</t>
        </is>
      </c>
      <c r="B55" s="1" t="n">
        <v>45084</v>
      </c>
      <c r="C55" s="1" t="n">
        <v>45781</v>
      </c>
      <c r="D55" t="inlineStr">
        <is>
          <t>DALARNAS LÄN</t>
        </is>
      </c>
      <c r="E55" t="inlineStr">
        <is>
          <t>MORA</t>
        </is>
      </c>
      <c r="G55" t="n">
        <v>8.199999999999999</v>
      </c>
      <c r="H55" t="n">
        <v>0</v>
      </c>
      <c r="I55" t="n">
        <v>0</v>
      </c>
      <c r="J55" t="n">
        <v>1</v>
      </c>
      <c r="K55" t="n">
        <v>0</v>
      </c>
      <c r="L55" t="n">
        <v>0</v>
      </c>
      <c r="M55" t="n">
        <v>0</v>
      </c>
      <c r="N55" t="n">
        <v>0</v>
      </c>
      <c r="O55" t="n">
        <v>1</v>
      </c>
      <c r="P55" t="n">
        <v>0</v>
      </c>
      <c r="Q55" t="n">
        <v>1</v>
      </c>
      <c r="R55" s="2" t="inlineStr">
        <is>
          <t>Dvärgbägarlav</t>
        </is>
      </c>
      <c r="S55">
        <f>HYPERLINK("https://klasma.github.io/Logging_2062/artfynd/A 24681-2023 artfynd.xlsx", "A 24681-2023")</f>
        <v/>
      </c>
      <c r="T55">
        <f>HYPERLINK("https://klasma.github.io/Logging_2062/kartor/A 24681-2023 karta.png", "A 24681-2023")</f>
        <v/>
      </c>
      <c r="V55">
        <f>HYPERLINK("https://klasma.github.io/Logging_2062/klagomål/A 24681-2023 FSC-klagomål.docx", "A 24681-2023")</f>
        <v/>
      </c>
      <c r="W55">
        <f>HYPERLINK("https://klasma.github.io/Logging_2062/klagomålsmail/A 24681-2023 FSC-klagomål mail.docx", "A 24681-2023")</f>
        <v/>
      </c>
      <c r="X55">
        <f>HYPERLINK("https://klasma.github.io/Logging_2062/tillsyn/A 24681-2023 tillsynsbegäran.docx", "A 24681-2023")</f>
        <v/>
      </c>
      <c r="Y55">
        <f>HYPERLINK("https://klasma.github.io/Logging_2062/tillsynsmail/A 24681-2023 tillsynsbegäran mail.docx", "A 24681-2023")</f>
        <v/>
      </c>
    </row>
    <row r="56" ht="15" customHeight="1">
      <c r="A56" t="inlineStr">
        <is>
          <t>A 30906-2023</t>
        </is>
      </c>
      <c r="B56" s="1" t="n">
        <v>45113</v>
      </c>
      <c r="C56" s="1" t="n">
        <v>45781</v>
      </c>
      <c r="D56" t="inlineStr">
        <is>
          <t>DALARNAS LÄN</t>
        </is>
      </c>
      <c r="E56" t="inlineStr">
        <is>
          <t>MORA</t>
        </is>
      </c>
      <c r="G56" t="n">
        <v>3.1</v>
      </c>
      <c r="H56" t="n">
        <v>0</v>
      </c>
      <c r="I56" t="n">
        <v>0</v>
      </c>
      <c r="J56" t="n">
        <v>0</v>
      </c>
      <c r="K56" t="n">
        <v>1</v>
      </c>
      <c r="L56" t="n">
        <v>0</v>
      </c>
      <c r="M56" t="n">
        <v>0</v>
      </c>
      <c r="N56" t="n">
        <v>0</v>
      </c>
      <c r="O56" t="n">
        <v>1</v>
      </c>
      <c r="P56" t="n">
        <v>1</v>
      </c>
      <c r="Q56" t="n">
        <v>1</v>
      </c>
      <c r="R56" s="2" t="inlineStr">
        <is>
          <t>Jättemusseron</t>
        </is>
      </c>
      <c r="S56">
        <f>HYPERLINK("https://klasma.github.io/Logging_2062/artfynd/A 30906-2023 artfynd.xlsx", "A 30906-2023")</f>
        <v/>
      </c>
      <c r="T56">
        <f>HYPERLINK("https://klasma.github.io/Logging_2062/kartor/A 30906-2023 karta.png", "A 30906-2023")</f>
        <v/>
      </c>
      <c r="V56">
        <f>HYPERLINK("https://klasma.github.io/Logging_2062/klagomål/A 30906-2023 FSC-klagomål.docx", "A 30906-2023")</f>
        <v/>
      </c>
      <c r="W56">
        <f>HYPERLINK("https://klasma.github.io/Logging_2062/klagomålsmail/A 30906-2023 FSC-klagomål mail.docx", "A 30906-2023")</f>
        <v/>
      </c>
      <c r="X56">
        <f>HYPERLINK("https://klasma.github.io/Logging_2062/tillsyn/A 30906-2023 tillsynsbegäran.docx", "A 30906-2023")</f>
        <v/>
      </c>
      <c r="Y56">
        <f>HYPERLINK("https://klasma.github.io/Logging_2062/tillsynsmail/A 30906-2023 tillsynsbegäran mail.docx", "A 30906-2023")</f>
        <v/>
      </c>
    </row>
    <row r="57" ht="15" customHeight="1">
      <c r="A57" t="inlineStr">
        <is>
          <t>A 34194-2023</t>
        </is>
      </c>
      <c r="B57" s="1" t="n">
        <v>45138</v>
      </c>
      <c r="C57" s="1" t="n">
        <v>45781</v>
      </c>
      <c r="D57" t="inlineStr">
        <is>
          <t>DALARNAS LÄN</t>
        </is>
      </c>
      <c r="E57" t="inlineStr">
        <is>
          <t>MORA</t>
        </is>
      </c>
      <c r="G57" t="n">
        <v>8.699999999999999</v>
      </c>
      <c r="H57" t="n">
        <v>0</v>
      </c>
      <c r="I57" t="n">
        <v>0</v>
      </c>
      <c r="J57" t="n">
        <v>1</v>
      </c>
      <c r="K57" t="n">
        <v>0</v>
      </c>
      <c r="L57" t="n">
        <v>0</v>
      </c>
      <c r="M57" t="n">
        <v>0</v>
      </c>
      <c r="N57" t="n">
        <v>0</v>
      </c>
      <c r="O57" t="n">
        <v>1</v>
      </c>
      <c r="P57" t="n">
        <v>0</v>
      </c>
      <c r="Q57" t="n">
        <v>1</v>
      </c>
      <c r="R57" s="2" t="inlineStr">
        <is>
          <t>Motaggsvamp</t>
        </is>
      </c>
      <c r="S57">
        <f>HYPERLINK("https://klasma.github.io/Logging_2062/artfynd/A 34194-2023 artfynd.xlsx", "A 34194-2023")</f>
        <v/>
      </c>
      <c r="T57">
        <f>HYPERLINK("https://klasma.github.io/Logging_2062/kartor/A 34194-2023 karta.png", "A 34194-2023")</f>
        <v/>
      </c>
      <c r="V57">
        <f>HYPERLINK("https://klasma.github.io/Logging_2062/klagomål/A 34194-2023 FSC-klagomål.docx", "A 34194-2023")</f>
        <v/>
      </c>
      <c r="W57">
        <f>HYPERLINK("https://klasma.github.io/Logging_2062/klagomålsmail/A 34194-2023 FSC-klagomål mail.docx", "A 34194-2023")</f>
        <v/>
      </c>
      <c r="X57">
        <f>HYPERLINK("https://klasma.github.io/Logging_2062/tillsyn/A 34194-2023 tillsynsbegäran.docx", "A 34194-2023")</f>
        <v/>
      </c>
      <c r="Y57">
        <f>HYPERLINK("https://klasma.github.io/Logging_2062/tillsynsmail/A 34194-2023 tillsynsbegäran mail.docx", "A 34194-2023")</f>
        <v/>
      </c>
    </row>
    <row r="58" ht="15" customHeight="1">
      <c r="A58" t="inlineStr">
        <is>
          <t>A 54132-2023</t>
        </is>
      </c>
      <c r="B58" s="1" t="n">
        <v>45232</v>
      </c>
      <c r="C58" s="1" t="n">
        <v>45781</v>
      </c>
      <c r="D58" t="inlineStr">
        <is>
          <t>DALARNAS LÄN</t>
        </is>
      </c>
      <c r="E58" t="inlineStr">
        <is>
          <t>MORA</t>
        </is>
      </c>
      <c r="G58" t="n">
        <v>0.9</v>
      </c>
      <c r="H58" t="n">
        <v>0</v>
      </c>
      <c r="I58" t="n">
        <v>0</v>
      </c>
      <c r="J58" t="n">
        <v>0</v>
      </c>
      <c r="K58" t="n">
        <v>1</v>
      </c>
      <c r="L58" t="n">
        <v>0</v>
      </c>
      <c r="M58" t="n">
        <v>0</v>
      </c>
      <c r="N58" t="n">
        <v>0</v>
      </c>
      <c r="O58" t="n">
        <v>1</v>
      </c>
      <c r="P58" t="n">
        <v>1</v>
      </c>
      <c r="Q58" t="n">
        <v>1</v>
      </c>
      <c r="R58" s="2" t="inlineStr">
        <is>
          <t>Jättemusseron</t>
        </is>
      </c>
      <c r="S58">
        <f>HYPERLINK("https://klasma.github.io/Logging_2062/artfynd/A 54132-2023 artfynd.xlsx", "A 54132-2023")</f>
        <v/>
      </c>
      <c r="T58">
        <f>HYPERLINK("https://klasma.github.io/Logging_2062/kartor/A 54132-2023 karta.png", "A 54132-2023")</f>
        <v/>
      </c>
      <c r="V58">
        <f>HYPERLINK("https://klasma.github.io/Logging_2062/klagomål/A 54132-2023 FSC-klagomål.docx", "A 54132-2023")</f>
        <v/>
      </c>
      <c r="W58">
        <f>HYPERLINK("https://klasma.github.io/Logging_2062/klagomålsmail/A 54132-2023 FSC-klagomål mail.docx", "A 54132-2023")</f>
        <v/>
      </c>
      <c r="X58">
        <f>HYPERLINK("https://klasma.github.io/Logging_2062/tillsyn/A 54132-2023 tillsynsbegäran.docx", "A 54132-2023")</f>
        <v/>
      </c>
      <c r="Y58">
        <f>HYPERLINK("https://klasma.github.io/Logging_2062/tillsynsmail/A 54132-2023 tillsynsbegäran mail.docx", "A 54132-2023")</f>
        <v/>
      </c>
    </row>
    <row r="59" ht="15" customHeight="1">
      <c r="A59" t="inlineStr">
        <is>
          <t>A 5691-2024</t>
        </is>
      </c>
      <c r="B59" s="1" t="n">
        <v>45334</v>
      </c>
      <c r="C59" s="1" t="n">
        <v>45781</v>
      </c>
      <c r="D59" t="inlineStr">
        <is>
          <t>DALARNAS LÄN</t>
        </is>
      </c>
      <c r="E59" t="inlineStr">
        <is>
          <t>MORA</t>
        </is>
      </c>
      <c r="G59" t="n">
        <v>3.7</v>
      </c>
      <c r="H59" t="n">
        <v>1</v>
      </c>
      <c r="I59" t="n">
        <v>0</v>
      </c>
      <c r="J59" t="n">
        <v>0</v>
      </c>
      <c r="K59" t="n">
        <v>0</v>
      </c>
      <c r="L59" t="n">
        <v>0</v>
      </c>
      <c r="M59" t="n">
        <v>0</v>
      </c>
      <c r="N59" t="n">
        <v>0</v>
      </c>
      <c r="O59" t="n">
        <v>0</v>
      </c>
      <c r="P59" t="n">
        <v>0</v>
      </c>
      <c r="Q59" t="n">
        <v>1</v>
      </c>
      <c r="R59" s="2" t="inlineStr">
        <is>
          <t>Blåsippa</t>
        </is>
      </c>
      <c r="S59">
        <f>HYPERLINK("https://klasma.github.io/Logging_2062/artfynd/A 5691-2024 artfynd.xlsx", "A 5691-2024")</f>
        <v/>
      </c>
      <c r="T59">
        <f>HYPERLINK("https://klasma.github.io/Logging_2062/kartor/A 5691-2024 karta.png", "A 5691-2024")</f>
        <v/>
      </c>
      <c r="V59">
        <f>HYPERLINK("https://klasma.github.io/Logging_2062/klagomål/A 5691-2024 FSC-klagomål.docx", "A 5691-2024")</f>
        <v/>
      </c>
      <c r="W59">
        <f>HYPERLINK("https://klasma.github.io/Logging_2062/klagomålsmail/A 5691-2024 FSC-klagomål mail.docx", "A 5691-2024")</f>
        <v/>
      </c>
      <c r="X59">
        <f>HYPERLINK("https://klasma.github.io/Logging_2062/tillsyn/A 5691-2024 tillsynsbegäran.docx", "A 5691-2024")</f>
        <v/>
      </c>
      <c r="Y59">
        <f>HYPERLINK("https://klasma.github.io/Logging_2062/tillsynsmail/A 5691-2024 tillsynsbegäran mail.docx", "A 5691-2024")</f>
        <v/>
      </c>
    </row>
    <row r="60" ht="15" customHeight="1">
      <c r="A60" t="inlineStr">
        <is>
          <t>A 15820-2024</t>
        </is>
      </c>
      <c r="B60" s="1" t="n">
        <v>45404</v>
      </c>
      <c r="C60" s="1" t="n">
        <v>45781</v>
      </c>
      <c r="D60" t="inlineStr">
        <is>
          <t>DALARNAS LÄN</t>
        </is>
      </c>
      <c r="E60" t="inlineStr">
        <is>
          <t>MORA</t>
        </is>
      </c>
      <c r="G60" t="n">
        <v>3</v>
      </c>
      <c r="H60" t="n">
        <v>1</v>
      </c>
      <c r="I60" t="n">
        <v>0</v>
      </c>
      <c r="J60" t="n">
        <v>1</v>
      </c>
      <c r="K60" t="n">
        <v>0</v>
      </c>
      <c r="L60" t="n">
        <v>0</v>
      </c>
      <c r="M60" t="n">
        <v>0</v>
      </c>
      <c r="N60" t="n">
        <v>0</v>
      </c>
      <c r="O60" t="n">
        <v>1</v>
      </c>
      <c r="P60" t="n">
        <v>0</v>
      </c>
      <c r="Q60" t="n">
        <v>1</v>
      </c>
      <c r="R60" s="2" t="inlineStr">
        <is>
          <t>Slaguggla</t>
        </is>
      </c>
      <c r="S60">
        <f>HYPERLINK("https://klasma.github.io/Logging_2062/artfynd/A 15820-2024 artfynd.xlsx", "A 15820-2024")</f>
        <v/>
      </c>
      <c r="T60">
        <f>HYPERLINK("https://klasma.github.io/Logging_2062/kartor/A 15820-2024 karta.png", "A 15820-2024")</f>
        <v/>
      </c>
      <c r="V60">
        <f>HYPERLINK("https://klasma.github.io/Logging_2062/klagomål/A 15820-2024 FSC-klagomål.docx", "A 15820-2024")</f>
        <v/>
      </c>
      <c r="W60">
        <f>HYPERLINK("https://klasma.github.io/Logging_2062/klagomålsmail/A 15820-2024 FSC-klagomål mail.docx", "A 15820-2024")</f>
        <v/>
      </c>
      <c r="X60">
        <f>HYPERLINK("https://klasma.github.io/Logging_2062/tillsyn/A 15820-2024 tillsynsbegäran.docx", "A 15820-2024")</f>
        <v/>
      </c>
      <c r="Y60">
        <f>HYPERLINK("https://klasma.github.io/Logging_2062/tillsynsmail/A 15820-2024 tillsynsbegäran mail.docx", "A 15820-2024")</f>
        <v/>
      </c>
      <c r="Z60">
        <f>HYPERLINK("https://klasma.github.io/Logging_2062/fåglar/A 15820-2024 prioriterade fågelarter.docx", "A 15820-2024")</f>
        <v/>
      </c>
    </row>
    <row r="61" ht="15" customHeight="1">
      <c r="A61" t="inlineStr">
        <is>
          <t>A 16094-2024</t>
        </is>
      </c>
      <c r="B61" s="1" t="n">
        <v>45406</v>
      </c>
      <c r="C61" s="1" t="n">
        <v>45781</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26808-2024</t>
        </is>
      </c>
      <c r="B62" s="1" t="n">
        <v>45470</v>
      </c>
      <c r="C62" s="1" t="n">
        <v>45781</v>
      </c>
      <c r="D62" t="inlineStr">
        <is>
          <t>DALARNAS LÄN</t>
        </is>
      </c>
      <c r="E62" t="inlineStr">
        <is>
          <t>MORA</t>
        </is>
      </c>
      <c r="G62" t="n">
        <v>8.800000000000001</v>
      </c>
      <c r="H62" t="n">
        <v>0</v>
      </c>
      <c r="I62" t="n">
        <v>0</v>
      </c>
      <c r="J62" t="n">
        <v>1</v>
      </c>
      <c r="K62" t="n">
        <v>0</v>
      </c>
      <c r="L62" t="n">
        <v>0</v>
      </c>
      <c r="M62" t="n">
        <v>0</v>
      </c>
      <c r="N62" t="n">
        <v>0</v>
      </c>
      <c r="O62" t="n">
        <v>1</v>
      </c>
      <c r="P62" t="n">
        <v>0</v>
      </c>
      <c r="Q62" t="n">
        <v>1</v>
      </c>
      <c r="R62" s="2" t="inlineStr">
        <is>
          <t>Garnlav</t>
        </is>
      </c>
      <c r="S62">
        <f>HYPERLINK("https://klasma.github.io/Logging_2062/artfynd/A 26808-2024 artfynd.xlsx", "A 26808-2024")</f>
        <v/>
      </c>
      <c r="T62">
        <f>HYPERLINK("https://klasma.github.io/Logging_2062/kartor/A 26808-2024 karta.png", "A 26808-2024")</f>
        <v/>
      </c>
      <c r="V62">
        <f>HYPERLINK("https://klasma.github.io/Logging_2062/klagomål/A 26808-2024 FSC-klagomål.docx", "A 26808-2024")</f>
        <v/>
      </c>
      <c r="W62">
        <f>HYPERLINK("https://klasma.github.io/Logging_2062/klagomålsmail/A 26808-2024 FSC-klagomål mail.docx", "A 26808-2024")</f>
        <v/>
      </c>
      <c r="X62">
        <f>HYPERLINK("https://klasma.github.io/Logging_2062/tillsyn/A 26808-2024 tillsynsbegäran.docx", "A 26808-2024")</f>
        <v/>
      </c>
      <c r="Y62">
        <f>HYPERLINK("https://klasma.github.io/Logging_2062/tillsynsmail/A 26808-2024 tillsynsbegäran mail.docx", "A 26808-2024")</f>
        <v/>
      </c>
    </row>
    <row r="63" ht="15" customHeight="1">
      <c r="A63" t="inlineStr">
        <is>
          <t>A 27113-2024</t>
        </is>
      </c>
      <c r="B63" s="1" t="n">
        <v>45471</v>
      </c>
      <c r="C63" s="1" t="n">
        <v>45781</v>
      </c>
      <c r="D63" t="inlineStr">
        <is>
          <t>DALARNAS LÄN</t>
        </is>
      </c>
      <c r="E63" t="inlineStr">
        <is>
          <t>MORA</t>
        </is>
      </c>
      <c r="G63" t="n">
        <v>10.3</v>
      </c>
      <c r="H63" t="n">
        <v>0</v>
      </c>
      <c r="I63" t="n">
        <v>1</v>
      </c>
      <c r="J63" t="n">
        <v>0</v>
      </c>
      <c r="K63" t="n">
        <v>0</v>
      </c>
      <c r="L63" t="n">
        <v>0</v>
      </c>
      <c r="M63" t="n">
        <v>0</v>
      </c>
      <c r="N63" t="n">
        <v>0</v>
      </c>
      <c r="O63" t="n">
        <v>0</v>
      </c>
      <c r="P63" t="n">
        <v>0</v>
      </c>
      <c r="Q63" t="n">
        <v>1</v>
      </c>
      <c r="R63" s="2" t="inlineStr">
        <is>
          <t>Stor aspticka</t>
        </is>
      </c>
      <c r="S63">
        <f>HYPERLINK("https://klasma.github.io/Logging_2062/artfynd/A 27113-2024 artfynd.xlsx", "A 27113-2024")</f>
        <v/>
      </c>
      <c r="T63">
        <f>HYPERLINK("https://klasma.github.io/Logging_2062/kartor/A 27113-2024 karta.png", "A 27113-2024")</f>
        <v/>
      </c>
      <c r="V63">
        <f>HYPERLINK("https://klasma.github.io/Logging_2062/klagomål/A 27113-2024 FSC-klagomål.docx", "A 27113-2024")</f>
        <v/>
      </c>
      <c r="W63">
        <f>HYPERLINK("https://klasma.github.io/Logging_2062/klagomålsmail/A 27113-2024 FSC-klagomål mail.docx", "A 27113-2024")</f>
        <v/>
      </c>
      <c r="X63">
        <f>HYPERLINK("https://klasma.github.io/Logging_2062/tillsyn/A 27113-2024 tillsynsbegäran.docx", "A 27113-2024")</f>
        <v/>
      </c>
      <c r="Y63">
        <f>HYPERLINK("https://klasma.github.io/Logging_2062/tillsynsmail/A 27113-2024 tillsynsbegäran mail.docx", "A 27113-2024")</f>
        <v/>
      </c>
    </row>
    <row r="64" ht="15" customHeight="1">
      <c r="A64" t="inlineStr">
        <is>
          <t>A 45410-2024</t>
        </is>
      </c>
      <c r="B64" s="1" t="n">
        <v>45576</v>
      </c>
      <c r="C64" s="1" t="n">
        <v>45781</v>
      </c>
      <c r="D64" t="inlineStr">
        <is>
          <t>DALARNAS LÄN</t>
        </is>
      </c>
      <c r="E64" t="inlineStr">
        <is>
          <t>MORA</t>
        </is>
      </c>
      <c r="G64" t="n">
        <v>1.1</v>
      </c>
      <c r="H64" t="n">
        <v>0</v>
      </c>
      <c r="I64" t="n">
        <v>0</v>
      </c>
      <c r="J64" t="n">
        <v>1</v>
      </c>
      <c r="K64" t="n">
        <v>0</v>
      </c>
      <c r="L64" t="n">
        <v>0</v>
      </c>
      <c r="M64" t="n">
        <v>0</v>
      </c>
      <c r="N64" t="n">
        <v>0</v>
      </c>
      <c r="O64" t="n">
        <v>1</v>
      </c>
      <c r="P64" t="n">
        <v>0</v>
      </c>
      <c r="Q64" t="n">
        <v>1</v>
      </c>
      <c r="R64" s="2" t="inlineStr">
        <is>
          <t>Tallticka</t>
        </is>
      </c>
      <c r="S64">
        <f>HYPERLINK("https://klasma.github.io/Logging_2062/artfynd/A 45410-2024 artfynd.xlsx", "A 45410-2024")</f>
        <v/>
      </c>
      <c r="T64">
        <f>HYPERLINK("https://klasma.github.io/Logging_2062/kartor/A 45410-2024 karta.png", "A 45410-2024")</f>
        <v/>
      </c>
      <c r="V64">
        <f>HYPERLINK("https://klasma.github.io/Logging_2062/klagomål/A 45410-2024 FSC-klagomål.docx", "A 45410-2024")</f>
        <v/>
      </c>
      <c r="W64">
        <f>HYPERLINK("https://klasma.github.io/Logging_2062/klagomålsmail/A 45410-2024 FSC-klagomål mail.docx", "A 45410-2024")</f>
        <v/>
      </c>
      <c r="X64">
        <f>HYPERLINK("https://klasma.github.io/Logging_2062/tillsyn/A 45410-2024 tillsynsbegäran.docx", "A 45410-2024")</f>
        <v/>
      </c>
      <c r="Y64">
        <f>HYPERLINK("https://klasma.github.io/Logging_2062/tillsynsmail/A 45410-2024 tillsynsbegäran mail.docx", "A 45410-2024")</f>
        <v/>
      </c>
    </row>
    <row r="65" ht="15" customHeight="1">
      <c r="A65" t="inlineStr">
        <is>
          <t>A 45344-2024</t>
        </is>
      </c>
      <c r="B65" s="1" t="n">
        <v>45576</v>
      </c>
      <c r="C65" s="1" t="n">
        <v>45781</v>
      </c>
      <c r="D65" t="inlineStr">
        <is>
          <t>DALARNAS LÄN</t>
        </is>
      </c>
      <c r="E65" t="inlineStr">
        <is>
          <t>MORA</t>
        </is>
      </c>
      <c r="G65" t="n">
        <v>0.9</v>
      </c>
      <c r="H65" t="n">
        <v>0</v>
      </c>
      <c r="I65" t="n">
        <v>0</v>
      </c>
      <c r="J65" t="n">
        <v>1</v>
      </c>
      <c r="K65" t="n">
        <v>0</v>
      </c>
      <c r="L65" t="n">
        <v>0</v>
      </c>
      <c r="M65" t="n">
        <v>0</v>
      </c>
      <c r="N65" t="n">
        <v>0</v>
      </c>
      <c r="O65" t="n">
        <v>1</v>
      </c>
      <c r="P65" t="n">
        <v>0</v>
      </c>
      <c r="Q65" t="n">
        <v>1</v>
      </c>
      <c r="R65" s="2" t="inlineStr">
        <is>
          <t>Garnlav</t>
        </is>
      </c>
      <c r="S65">
        <f>HYPERLINK("https://klasma.github.io/Logging_2062/artfynd/A 45344-2024 artfynd.xlsx", "A 45344-2024")</f>
        <v/>
      </c>
      <c r="T65">
        <f>HYPERLINK("https://klasma.github.io/Logging_2062/kartor/A 45344-2024 karta.png", "A 45344-2024")</f>
        <v/>
      </c>
      <c r="V65">
        <f>HYPERLINK("https://klasma.github.io/Logging_2062/klagomål/A 45344-2024 FSC-klagomål.docx", "A 45344-2024")</f>
        <v/>
      </c>
      <c r="W65">
        <f>HYPERLINK("https://klasma.github.io/Logging_2062/klagomålsmail/A 45344-2024 FSC-klagomål mail.docx", "A 45344-2024")</f>
        <v/>
      </c>
      <c r="X65">
        <f>HYPERLINK("https://klasma.github.io/Logging_2062/tillsyn/A 45344-2024 tillsynsbegäran.docx", "A 45344-2024")</f>
        <v/>
      </c>
      <c r="Y65">
        <f>HYPERLINK("https://klasma.github.io/Logging_2062/tillsynsmail/A 45344-2024 tillsynsbegäran mail.docx", "A 45344-2024")</f>
        <v/>
      </c>
    </row>
    <row r="66" ht="15" customHeight="1">
      <c r="A66" t="inlineStr">
        <is>
          <t>A 51213-2024</t>
        </is>
      </c>
      <c r="B66" s="1" t="n">
        <v>45603</v>
      </c>
      <c r="C66" s="1" t="n">
        <v>45781</v>
      </c>
      <c r="D66" t="inlineStr">
        <is>
          <t>DALARNAS LÄN</t>
        </is>
      </c>
      <c r="E66" t="inlineStr">
        <is>
          <t>MORA</t>
        </is>
      </c>
      <c r="G66" t="n">
        <v>0.5</v>
      </c>
      <c r="H66" t="n">
        <v>1</v>
      </c>
      <c r="I66" t="n">
        <v>0</v>
      </c>
      <c r="J66" t="n">
        <v>0</v>
      </c>
      <c r="K66" t="n">
        <v>1</v>
      </c>
      <c r="L66" t="n">
        <v>0</v>
      </c>
      <c r="M66" t="n">
        <v>0</v>
      </c>
      <c r="N66" t="n">
        <v>0</v>
      </c>
      <c r="O66" t="n">
        <v>1</v>
      </c>
      <c r="P66" t="n">
        <v>1</v>
      </c>
      <c r="Q66" t="n">
        <v>1</v>
      </c>
      <c r="R66" s="2" t="inlineStr">
        <is>
          <t>Knärot</t>
        </is>
      </c>
      <c r="S66">
        <f>HYPERLINK("https://klasma.github.io/Logging_2062/artfynd/A 51213-2024 artfynd.xlsx", "A 51213-2024")</f>
        <v/>
      </c>
      <c r="T66">
        <f>HYPERLINK("https://klasma.github.io/Logging_2062/kartor/A 51213-2024 karta.png", "A 51213-2024")</f>
        <v/>
      </c>
      <c r="U66">
        <f>HYPERLINK("https://klasma.github.io/Logging_2062/knärot/A 51213-2024 karta knärot.png", "A 51213-2024")</f>
        <v/>
      </c>
      <c r="V66">
        <f>HYPERLINK("https://klasma.github.io/Logging_2062/klagomål/A 51213-2024 FSC-klagomål.docx", "A 51213-2024")</f>
        <v/>
      </c>
      <c r="W66">
        <f>HYPERLINK("https://klasma.github.io/Logging_2062/klagomålsmail/A 51213-2024 FSC-klagomål mail.docx", "A 51213-2024")</f>
        <v/>
      </c>
      <c r="X66">
        <f>HYPERLINK("https://klasma.github.io/Logging_2062/tillsyn/A 51213-2024 tillsynsbegäran.docx", "A 51213-2024")</f>
        <v/>
      </c>
      <c r="Y66">
        <f>HYPERLINK("https://klasma.github.io/Logging_2062/tillsynsmail/A 51213-2024 tillsynsbegäran mail.docx", "A 51213-2024")</f>
        <v/>
      </c>
    </row>
    <row r="67" ht="15" customHeight="1">
      <c r="A67" t="inlineStr">
        <is>
          <t>A 831-2025</t>
        </is>
      </c>
      <c r="B67" s="1" t="n">
        <v>45665</v>
      </c>
      <c r="C67" s="1" t="n">
        <v>45781</v>
      </c>
      <c r="D67" t="inlineStr">
        <is>
          <t>DALARNAS LÄN</t>
        </is>
      </c>
      <c r="E67" t="inlineStr">
        <is>
          <t>MORA</t>
        </is>
      </c>
      <c r="G67" t="n">
        <v>2.5</v>
      </c>
      <c r="H67" t="n">
        <v>0</v>
      </c>
      <c r="I67" t="n">
        <v>1</v>
      </c>
      <c r="J67" t="n">
        <v>0</v>
      </c>
      <c r="K67" t="n">
        <v>0</v>
      </c>
      <c r="L67" t="n">
        <v>0</v>
      </c>
      <c r="M67" t="n">
        <v>0</v>
      </c>
      <c r="N67" t="n">
        <v>0</v>
      </c>
      <c r="O67" t="n">
        <v>0</v>
      </c>
      <c r="P67" t="n">
        <v>0</v>
      </c>
      <c r="Q67" t="n">
        <v>1</v>
      </c>
      <c r="R67" s="2" t="inlineStr">
        <is>
          <t>Stekelbock</t>
        </is>
      </c>
      <c r="S67">
        <f>HYPERLINK("https://klasma.github.io/Logging_2062/artfynd/A 831-2025 artfynd.xlsx", "A 831-2025")</f>
        <v/>
      </c>
      <c r="T67">
        <f>HYPERLINK("https://klasma.github.io/Logging_2062/kartor/A 831-2025 karta.png", "A 831-2025")</f>
        <v/>
      </c>
      <c r="V67">
        <f>HYPERLINK("https://klasma.github.io/Logging_2062/klagomål/A 831-2025 FSC-klagomål.docx", "A 831-2025")</f>
        <v/>
      </c>
      <c r="W67">
        <f>HYPERLINK("https://klasma.github.io/Logging_2062/klagomålsmail/A 831-2025 FSC-klagomål mail.docx", "A 831-2025")</f>
        <v/>
      </c>
      <c r="X67">
        <f>HYPERLINK("https://klasma.github.io/Logging_2062/tillsyn/A 831-2025 tillsynsbegäran.docx", "A 831-2025")</f>
        <v/>
      </c>
      <c r="Y67">
        <f>HYPERLINK("https://klasma.github.io/Logging_2062/tillsynsmail/A 831-2025 tillsynsbegäran mail.docx", "A 831-2025")</f>
        <v/>
      </c>
    </row>
    <row r="68" ht="15" customHeight="1">
      <c r="A68" t="inlineStr">
        <is>
          <t>A 20226-2019</t>
        </is>
      </c>
      <c r="B68" s="1" t="n">
        <v>43570</v>
      </c>
      <c r="C68" s="1" t="n">
        <v>45781</v>
      </c>
      <c r="D68" t="inlineStr">
        <is>
          <t>DALARNAS LÄN</t>
        </is>
      </c>
      <c r="E68" t="inlineStr">
        <is>
          <t>MORA</t>
        </is>
      </c>
      <c r="G68" t="n">
        <v>4.2</v>
      </c>
      <c r="H68" t="n">
        <v>0</v>
      </c>
      <c r="I68" t="n">
        <v>0</v>
      </c>
      <c r="J68" t="n">
        <v>0</v>
      </c>
      <c r="K68" t="n">
        <v>0</v>
      </c>
      <c r="L68" t="n">
        <v>0</v>
      </c>
      <c r="M68" t="n">
        <v>0</v>
      </c>
      <c r="N68" t="n">
        <v>0</v>
      </c>
      <c r="O68" t="n">
        <v>0</v>
      </c>
      <c r="P68" t="n">
        <v>0</v>
      </c>
      <c r="Q68" t="n">
        <v>0</v>
      </c>
      <c r="R68" s="2" t="inlineStr"/>
    </row>
    <row r="69" ht="15" customHeight="1">
      <c r="A69" t="inlineStr">
        <is>
          <t>A 20464-2019</t>
        </is>
      </c>
      <c r="B69" s="1" t="n">
        <v>43572</v>
      </c>
      <c r="C69" s="1" t="n">
        <v>45781</v>
      </c>
      <c r="D69" t="inlineStr">
        <is>
          <t>DALARNAS LÄN</t>
        </is>
      </c>
      <c r="E69" t="inlineStr">
        <is>
          <t>MORA</t>
        </is>
      </c>
      <c r="G69" t="n">
        <v>12.1</v>
      </c>
      <c r="H69" t="n">
        <v>0</v>
      </c>
      <c r="I69" t="n">
        <v>0</v>
      </c>
      <c r="J69" t="n">
        <v>0</v>
      </c>
      <c r="K69" t="n">
        <v>0</v>
      </c>
      <c r="L69" t="n">
        <v>0</v>
      </c>
      <c r="M69" t="n">
        <v>0</v>
      </c>
      <c r="N69" t="n">
        <v>0</v>
      </c>
      <c r="O69" t="n">
        <v>0</v>
      </c>
      <c r="P69" t="n">
        <v>0</v>
      </c>
      <c r="Q69" t="n">
        <v>0</v>
      </c>
      <c r="R69" s="2" t="inlineStr"/>
    </row>
    <row r="70" ht="15" customHeight="1">
      <c r="A70" t="inlineStr">
        <is>
          <t>A 22970-2019</t>
        </is>
      </c>
      <c r="B70" s="1" t="n">
        <v>43591</v>
      </c>
      <c r="C70" s="1" t="n">
        <v>45781</v>
      </c>
      <c r="D70" t="inlineStr">
        <is>
          <t>DALARNAS LÄN</t>
        </is>
      </c>
      <c r="E70" t="inlineStr">
        <is>
          <t>MORA</t>
        </is>
      </c>
      <c r="G70" t="n">
        <v>1.5</v>
      </c>
      <c r="H70" t="n">
        <v>0</v>
      </c>
      <c r="I70" t="n">
        <v>0</v>
      </c>
      <c r="J70" t="n">
        <v>0</v>
      </c>
      <c r="K70" t="n">
        <v>0</v>
      </c>
      <c r="L70" t="n">
        <v>0</v>
      </c>
      <c r="M70" t="n">
        <v>0</v>
      </c>
      <c r="N70" t="n">
        <v>0</v>
      </c>
      <c r="O70" t="n">
        <v>0</v>
      </c>
      <c r="P70" t="n">
        <v>0</v>
      </c>
      <c r="Q70" t="n">
        <v>0</v>
      </c>
      <c r="R70" s="2" t="inlineStr"/>
    </row>
    <row r="71" ht="15" customHeight="1">
      <c r="A71" t="inlineStr">
        <is>
          <t>A 23665-2019</t>
        </is>
      </c>
      <c r="B71" s="1" t="n">
        <v>43594</v>
      </c>
      <c r="C71" s="1" t="n">
        <v>45781</v>
      </c>
      <c r="D71" t="inlineStr">
        <is>
          <t>DALARNAS LÄN</t>
        </is>
      </c>
      <c r="E71" t="inlineStr">
        <is>
          <t>MORA</t>
        </is>
      </c>
      <c r="G71" t="n">
        <v>1.1</v>
      </c>
      <c r="H71" t="n">
        <v>0</v>
      </c>
      <c r="I71" t="n">
        <v>0</v>
      </c>
      <c r="J71" t="n">
        <v>0</v>
      </c>
      <c r="K71" t="n">
        <v>0</v>
      </c>
      <c r="L71" t="n">
        <v>0</v>
      </c>
      <c r="M71" t="n">
        <v>0</v>
      </c>
      <c r="N71" t="n">
        <v>0</v>
      </c>
      <c r="O71" t="n">
        <v>0</v>
      </c>
      <c r="P71" t="n">
        <v>0</v>
      </c>
      <c r="Q71" t="n">
        <v>0</v>
      </c>
      <c r="R71" s="2" t="inlineStr"/>
    </row>
    <row r="72" ht="15" customHeight="1">
      <c r="A72" t="inlineStr">
        <is>
          <t>A 23636-2019</t>
        </is>
      </c>
      <c r="B72" s="1" t="n">
        <v>43594</v>
      </c>
      <c r="C72" s="1" t="n">
        <v>45781</v>
      </c>
      <c r="D72" t="inlineStr">
        <is>
          <t>DALARNAS LÄN</t>
        </is>
      </c>
      <c r="E72" t="inlineStr">
        <is>
          <t>MORA</t>
        </is>
      </c>
      <c r="G72" t="n">
        <v>1.5</v>
      </c>
      <c r="H72" t="n">
        <v>0</v>
      </c>
      <c r="I72" t="n">
        <v>0</v>
      </c>
      <c r="J72" t="n">
        <v>0</v>
      </c>
      <c r="K72" t="n">
        <v>0</v>
      </c>
      <c r="L72" t="n">
        <v>0</v>
      </c>
      <c r="M72" t="n">
        <v>0</v>
      </c>
      <c r="N72" t="n">
        <v>0</v>
      </c>
      <c r="O72" t="n">
        <v>0</v>
      </c>
      <c r="P72" t="n">
        <v>0</v>
      </c>
      <c r="Q72" t="n">
        <v>0</v>
      </c>
      <c r="R72" s="2" t="inlineStr"/>
    </row>
    <row r="73" ht="15" customHeight="1">
      <c r="A73" t="inlineStr">
        <is>
          <t>A 24630-2019</t>
        </is>
      </c>
      <c r="B73" s="1" t="n">
        <v>43601</v>
      </c>
      <c r="C73" s="1" t="n">
        <v>45781</v>
      </c>
      <c r="D73" t="inlineStr">
        <is>
          <t>DALARNAS LÄN</t>
        </is>
      </c>
      <c r="E73" t="inlineStr">
        <is>
          <t>MORA</t>
        </is>
      </c>
      <c r="G73" t="n">
        <v>5.8</v>
      </c>
      <c r="H73" t="n">
        <v>0</v>
      </c>
      <c r="I73" t="n">
        <v>0</v>
      </c>
      <c r="J73" t="n">
        <v>0</v>
      </c>
      <c r="K73" t="n">
        <v>0</v>
      </c>
      <c r="L73" t="n">
        <v>0</v>
      </c>
      <c r="M73" t="n">
        <v>0</v>
      </c>
      <c r="N73" t="n">
        <v>0</v>
      </c>
      <c r="O73" t="n">
        <v>0</v>
      </c>
      <c r="P73" t="n">
        <v>0</v>
      </c>
      <c r="Q73" t="n">
        <v>0</v>
      </c>
      <c r="R73" s="2" t="inlineStr"/>
    </row>
    <row r="74" ht="15" customHeight="1">
      <c r="A74" t="inlineStr">
        <is>
          <t>A 25235-2019</t>
        </is>
      </c>
      <c r="B74" s="1" t="n">
        <v>43601</v>
      </c>
      <c r="C74" s="1" t="n">
        <v>45781</v>
      </c>
      <c r="D74" t="inlineStr">
        <is>
          <t>DALARNAS LÄN</t>
        </is>
      </c>
      <c r="E74" t="inlineStr">
        <is>
          <t>MORA</t>
        </is>
      </c>
      <c r="G74" t="n">
        <v>1.5</v>
      </c>
      <c r="H74" t="n">
        <v>0</v>
      </c>
      <c r="I74" t="n">
        <v>0</v>
      </c>
      <c r="J74" t="n">
        <v>0</v>
      </c>
      <c r="K74" t="n">
        <v>0</v>
      </c>
      <c r="L74" t="n">
        <v>0</v>
      </c>
      <c r="M74" t="n">
        <v>0</v>
      </c>
      <c r="N74" t="n">
        <v>0</v>
      </c>
      <c r="O74" t="n">
        <v>0</v>
      </c>
      <c r="P74" t="n">
        <v>0</v>
      </c>
      <c r="Q74" t="n">
        <v>0</v>
      </c>
      <c r="R74" s="2" t="inlineStr"/>
    </row>
    <row r="75" ht="15" customHeight="1">
      <c r="A75" t="inlineStr">
        <is>
          <t>A 24960-2019</t>
        </is>
      </c>
      <c r="B75" s="1" t="n">
        <v>43602</v>
      </c>
      <c r="C75" s="1" t="n">
        <v>45781</v>
      </c>
      <c r="D75" t="inlineStr">
        <is>
          <t>DALARNAS LÄN</t>
        </is>
      </c>
      <c r="E75" t="inlineStr">
        <is>
          <t>MORA</t>
        </is>
      </c>
      <c r="G75" t="n">
        <v>2.7</v>
      </c>
      <c r="H75" t="n">
        <v>0</v>
      </c>
      <c r="I75" t="n">
        <v>0</v>
      </c>
      <c r="J75" t="n">
        <v>0</v>
      </c>
      <c r="K75" t="n">
        <v>0</v>
      </c>
      <c r="L75" t="n">
        <v>0</v>
      </c>
      <c r="M75" t="n">
        <v>0</v>
      </c>
      <c r="N75" t="n">
        <v>0</v>
      </c>
      <c r="O75" t="n">
        <v>0</v>
      </c>
      <c r="P75" t="n">
        <v>0</v>
      </c>
      <c r="Q75" t="n">
        <v>0</v>
      </c>
      <c r="R75" s="2" t="inlineStr"/>
    </row>
    <row r="76" ht="15" customHeight="1">
      <c r="A76" t="inlineStr">
        <is>
          <t>A 28917-2019</t>
        </is>
      </c>
      <c r="B76" s="1" t="n">
        <v>43612</v>
      </c>
      <c r="C76" s="1" t="n">
        <v>45781</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26405-2019</t>
        </is>
      </c>
      <c r="B77" s="1" t="n">
        <v>43612</v>
      </c>
      <c r="C77" s="1" t="n">
        <v>45781</v>
      </c>
      <c r="D77" t="inlineStr">
        <is>
          <t>DALARNAS LÄN</t>
        </is>
      </c>
      <c r="E77" t="inlineStr">
        <is>
          <t>MORA</t>
        </is>
      </c>
      <c r="G77" t="n">
        <v>3.2</v>
      </c>
      <c r="H77" t="n">
        <v>0</v>
      </c>
      <c r="I77" t="n">
        <v>0</v>
      </c>
      <c r="J77" t="n">
        <v>0</v>
      </c>
      <c r="K77" t="n">
        <v>0</v>
      </c>
      <c r="L77" t="n">
        <v>0</v>
      </c>
      <c r="M77" t="n">
        <v>0</v>
      </c>
      <c r="N77" t="n">
        <v>0</v>
      </c>
      <c r="O77" t="n">
        <v>0</v>
      </c>
      <c r="P77" t="n">
        <v>0</v>
      </c>
      <c r="Q77" t="n">
        <v>0</v>
      </c>
      <c r="R77" s="2" t="inlineStr"/>
    </row>
    <row r="78" ht="15" customHeight="1">
      <c r="A78" t="inlineStr">
        <is>
          <t>A 29231-2019</t>
        </is>
      </c>
      <c r="B78" s="1" t="n">
        <v>43623</v>
      </c>
      <c r="C78" s="1" t="n">
        <v>45781</v>
      </c>
      <c r="D78" t="inlineStr">
        <is>
          <t>DALARNAS LÄN</t>
        </is>
      </c>
      <c r="E78" t="inlineStr">
        <is>
          <t>MORA</t>
        </is>
      </c>
      <c r="G78" t="n">
        <v>24.2</v>
      </c>
      <c r="H78" t="n">
        <v>0</v>
      </c>
      <c r="I78" t="n">
        <v>0</v>
      </c>
      <c r="J78" t="n">
        <v>0</v>
      </c>
      <c r="K78" t="n">
        <v>0</v>
      </c>
      <c r="L78" t="n">
        <v>0</v>
      </c>
      <c r="M78" t="n">
        <v>0</v>
      </c>
      <c r="N78" t="n">
        <v>0</v>
      </c>
      <c r="O78" t="n">
        <v>0</v>
      </c>
      <c r="P78" t="n">
        <v>0</v>
      </c>
      <c r="Q78" t="n">
        <v>0</v>
      </c>
      <c r="R78" s="2" t="inlineStr"/>
    </row>
    <row r="79" ht="15" customHeight="1">
      <c r="A79" t="inlineStr">
        <is>
          <t>A 29370-2019</t>
        </is>
      </c>
      <c r="B79" s="1" t="n">
        <v>43629</v>
      </c>
      <c r="C79" s="1" t="n">
        <v>45781</v>
      </c>
      <c r="D79" t="inlineStr">
        <is>
          <t>DALARNAS LÄN</t>
        </is>
      </c>
      <c r="E79" t="inlineStr">
        <is>
          <t>MORA</t>
        </is>
      </c>
      <c r="G79" t="n">
        <v>2.4</v>
      </c>
      <c r="H79" t="n">
        <v>0</v>
      </c>
      <c r="I79" t="n">
        <v>0</v>
      </c>
      <c r="J79" t="n">
        <v>0</v>
      </c>
      <c r="K79" t="n">
        <v>0</v>
      </c>
      <c r="L79" t="n">
        <v>0</v>
      </c>
      <c r="M79" t="n">
        <v>0</v>
      </c>
      <c r="N79" t="n">
        <v>0</v>
      </c>
      <c r="O79" t="n">
        <v>0</v>
      </c>
      <c r="P79" t="n">
        <v>0</v>
      </c>
      <c r="Q79" t="n">
        <v>0</v>
      </c>
      <c r="R79" s="2" t="inlineStr"/>
    </row>
    <row r="80" ht="15" customHeight="1">
      <c r="A80" t="inlineStr">
        <is>
          <t>A 29395-2019</t>
        </is>
      </c>
      <c r="B80" s="1" t="n">
        <v>43629</v>
      </c>
      <c r="C80" s="1" t="n">
        <v>45781</v>
      </c>
      <c r="D80" t="inlineStr">
        <is>
          <t>DALARNAS LÄN</t>
        </is>
      </c>
      <c r="E80" t="inlineStr">
        <is>
          <t>MORA</t>
        </is>
      </c>
      <c r="G80" t="n">
        <v>1.2</v>
      </c>
      <c r="H80" t="n">
        <v>0</v>
      </c>
      <c r="I80" t="n">
        <v>0</v>
      </c>
      <c r="J80" t="n">
        <v>0</v>
      </c>
      <c r="K80" t="n">
        <v>0</v>
      </c>
      <c r="L80" t="n">
        <v>0</v>
      </c>
      <c r="M80" t="n">
        <v>0</v>
      </c>
      <c r="N80" t="n">
        <v>0</v>
      </c>
      <c r="O80" t="n">
        <v>0</v>
      </c>
      <c r="P80" t="n">
        <v>0</v>
      </c>
      <c r="Q80" t="n">
        <v>0</v>
      </c>
      <c r="R80" s="2" t="inlineStr"/>
    </row>
    <row r="81" ht="15" customHeight="1">
      <c r="A81" t="inlineStr">
        <is>
          <t>A 30487-2019</t>
        </is>
      </c>
      <c r="B81" s="1" t="n">
        <v>43635</v>
      </c>
      <c r="C81" s="1" t="n">
        <v>45781</v>
      </c>
      <c r="D81" t="inlineStr">
        <is>
          <t>DALARNAS LÄN</t>
        </is>
      </c>
      <c r="E81" t="inlineStr">
        <is>
          <t>MORA</t>
        </is>
      </c>
      <c r="G81" t="n">
        <v>11.5</v>
      </c>
      <c r="H81" t="n">
        <v>0</v>
      </c>
      <c r="I81" t="n">
        <v>0</v>
      </c>
      <c r="J81" t="n">
        <v>0</v>
      </c>
      <c r="K81" t="n">
        <v>0</v>
      </c>
      <c r="L81" t="n">
        <v>0</v>
      </c>
      <c r="M81" t="n">
        <v>0</v>
      </c>
      <c r="N81" t="n">
        <v>0</v>
      </c>
      <c r="O81" t="n">
        <v>0</v>
      </c>
      <c r="P81" t="n">
        <v>0</v>
      </c>
      <c r="Q81" t="n">
        <v>0</v>
      </c>
      <c r="R81" s="2" t="inlineStr"/>
    </row>
    <row r="82" ht="15" customHeight="1">
      <c r="A82" t="inlineStr">
        <is>
          <t>A 30558-2019</t>
        </is>
      </c>
      <c r="B82" s="1" t="n">
        <v>43635</v>
      </c>
      <c r="C82" s="1" t="n">
        <v>45781</v>
      </c>
      <c r="D82" t="inlineStr">
        <is>
          <t>DALARNAS LÄN</t>
        </is>
      </c>
      <c r="E82" t="inlineStr">
        <is>
          <t>MORA</t>
        </is>
      </c>
      <c r="G82" t="n">
        <v>0.8</v>
      </c>
      <c r="H82" t="n">
        <v>0</v>
      </c>
      <c r="I82" t="n">
        <v>0</v>
      </c>
      <c r="J82" t="n">
        <v>0</v>
      </c>
      <c r="K82" t="n">
        <v>0</v>
      </c>
      <c r="L82" t="n">
        <v>0</v>
      </c>
      <c r="M82" t="n">
        <v>0</v>
      </c>
      <c r="N82" t="n">
        <v>0</v>
      </c>
      <c r="O82" t="n">
        <v>0</v>
      </c>
      <c r="P82" t="n">
        <v>0</v>
      </c>
      <c r="Q82" t="n">
        <v>0</v>
      </c>
      <c r="R82" s="2" t="inlineStr"/>
    </row>
    <row r="83" ht="15" customHeight="1">
      <c r="A83" t="inlineStr">
        <is>
          <t>A 30585-2019</t>
        </is>
      </c>
      <c r="B83" s="1" t="n">
        <v>43635</v>
      </c>
      <c r="C83" s="1" t="n">
        <v>45781</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30665-2019</t>
        </is>
      </c>
      <c r="B84" s="1" t="n">
        <v>43636</v>
      </c>
      <c r="C84" s="1" t="n">
        <v>45781</v>
      </c>
      <c r="D84" t="inlineStr">
        <is>
          <t>DALARNAS LÄN</t>
        </is>
      </c>
      <c r="E84" t="inlineStr">
        <is>
          <t>MORA</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30674-2019</t>
        </is>
      </c>
      <c r="B85" s="1" t="n">
        <v>43636</v>
      </c>
      <c r="C85" s="1" t="n">
        <v>45781</v>
      </c>
      <c r="D85" t="inlineStr">
        <is>
          <t>DALARNAS LÄN</t>
        </is>
      </c>
      <c r="E85" t="inlineStr">
        <is>
          <t>MORA</t>
        </is>
      </c>
      <c r="F85" t="inlineStr">
        <is>
          <t>Kyrkan</t>
        </is>
      </c>
      <c r="G85" t="n">
        <v>1.4</v>
      </c>
      <c r="H85" t="n">
        <v>0</v>
      </c>
      <c r="I85" t="n">
        <v>0</v>
      </c>
      <c r="J85" t="n">
        <v>0</v>
      </c>
      <c r="K85" t="n">
        <v>0</v>
      </c>
      <c r="L85" t="n">
        <v>0</v>
      </c>
      <c r="M85" t="n">
        <v>0</v>
      </c>
      <c r="N85" t="n">
        <v>0</v>
      </c>
      <c r="O85" t="n">
        <v>0</v>
      </c>
      <c r="P85" t="n">
        <v>0</v>
      </c>
      <c r="Q85" t="n">
        <v>0</v>
      </c>
      <c r="R85" s="2" t="inlineStr"/>
    </row>
    <row r="86" ht="15" customHeight="1">
      <c r="A86" t="inlineStr">
        <is>
          <t>A 31007-2019</t>
        </is>
      </c>
      <c r="B86" s="1" t="n">
        <v>43640</v>
      </c>
      <c r="C86" s="1" t="n">
        <v>45781</v>
      </c>
      <c r="D86" t="inlineStr">
        <is>
          <t>DALARNAS LÄN</t>
        </is>
      </c>
      <c r="E86" t="inlineStr">
        <is>
          <t>MORA</t>
        </is>
      </c>
      <c r="G86" t="n">
        <v>15.2</v>
      </c>
      <c r="H86" t="n">
        <v>0</v>
      </c>
      <c r="I86" t="n">
        <v>0</v>
      </c>
      <c r="J86" t="n">
        <v>0</v>
      </c>
      <c r="K86" t="n">
        <v>0</v>
      </c>
      <c r="L86" t="n">
        <v>0</v>
      </c>
      <c r="M86" t="n">
        <v>0</v>
      </c>
      <c r="N86" t="n">
        <v>0</v>
      </c>
      <c r="O86" t="n">
        <v>0</v>
      </c>
      <c r="P86" t="n">
        <v>0</v>
      </c>
      <c r="Q86" t="n">
        <v>0</v>
      </c>
      <c r="R86" s="2" t="inlineStr"/>
    </row>
    <row r="87" ht="15" customHeight="1">
      <c r="A87" t="inlineStr">
        <is>
          <t>A 31786-2019</t>
        </is>
      </c>
      <c r="B87" s="1" t="n">
        <v>43642</v>
      </c>
      <c r="C87" s="1" t="n">
        <v>45781</v>
      </c>
      <c r="D87" t="inlineStr">
        <is>
          <t>DALARNAS LÄN</t>
        </is>
      </c>
      <c r="E87" t="inlineStr">
        <is>
          <t>MORA</t>
        </is>
      </c>
      <c r="F87" t="inlineStr">
        <is>
          <t>Bergvik skog väst AB</t>
        </is>
      </c>
      <c r="G87" t="n">
        <v>2.9</v>
      </c>
      <c r="H87" t="n">
        <v>0</v>
      </c>
      <c r="I87" t="n">
        <v>0</v>
      </c>
      <c r="J87" t="n">
        <v>0</v>
      </c>
      <c r="K87" t="n">
        <v>0</v>
      </c>
      <c r="L87" t="n">
        <v>0</v>
      </c>
      <c r="M87" t="n">
        <v>0</v>
      </c>
      <c r="N87" t="n">
        <v>0</v>
      </c>
      <c r="O87" t="n">
        <v>0</v>
      </c>
      <c r="P87" t="n">
        <v>0</v>
      </c>
      <c r="Q87" t="n">
        <v>0</v>
      </c>
      <c r="R87" s="2" t="inlineStr"/>
    </row>
    <row r="88" ht="15" customHeight="1">
      <c r="A88" t="inlineStr">
        <is>
          <t>A 32085-2019</t>
        </is>
      </c>
      <c r="B88" s="1" t="n">
        <v>43643</v>
      </c>
      <c r="C88" s="1" t="n">
        <v>45781</v>
      </c>
      <c r="D88" t="inlineStr">
        <is>
          <t>DALARNAS LÄN</t>
        </is>
      </c>
      <c r="E88" t="inlineStr">
        <is>
          <t>MORA</t>
        </is>
      </c>
      <c r="G88" t="n">
        <v>4.6</v>
      </c>
      <c r="H88" t="n">
        <v>0</v>
      </c>
      <c r="I88" t="n">
        <v>0</v>
      </c>
      <c r="J88" t="n">
        <v>0</v>
      </c>
      <c r="K88" t="n">
        <v>0</v>
      </c>
      <c r="L88" t="n">
        <v>0</v>
      </c>
      <c r="M88" t="n">
        <v>0</v>
      </c>
      <c r="N88" t="n">
        <v>0</v>
      </c>
      <c r="O88" t="n">
        <v>0</v>
      </c>
      <c r="P88" t="n">
        <v>0</v>
      </c>
      <c r="Q88" t="n">
        <v>0</v>
      </c>
      <c r="R88" s="2" t="inlineStr"/>
    </row>
    <row r="89" ht="15" customHeight="1">
      <c r="A89" t="inlineStr">
        <is>
          <t>A 33184-2019</t>
        </is>
      </c>
      <c r="B89" s="1" t="n">
        <v>43649</v>
      </c>
      <c r="C89" s="1" t="n">
        <v>45781</v>
      </c>
      <c r="D89" t="inlineStr">
        <is>
          <t>DALARNAS LÄN</t>
        </is>
      </c>
      <c r="E89" t="inlineStr">
        <is>
          <t>MORA</t>
        </is>
      </c>
      <c r="G89" t="n">
        <v>8.1</v>
      </c>
      <c r="H89" t="n">
        <v>0</v>
      </c>
      <c r="I89" t="n">
        <v>0</v>
      </c>
      <c r="J89" t="n">
        <v>0</v>
      </c>
      <c r="K89" t="n">
        <v>0</v>
      </c>
      <c r="L89" t="n">
        <v>0</v>
      </c>
      <c r="M89" t="n">
        <v>0</v>
      </c>
      <c r="N89" t="n">
        <v>0</v>
      </c>
      <c r="O89" t="n">
        <v>0</v>
      </c>
      <c r="P89" t="n">
        <v>0</v>
      </c>
      <c r="Q89" t="n">
        <v>0</v>
      </c>
      <c r="R89" s="2" t="inlineStr"/>
    </row>
    <row r="90" ht="15" customHeight="1">
      <c r="A90" t="inlineStr">
        <is>
          <t>A 33187-2019</t>
        </is>
      </c>
      <c r="B90" s="1" t="n">
        <v>43649</v>
      </c>
      <c r="C90" s="1" t="n">
        <v>45781</v>
      </c>
      <c r="D90" t="inlineStr">
        <is>
          <t>DALARNAS LÄN</t>
        </is>
      </c>
      <c r="E90" t="inlineStr">
        <is>
          <t>MORA</t>
        </is>
      </c>
      <c r="G90" t="n">
        <v>7.1</v>
      </c>
      <c r="H90" t="n">
        <v>0</v>
      </c>
      <c r="I90" t="n">
        <v>0</v>
      </c>
      <c r="J90" t="n">
        <v>0</v>
      </c>
      <c r="K90" t="n">
        <v>0</v>
      </c>
      <c r="L90" t="n">
        <v>0</v>
      </c>
      <c r="M90" t="n">
        <v>0</v>
      </c>
      <c r="N90" t="n">
        <v>0</v>
      </c>
      <c r="O90" t="n">
        <v>0</v>
      </c>
      <c r="P90" t="n">
        <v>0</v>
      </c>
      <c r="Q90" t="n">
        <v>0</v>
      </c>
      <c r="R90" s="2" t="inlineStr"/>
    </row>
    <row r="91" ht="15" customHeight="1">
      <c r="A91" t="inlineStr">
        <is>
          <t>A 33188-2019</t>
        </is>
      </c>
      <c r="B91" s="1" t="n">
        <v>43649</v>
      </c>
      <c r="C91" s="1" t="n">
        <v>45781</v>
      </c>
      <c r="D91" t="inlineStr">
        <is>
          <t>DALARNAS LÄN</t>
        </is>
      </c>
      <c r="E91" t="inlineStr">
        <is>
          <t>MORA</t>
        </is>
      </c>
      <c r="G91" t="n">
        <v>3.9</v>
      </c>
      <c r="H91" t="n">
        <v>0</v>
      </c>
      <c r="I91" t="n">
        <v>0</v>
      </c>
      <c r="J91" t="n">
        <v>0</v>
      </c>
      <c r="K91" t="n">
        <v>0</v>
      </c>
      <c r="L91" t="n">
        <v>0</v>
      </c>
      <c r="M91" t="n">
        <v>0</v>
      </c>
      <c r="N91" t="n">
        <v>0</v>
      </c>
      <c r="O91" t="n">
        <v>0</v>
      </c>
      <c r="P91" t="n">
        <v>0</v>
      </c>
      <c r="Q91" t="n">
        <v>0</v>
      </c>
      <c r="R91" s="2" t="inlineStr"/>
    </row>
    <row r="92" ht="15" customHeight="1">
      <c r="A92" t="inlineStr">
        <is>
          <t>A 33183-2019</t>
        </is>
      </c>
      <c r="B92" s="1" t="n">
        <v>43649</v>
      </c>
      <c r="C92" s="1" t="n">
        <v>45781</v>
      </c>
      <c r="D92" t="inlineStr">
        <is>
          <t>DALARNAS LÄN</t>
        </is>
      </c>
      <c r="E92" t="inlineStr">
        <is>
          <t>MORA</t>
        </is>
      </c>
      <c r="G92" t="n">
        <v>20.1</v>
      </c>
      <c r="H92" t="n">
        <v>0</v>
      </c>
      <c r="I92" t="n">
        <v>0</v>
      </c>
      <c r="J92" t="n">
        <v>0</v>
      </c>
      <c r="K92" t="n">
        <v>0</v>
      </c>
      <c r="L92" t="n">
        <v>0</v>
      </c>
      <c r="M92" t="n">
        <v>0</v>
      </c>
      <c r="N92" t="n">
        <v>0</v>
      </c>
      <c r="O92" t="n">
        <v>0</v>
      </c>
      <c r="P92" t="n">
        <v>0</v>
      </c>
      <c r="Q92" t="n">
        <v>0</v>
      </c>
      <c r="R92" s="2" t="inlineStr"/>
    </row>
    <row r="93" ht="15" customHeight="1">
      <c r="A93" t="inlineStr">
        <is>
          <t>A 33318-2019</t>
        </is>
      </c>
      <c r="B93" s="1" t="n">
        <v>43650</v>
      </c>
      <c r="C93" s="1" t="n">
        <v>45781</v>
      </c>
      <c r="D93" t="inlineStr">
        <is>
          <t>DALARNAS LÄN</t>
        </is>
      </c>
      <c r="E93" t="inlineStr">
        <is>
          <t>MORA</t>
        </is>
      </c>
      <c r="G93" t="n">
        <v>11.8</v>
      </c>
      <c r="H93" t="n">
        <v>0</v>
      </c>
      <c r="I93" t="n">
        <v>0</v>
      </c>
      <c r="J93" t="n">
        <v>0</v>
      </c>
      <c r="K93" t="n">
        <v>0</v>
      </c>
      <c r="L93" t="n">
        <v>0</v>
      </c>
      <c r="M93" t="n">
        <v>0</v>
      </c>
      <c r="N93" t="n">
        <v>0</v>
      </c>
      <c r="O93" t="n">
        <v>0</v>
      </c>
      <c r="P93" t="n">
        <v>0</v>
      </c>
      <c r="Q93" t="n">
        <v>0</v>
      </c>
      <c r="R93" s="2" t="inlineStr"/>
    </row>
    <row r="94" ht="15" customHeight="1">
      <c r="A94" t="inlineStr">
        <is>
          <t>A 35360-2019</t>
        </is>
      </c>
      <c r="B94" s="1" t="n">
        <v>43651</v>
      </c>
      <c r="C94" s="1" t="n">
        <v>45781</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34330-2019</t>
        </is>
      </c>
      <c r="B95" s="1" t="n">
        <v>43656</v>
      </c>
      <c r="C95" s="1" t="n">
        <v>45781</v>
      </c>
      <c r="D95" t="inlineStr">
        <is>
          <t>DALARNAS LÄN</t>
        </is>
      </c>
      <c r="E95" t="inlineStr">
        <is>
          <t>MORA</t>
        </is>
      </c>
      <c r="G95" t="n">
        <v>2.6</v>
      </c>
      <c r="H95" t="n">
        <v>0</v>
      </c>
      <c r="I95" t="n">
        <v>0</v>
      </c>
      <c r="J95" t="n">
        <v>0</v>
      </c>
      <c r="K95" t="n">
        <v>0</v>
      </c>
      <c r="L95" t="n">
        <v>0</v>
      </c>
      <c r="M95" t="n">
        <v>0</v>
      </c>
      <c r="N95" t="n">
        <v>0</v>
      </c>
      <c r="O95" t="n">
        <v>0</v>
      </c>
      <c r="P95" t="n">
        <v>0</v>
      </c>
      <c r="Q95" t="n">
        <v>0</v>
      </c>
      <c r="R95" s="2" t="inlineStr"/>
    </row>
    <row r="96" ht="15" customHeight="1">
      <c r="A96" t="inlineStr">
        <is>
          <t>A 36275-2019</t>
        </is>
      </c>
      <c r="B96" s="1" t="n">
        <v>43661</v>
      </c>
      <c r="C96" s="1" t="n">
        <v>45781</v>
      </c>
      <c r="D96" t="inlineStr">
        <is>
          <t>DALARNAS LÄN</t>
        </is>
      </c>
      <c r="E96" t="inlineStr">
        <is>
          <t>MORA</t>
        </is>
      </c>
      <c r="G96" t="n">
        <v>7.3</v>
      </c>
      <c r="H96" t="n">
        <v>0</v>
      </c>
      <c r="I96" t="n">
        <v>0</v>
      </c>
      <c r="J96" t="n">
        <v>0</v>
      </c>
      <c r="K96" t="n">
        <v>0</v>
      </c>
      <c r="L96" t="n">
        <v>0</v>
      </c>
      <c r="M96" t="n">
        <v>0</v>
      </c>
      <c r="N96" t="n">
        <v>0</v>
      </c>
      <c r="O96" t="n">
        <v>0</v>
      </c>
      <c r="P96" t="n">
        <v>0</v>
      </c>
      <c r="Q96" t="n">
        <v>0</v>
      </c>
      <c r="R96" s="2" t="inlineStr"/>
    </row>
    <row r="97" ht="15" customHeight="1">
      <c r="A97" t="inlineStr">
        <is>
          <t>A 36440-2019</t>
        </is>
      </c>
      <c r="B97" s="1" t="n">
        <v>43664</v>
      </c>
      <c r="C97" s="1" t="n">
        <v>45781</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37801-2019</t>
        </is>
      </c>
      <c r="B98" s="1" t="n">
        <v>43675</v>
      </c>
      <c r="C98" s="1" t="n">
        <v>45781</v>
      </c>
      <c r="D98" t="inlineStr">
        <is>
          <t>DALARNAS LÄN</t>
        </is>
      </c>
      <c r="E98" t="inlineStr">
        <is>
          <t>MORA</t>
        </is>
      </c>
      <c r="F98" t="inlineStr">
        <is>
          <t>Allmännings- och besparingsskogar</t>
        </is>
      </c>
      <c r="G98" t="n">
        <v>6.2</v>
      </c>
      <c r="H98" t="n">
        <v>0</v>
      </c>
      <c r="I98" t="n">
        <v>0</v>
      </c>
      <c r="J98" t="n">
        <v>0</v>
      </c>
      <c r="K98" t="n">
        <v>0</v>
      </c>
      <c r="L98" t="n">
        <v>0</v>
      </c>
      <c r="M98" t="n">
        <v>0</v>
      </c>
      <c r="N98" t="n">
        <v>0</v>
      </c>
      <c r="O98" t="n">
        <v>0</v>
      </c>
      <c r="P98" t="n">
        <v>0</v>
      </c>
      <c r="Q98" t="n">
        <v>0</v>
      </c>
      <c r="R98" s="2" t="inlineStr"/>
    </row>
    <row r="99" ht="15" customHeight="1">
      <c r="A99" t="inlineStr">
        <is>
          <t>A 37816-2019</t>
        </is>
      </c>
      <c r="B99" s="1" t="n">
        <v>43675</v>
      </c>
      <c r="C99" s="1" t="n">
        <v>45781</v>
      </c>
      <c r="D99" t="inlineStr">
        <is>
          <t>DALARNAS LÄN</t>
        </is>
      </c>
      <c r="E99" t="inlineStr">
        <is>
          <t>MORA</t>
        </is>
      </c>
      <c r="F99" t="inlineStr">
        <is>
          <t>Allmännings- och besparingsskogar</t>
        </is>
      </c>
      <c r="G99" t="n">
        <v>29.9</v>
      </c>
      <c r="H99" t="n">
        <v>0</v>
      </c>
      <c r="I99" t="n">
        <v>0</v>
      </c>
      <c r="J99" t="n">
        <v>0</v>
      </c>
      <c r="K99" t="n">
        <v>0</v>
      </c>
      <c r="L99" t="n">
        <v>0</v>
      </c>
      <c r="M99" t="n">
        <v>0</v>
      </c>
      <c r="N99" t="n">
        <v>0</v>
      </c>
      <c r="O99" t="n">
        <v>0</v>
      </c>
      <c r="P99" t="n">
        <v>0</v>
      </c>
      <c r="Q99" t="n">
        <v>0</v>
      </c>
      <c r="R99" s="2" t="inlineStr"/>
    </row>
    <row r="100" ht="15" customHeight="1">
      <c r="A100" t="inlineStr">
        <is>
          <t>A 36991-2019</t>
        </is>
      </c>
      <c r="B100" s="1" t="n">
        <v>43676</v>
      </c>
      <c r="C100" s="1" t="n">
        <v>45781</v>
      </c>
      <c r="D100" t="inlineStr">
        <is>
          <t>DALARNAS LÄN</t>
        </is>
      </c>
      <c r="E100" t="inlineStr">
        <is>
          <t>MORA</t>
        </is>
      </c>
      <c r="G100" t="n">
        <v>2.7</v>
      </c>
      <c r="H100" t="n">
        <v>0</v>
      </c>
      <c r="I100" t="n">
        <v>0</v>
      </c>
      <c r="J100" t="n">
        <v>0</v>
      </c>
      <c r="K100" t="n">
        <v>0</v>
      </c>
      <c r="L100" t="n">
        <v>0</v>
      </c>
      <c r="M100" t="n">
        <v>0</v>
      </c>
      <c r="N100" t="n">
        <v>0</v>
      </c>
      <c r="O100" t="n">
        <v>0</v>
      </c>
      <c r="P100" t="n">
        <v>0</v>
      </c>
      <c r="Q100" t="n">
        <v>0</v>
      </c>
      <c r="R100" s="2" t="inlineStr"/>
    </row>
    <row r="101" ht="15" customHeight="1">
      <c r="A101" t="inlineStr">
        <is>
          <t>A 38821-2019</t>
        </is>
      </c>
      <c r="B101" s="1" t="n">
        <v>43682</v>
      </c>
      <c r="C101" s="1" t="n">
        <v>45781</v>
      </c>
      <c r="D101" t="inlineStr">
        <is>
          <t>DALARNAS LÄN</t>
        </is>
      </c>
      <c r="E101" t="inlineStr">
        <is>
          <t>MORA</t>
        </is>
      </c>
      <c r="F101" t="inlineStr">
        <is>
          <t>Allmännings- och besparingsskogar</t>
        </is>
      </c>
      <c r="G101" t="n">
        <v>7.1</v>
      </c>
      <c r="H101" t="n">
        <v>0</v>
      </c>
      <c r="I101" t="n">
        <v>0</v>
      </c>
      <c r="J101" t="n">
        <v>0</v>
      </c>
      <c r="K101" t="n">
        <v>0</v>
      </c>
      <c r="L101" t="n">
        <v>0</v>
      </c>
      <c r="M101" t="n">
        <v>0</v>
      </c>
      <c r="N101" t="n">
        <v>0</v>
      </c>
      <c r="O101" t="n">
        <v>0</v>
      </c>
      <c r="P101" t="n">
        <v>0</v>
      </c>
      <c r="Q101" t="n">
        <v>0</v>
      </c>
      <c r="R101" s="2" t="inlineStr"/>
    </row>
    <row r="102" ht="15" customHeight="1">
      <c r="A102" t="inlineStr">
        <is>
          <t>A 38514-2019</t>
        </is>
      </c>
      <c r="B102" s="1" t="n">
        <v>43685</v>
      </c>
      <c r="C102" s="1" t="n">
        <v>45781</v>
      </c>
      <c r="D102" t="inlineStr">
        <is>
          <t>DALARNAS LÄN</t>
        </is>
      </c>
      <c r="E102" t="inlineStr">
        <is>
          <t>MORA</t>
        </is>
      </c>
      <c r="F102" t="inlineStr">
        <is>
          <t>Bergvik skog öst AB</t>
        </is>
      </c>
      <c r="G102" t="n">
        <v>7.4</v>
      </c>
      <c r="H102" t="n">
        <v>0</v>
      </c>
      <c r="I102" t="n">
        <v>0</v>
      </c>
      <c r="J102" t="n">
        <v>0</v>
      </c>
      <c r="K102" t="n">
        <v>0</v>
      </c>
      <c r="L102" t="n">
        <v>0</v>
      </c>
      <c r="M102" t="n">
        <v>0</v>
      </c>
      <c r="N102" t="n">
        <v>0</v>
      </c>
      <c r="O102" t="n">
        <v>0</v>
      </c>
      <c r="P102" t="n">
        <v>0</v>
      </c>
      <c r="Q102" t="n">
        <v>0</v>
      </c>
      <c r="R102" s="2" t="inlineStr"/>
    </row>
    <row r="103" ht="15" customHeight="1">
      <c r="A103" t="inlineStr">
        <is>
          <t>A 39809-2019</t>
        </is>
      </c>
      <c r="B103" s="1" t="n">
        <v>43692</v>
      </c>
      <c r="C103" s="1" t="n">
        <v>45781</v>
      </c>
      <c r="D103" t="inlineStr">
        <is>
          <t>DALARNAS LÄN</t>
        </is>
      </c>
      <c r="E103" t="inlineStr">
        <is>
          <t>MORA</t>
        </is>
      </c>
      <c r="F103" t="inlineStr">
        <is>
          <t>Bergvik skog öst AB</t>
        </is>
      </c>
      <c r="G103" t="n">
        <v>1.4</v>
      </c>
      <c r="H103" t="n">
        <v>0</v>
      </c>
      <c r="I103" t="n">
        <v>0</v>
      </c>
      <c r="J103" t="n">
        <v>0</v>
      </c>
      <c r="K103" t="n">
        <v>0</v>
      </c>
      <c r="L103" t="n">
        <v>0</v>
      </c>
      <c r="M103" t="n">
        <v>0</v>
      </c>
      <c r="N103" t="n">
        <v>0</v>
      </c>
      <c r="O103" t="n">
        <v>0</v>
      </c>
      <c r="P103" t="n">
        <v>0</v>
      </c>
      <c r="Q103" t="n">
        <v>0</v>
      </c>
      <c r="R103" s="2" t="inlineStr"/>
    </row>
    <row r="104" ht="15" customHeight="1">
      <c r="A104" t="inlineStr">
        <is>
          <t>A 39811-2019</t>
        </is>
      </c>
      <c r="B104" s="1" t="n">
        <v>43692</v>
      </c>
      <c r="C104" s="1" t="n">
        <v>45781</v>
      </c>
      <c r="D104" t="inlineStr">
        <is>
          <t>DALARNAS LÄN</t>
        </is>
      </c>
      <c r="E104" t="inlineStr">
        <is>
          <t>MORA</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40910-2019</t>
        </is>
      </c>
      <c r="B105" s="1" t="n">
        <v>43693</v>
      </c>
      <c r="C105" s="1" t="n">
        <v>45781</v>
      </c>
      <c r="D105" t="inlineStr">
        <is>
          <t>DALARNAS LÄN</t>
        </is>
      </c>
      <c r="E105" t="inlineStr">
        <is>
          <t>MORA</t>
        </is>
      </c>
      <c r="G105" t="n">
        <v>4.2</v>
      </c>
      <c r="H105" t="n">
        <v>0</v>
      </c>
      <c r="I105" t="n">
        <v>0</v>
      </c>
      <c r="J105" t="n">
        <v>0</v>
      </c>
      <c r="K105" t="n">
        <v>0</v>
      </c>
      <c r="L105" t="n">
        <v>0</v>
      </c>
      <c r="M105" t="n">
        <v>0</v>
      </c>
      <c r="N105" t="n">
        <v>0</v>
      </c>
      <c r="O105" t="n">
        <v>0</v>
      </c>
      <c r="P105" t="n">
        <v>0</v>
      </c>
      <c r="Q105" t="n">
        <v>0</v>
      </c>
      <c r="R105" s="2" t="inlineStr"/>
    </row>
    <row r="106" ht="15" customHeight="1">
      <c r="A106" t="inlineStr">
        <is>
          <t>A 42530-2019</t>
        </is>
      </c>
      <c r="B106" s="1" t="n">
        <v>43698</v>
      </c>
      <c r="C106" s="1" t="n">
        <v>45781</v>
      </c>
      <c r="D106" t="inlineStr">
        <is>
          <t>DALARNAS LÄN</t>
        </is>
      </c>
      <c r="E106" t="inlineStr">
        <is>
          <t>MORA</t>
        </is>
      </c>
      <c r="G106" t="n">
        <v>4.7</v>
      </c>
      <c r="H106" t="n">
        <v>0</v>
      </c>
      <c r="I106" t="n">
        <v>0</v>
      </c>
      <c r="J106" t="n">
        <v>0</v>
      </c>
      <c r="K106" t="n">
        <v>0</v>
      </c>
      <c r="L106" t="n">
        <v>0</v>
      </c>
      <c r="M106" t="n">
        <v>0</v>
      </c>
      <c r="N106" t="n">
        <v>0</v>
      </c>
      <c r="O106" t="n">
        <v>0</v>
      </c>
      <c r="P106" t="n">
        <v>0</v>
      </c>
      <c r="Q106" t="n">
        <v>0</v>
      </c>
      <c r="R106" s="2" t="inlineStr"/>
    </row>
    <row r="107" ht="15" customHeight="1">
      <c r="A107" t="inlineStr">
        <is>
          <t>A 43396-2019</t>
        </is>
      </c>
      <c r="B107" s="1" t="n">
        <v>43703</v>
      </c>
      <c r="C107" s="1" t="n">
        <v>45781</v>
      </c>
      <c r="D107" t="inlineStr">
        <is>
          <t>DALARNAS LÄN</t>
        </is>
      </c>
      <c r="E107" t="inlineStr">
        <is>
          <t>MORA</t>
        </is>
      </c>
      <c r="G107" t="n">
        <v>1.1</v>
      </c>
      <c r="H107" t="n">
        <v>0</v>
      </c>
      <c r="I107" t="n">
        <v>0</v>
      </c>
      <c r="J107" t="n">
        <v>0</v>
      </c>
      <c r="K107" t="n">
        <v>0</v>
      </c>
      <c r="L107" t="n">
        <v>0</v>
      </c>
      <c r="M107" t="n">
        <v>0</v>
      </c>
      <c r="N107" t="n">
        <v>0</v>
      </c>
      <c r="O107" t="n">
        <v>0</v>
      </c>
      <c r="P107" t="n">
        <v>0</v>
      </c>
      <c r="Q107" t="n">
        <v>0</v>
      </c>
      <c r="R107" s="2" t="inlineStr"/>
    </row>
    <row r="108" ht="15" customHeight="1">
      <c r="A108" t="inlineStr">
        <is>
          <t>A 43744-2019</t>
        </is>
      </c>
      <c r="B108" s="1" t="n">
        <v>43707</v>
      </c>
      <c r="C108" s="1" t="n">
        <v>45781</v>
      </c>
      <c r="D108" t="inlineStr">
        <is>
          <t>DALARNAS LÄN</t>
        </is>
      </c>
      <c r="E108" t="inlineStr">
        <is>
          <t>MORA</t>
        </is>
      </c>
      <c r="G108" t="n">
        <v>1.3</v>
      </c>
      <c r="H108" t="n">
        <v>0</v>
      </c>
      <c r="I108" t="n">
        <v>0</v>
      </c>
      <c r="J108" t="n">
        <v>0</v>
      </c>
      <c r="K108" t="n">
        <v>0</v>
      </c>
      <c r="L108" t="n">
        <v>0</v>
      </c>
      <c r="M108" t="n">
        <v>0</v>
      </c>
      <c r="N108" t="n">
        <v>0</v>
      </c>
      <c r="O108" t="n">
        <v>0</v>
      </c>
      <c r="P108" t="n">
        <v>0</v>
      </c>
      <c r="Q108" t="n">
        <v>0</v>
      </c>
      <c r="R108" s="2" t="inlineStr"/>
    </row>
    <row r="109" ht="15" customHeight="1">
      <c r="A109" t="inlineStr">
        <is>
          <t>A 43718-2019</t>
        </is>
      </c>
      <c r="B109" s="1" t="n">
        <v>43707</v>
      </c>
      <c r="C109" s="1" t="n">
        <v>45781</v>
      </c>
      <c r="D109" t="inlineStr">
        <is>
          <t>DALARNAS LÄN</t>
        </is>
      </c>
      <c r="E109" t="inlineStr">
        <is>
          <t>MORA</t>
        </is>
      </c>
      <c r="G109" t="n">
        <v>10.7</v>
      </c>
      <c r="H109" t="n">
        <v>0</v>
      </c>
      <c r="I109" t="n">
        <v>0</v>
      </c>
      <c r="J109" t="n">
        <v>0</v>
      </c>
      <c r="K109" t="n">
        <v>0</v>
      </c>
      <c r="L109" t="n">
        <v>0</v>
      </c>
      <c r="M109" t="n">
        <v>0</v>
      </c>
      <c r="N109" t="n">
        <v>0</v>
      </c>
      <c r="O109" t="n">
        <v>0</v>
      </c>
      <c r="P109" t="n">
        <v>0</v>
      </c>
      <c r="Q109" t="n">
        <v>0</v>
      </c>
      <c r="R109" s="2" t="inlineStr"/>
    </row>
    <row r="110" ht="15" customHeight="1">
      <c r="A110" t="inlineStr">
        <is>
          <t>A 44759-2019</t>
        </is>
      </c>
      <c r="B110" s="1" t="n">
        <v>43707</v>
      </c>
      <c r="C110" s="1" t="n">
        <v>45781</v>
      </c>
      <c r="D110" t="inlineStr">
        <is>
          <t>DALARNAS LÄN</t>
        </is>
      </c>
      <c r="E110" t="inlineStr">
        <is>
          <t>MORA</t>
        </is>
      </c>
      <c r="F110" t="inlineStr">
        <is>
          <t>Allmännings- och besparingsskogar</t>
        </is>
      </c>
      <c r="G110" t="n">
        <v>6.8</v>
      </c>
      <c r="H110" t="n">
        <v>0</v>
      </c>
      <c r="I110" t="n">
        <v>0</v>
      </c>
      <c r="J110" t="n">
        <v>0</v>
      </c>
      <c r="K110" t="n">
        <v>0</v>
      </c>
      <c r="L110" t="n">
        <v>0</v>
      </c>
      <c r="M110" t="n">
        <v>0</v>
      </c>
      <c r="N110" t="n">
        <v>0</v>
      </c>
      <c r="O110" t="n">
        <v>0</v>
      </c>
      <c r="P110" t="n">
        <v>0</v>
      </c>
      <c r="Q110" t="n">
        <v>0</v>
      </c>
      <c r="R110" s="2" t="inlineStr"/>
    </row>
    <row r="111" ht="15" customHeight="1">
      <c r="A111" t="inlineStr">
        <is>
          <t>A 44766-2019</t>
        </is>
      </c>
      <c r="B111" s="1" t="n">
        <v>43707</v>
      </c>
      <c r="C111" s="1" t="n">
        <v>45781</v>
      </c>
      <c r="D111" t="inlineStr">
        <is>
          <t>DALARNAS LÄN</t>
        </is>
      </c>
      <c r="E111" t="inlineStr">
        <is>
          <t>MORA</t>
        </is>
      </c>
      <c r="F111" t="inlineStr">
        <is>
          <t>Allmännings- och besparingsskogar</t>
        </is>
      </c>
      <c r="G111" t="n">
        <v>32.2</v>
      </c>
      <c r="H111" t="n">
        <v>0</v>
      </c>
      <c r="I111" t="n">
        <v>0</v>
      </c>
      <c r="J111" t="n">
        <v>0</v>
      </c>
      <c r="K111" t="n">
        <v>0</v>
      </c>
      <c r="L111" t="n">
        <v>0</v>
      </c>
      <c r="M111" t="n">
        <v>0</v>
      </c>
      <c r="N111" t="n">
        <v>0</v>
      </c>
      <c r="O111" t="n">
        <v>0</v>
      </c>
      <c r="P111" t="n">
        <v>0</v>
      </c>
      <c r="Q111" t="n">
        <v>0</v>
      </c>
      <c r="R111" s="2" t="inlineStr"/>
    </row>
    <row r="112" ht="15" customHeight="1">
      <c r="A112" t="inlineStr">
        <is>
          <t>A 45989-2019</t>
        </is>
      </c>
      <c r="B112" s="1" t="n">
        <v>43718</v>
      </c>
      <c r="C112" s="1" t="n">
        <v>45781</v>
      </c>
      <c r="D112" t="inlineStr">
        <is>
          <t>DALARNAS LÄN</t>
        </is>
      </c>
      <c r="E112" t="inlineStr">
        <is>
          <t>MORA</t>
        </is>
      </c>
      <c r="G112" t="n">
        <v>12.9</v>
      </c>
      <c r="H112" t="n">
        <v>0</v>
      </c>
      <c r="I112" t="n">
        <v>0</v>
      </c>
      <c r="J112" t="n">
        <v>0</v>
      </c>
      <c r="K112" t="n">
        <v>0</v>
      </c>
      <c r="L112" t="n">
        <v>0</v>
      </c>
      <c r="M112" t="n">
        <v>0</v>
      </c>
      <c r="N112" t="n">
        <v>0</v>
      </c>
      <c r="O112" t="n">
        <v>0</v>
      </c>
      <c r="P112" t="n">
        <v>0</v>
      </c>
      <c r="Q112" t="n">
        <v>0</v>
      </c>
      <c r="R112" s="2" t="inlineStr"/>
    </row>
    <row r="113" ht="15" customHeight="1">
      <c r="A113" t="inlineStr">
        <is>
          <t>A 46119-2019</t>
        </is>
      </c>
      <c r="B113" s="1" t="n">
        <v>43718</v>
      </c>
      <c r="C113" s="1" t="n">
        <v>45781</v>
      </c>
      <c r="D113" t="inlineStr">
        <is>
          <t>DALARNAS LÄN</t>
        </is>
      </c>
      <c r="E113" t="inlineStr">
        <is>
          <t>MORA</t>
        </is>
      </c>
      <c r="G113" t="n">
        <v>3.2</v>
      </c>
      <c r="H113" t="n">
        <v>0</v>
      </c>
      <c r="I113" t="n">
        <v>0</v>
      </c>
      <c r="J113" t="n">
        <v>0</v>
      </c>
      <c r="K113" t="n">
        <v>0</v>
      </c>
      <c r="L113" t="n">
        <v>0</v>
      </c>
      <c r="M113" t="n">
        <v>0</v>
      </c>
      <c r="N113" t="n">
        <v>0</v>
      </c>
      <c r="O113" t="n">
        <v>0</v>
      </c>
      <c r="P113" t="n">
        <v>0</v>
      </c>
      <c r="Q113" t="n">
        <v>0</v>
      </c>
      <c r="R113" s="2" t="inlineStr"/>
    </row>
    <row r="114" ht="15" customHeight="1">
      <c r="A114" t="inlineStr">
        <is>
          <t>A 46171-2019</t>
        </is>
      </c>
      <c r="B114" s="1" t="n">
        <v>43718</v>
      </c>
      <c r="C114" s="1" t="n">
        <v>45781</v>
      </c>
      <c r="D114" t="inlineStr">
        <is>
          <t>DALARNAS LÄN</t>
        </is>
      </c>
      <c r="E114" t="inlineStr">
        <is>
          <t>MORA</t>
        </is>
      </c>
      <c r="G114" t="n">
        <v>6.1</v>
      </c>
      <c r="H114" t="n">
        <v>0</v>
      </c>
      <c r="I114" t="n">
        <v>0</v>
      </c>
      <c r="J114" t="n">
        <v>0</v>
      </c>
      <c r="K114" t="n">
        <v>0</v>
      </c>
      <c r="L114" t="n">
        <v>0</v>
      </c>
      <c r="M114" t="n">
        <v>0</v>
      </c>
      <c r="N114" t="n">
        <v>0</v>
      </c>
      <c r="O114" t="n">
        <v>0</v>
      </c>
      <c r="P114" t="n">
        <v>0</v>
      </c>
      <c r="Q114" t="n">
        <v>0</v>
      </c>
      <c r="R114" s="2" t="inlineStr"/>
    </row>
    <row r="115" ht="15" customHeight="1">
      <c r="A115" t="inlineStr">
        <is>
          <t>A 47713-2019</t>
        </is>
      </c>
      <c r="B115" s="1" t="n">
        <v>43724</v>
      </c>
      <c r="C115" s="1" t="n">
        <v>45781</v>
      </c>
      <c r="D115" t="inlineStr">
        <is>
          <t>DALARNAS LÄN</t>
        </is>
      </c>
      <c r="E115" t="inlineStr">
        <is>
          <t>MORA</t>
        </is>
      </c>
      <c r="G115" t="n">
        <v>11.4</v>
      </c>
      <c r="H115" t="n">
        <v>0</v>
      </c>
      <c r="I115" t="n">
        <v>0</v>
      </c>
      <c r="J115" t="n">
        <v>0</v>
      </c>
      <c r="K115" t="n">
        <v>0</v>
      </c>
      <c r="L115" t="n">
        <v>0</v>
      </c>
      <c r="M115" t="n">
        <v>0</v>
      </c>
      <c r="N115" t="n">
        <v>0</v>
      </c>
      <c r="O115" t="n">
        <v>0</v>
      </c>
      <c r="P115" t="n">
        <v>0</v>
      </c>
      <c r="Q115" t="n">
        <v>0</v>
      </c>
      <c r="R115" s="2" t="inlineStr"/>
    </row>
    <row r="116" ht="15" customHeight="1">
      <c r="A116" t="inlineStr">
        <is>
          <t>A 49193-2019</t>
        </is>
      </c>
      <c r="B116" s="1" t="n">
        <v>43724</v>
      </c>
      <c r="C116" s="1" t="n">
        <v>45781</v>
      </c>
      <c r="D116" t="inlineStr">
        <is>
          <t>DALARNAS LÄN</t>
        </is>
      </c>
      <c r="E116" t="inlineStr">
        <is>
          <t>MORA</t>
        </is>
      </c>
      <c r="G116" t="n">
        <v>4.3</v>
      </c>
      <c r="H116" t="n">
        <v>0</v>
      </c>
      <c r="I116" t="n">
        <v>0</v>
      </c>
      <c r="J116" t="n">
        <v>0</v>
      </c>
      <c r="K116" t="n">
        <v>0</v>
      </c>
      <c r="L116" t="n">
        <v>0</v>
      </c>
      <c r="M116" t="n">
        <v>0</v>
      </c>
      <c r="N116" t="n">
        <v>0</v>
      </c>
      <c r="O116" t="n">
        <v>0</v>
      </c>
      <c r="P116" t="n">
        <v>0</v>
      </c>
      <c r="Q116" t="n">
        <v>0</v>
      </c>
      <c r="R116" s="2" t="inlineStr"/>
    </row>
    <row r="117" ht="15" customHeight="1">
      <c r="A117" t="inlineStr">
        <is>
          <t>A 48445-2019</t>
        </is>
      </c>
      <c r="B117" s="1" t="n">
        <v>43727</v>
      </c>
      <c r="C117" s="1" t="n">
        <v>45781</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48460-2019</t>
        </is>
      </c>
      <c r="B118" s="1" t="n">
        <v>43727</v>
      </c>
      <c r="C118" s="1" t="n">
        <v>45781</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49051-2019</t>
        </is>
      </c>
      <c r="B119" s="1" t="n">
        <v>43731</v>
      </c>
      <c r="C119" s="1" t="n">
        <v>45781</v>
      </c>
      <c r="D119" t="inlineStr">
        <is>
          <t>DALARNAS LÄN</t>
        </is>
      </c>
      <c r="E119" t="inlineStr">
        <is>
          <t>MORA</t>
        </is>
      </c>
      <c r="G119" t="n">
        <v>16</v>
      </c>
      <c r="H119" t="n">
        <v>0</v>
      </c>
      <c r="I119" t="n">
        <v>0</v>
      </c>
      <c r="J119" t="n">
        <v>0</v>
      </c>
      <c r="K119" t="n">
        <v>0</v>
      </c>
      <c r="L119" t="n">
        <v>0</v>
      </c>
      <c r="M119" t="n">
        <v>0</v>
      </c>
      <c r="N119" t="n">
        <v>0</v>
      </c>
      <c r="O119" t="n">
        <v>0</v>
      </c>
      <c r="P119" t="n">
        <v>0</v>
      </c>
      <c r="Q119" t="n">
        <v>0</v>
      </c>
      <c r="R119" s="2" t="inlineStr"/>
    </row>
    <row r="120" ht="15" customHeight="1">
      <c r="A120" t="inlineStr">
        <is>
          <t>A 49290-2019</t>
        </is>
      </c>
      <c r="B120" s="1" t="n">
        <v>43731</v>
      </c>
      <c r="C120" s="1" t="n">
        <v>45781</v>
      </c>
      <c r="D120" t="inlineStr">
        <is>
          <t>DALARNAS LÄN</t>
        </is>
      </c>
      <c r="E120" t="inlineStr">
        <is>
          <t>MORA</t>
        </is>
      </c>
      <c r="G120" t="n">
        <v>0.8</v>
      </c>
      <c r="H120" t="n">
        <v>0</v>
      </c>
      <c r="I120" t="n">
        <v>0</v>
      </c>
      <c r="J120" t="n">
        <v>0</v>
      </c>
      <c r="K120" t="n">
        <v>0</v>
      </c>
      <c r="L120" t="n">
        <v>0</v>
      </c>
      <c r="M120" t="n">
        <v>0</v>
      </c>
      <c r="N120" t="n">
        <v>0</v>
      </c>
      <c r="O120" t="n">
        <v>0</v>
      </c>
      <c r="P120" t="n">
        <v>0</v>
      </c>
      <c r="Q120" t="n">
        <v>0</v>
      </c>
      <c r="R120" s="2" t="inlineStr"/>
    </row>
    <row r="121" ht="15" customHeight="1">
      <c r="A121" t="inlineStr">
        <is>
          <t>A 49765-2019</t>
        </is>
      </c>
      <c r="B121" s="1" t="n">
        <v>43733</v>
      </c>
      <c r="C121" s="1" t="n">
        <v>45781</v>
      </c>
      <c r="D121" t="inlineStr">
        <is>
          <t>DALARNAS LÄN</t>
        </is>
      </c>
      <c r="E121" t="inlineStr">
        <is>
          <t>MORA</t>
        </is>
      </c>
      <c r="F121" t="inlineStr">
        <is>
          <t>Bergvik skog väst AB</t>
        </is>
      </c>
      <c r="G121" t="n">
        <v>9.6</v>
      </c>
      <c r="H121" t="n">
        <v>0</v>
      </c>
      <c r="I121" t="n">
        <v>0</v>
      </c>
      <c r="J121" t="n">
        <v>0</v>
      </c>
      <c r="K121" t="n">
        <v>0</v>
      </c>
      <c r="L121" t="n">
        <v>0</v>
      </c>
      <c r="M121" t="n">
        <v>0</v>
      </c>
      <c r="N121" t="n">
        <v>0</v>
      </c>
      <c r="O121" t="n">
        <v>0</v>
      </c>
      <c r="P121" t="n">
        <v>0</v>
      </c>
      <c r="Q121" t="n">
        <v>0</v>
      </c>
      <c r="R121" s="2" t="inlineStr"/>
    </row>
    <row r="122" ht="15" customHeight="1">
      <c r="A122" t="inlineStr">
        <is>
          <t>A 52958-2019</t>
        </is>
      </c>
      <c r="B122" s="1" t="n">
        <v>43747</v>
      </c>
      <c r="C122" s="1" t="n">
        <v>45781</v>
      </c>
      <c r="D122" t="inlineStr">
        <is>
          <t>DALARNAS LÄN</t>
        </is>
      </c>
      <c r="E122" t="inlineStr">
        <is>
          <t>MORA</t>
        </is>
      </c>
      <c r="G122" t="n">
        <v>6.8</v>
      </c>
      <c r="H122" t="n">
        <v>0</v>
      </c>
      <c r="I122" t="n">
        <v>0</v>
      </c>
      <c r="J122" t="n">
        <v>0</v>
      </c>
      <c r="K122" t="n">
        <v>0</v>
      </c>
      <c r="L122" t="n">
        <v>0</v>
      </c>
      <c r="M122" t="n">
        <v>0</v>
      </c>
      <c r="N122" t="n">
        <v>0</v>
      </c>
      <c r="O122" t="n">
        <v>0</v>
      </c>
      <c r="P122" t="n">
        <v>0</v>
      </c>
      <c r="Q122" t="n">
        <v>0</v>
      </c>
      <c r="R122" s="2" t="inlineStr"/>
    </row>
    <row r="123" ht="15" customHeight="1">
      <c r="A123" t="inlineStr">
        <is>
          <t>A 53336-2019</t>
        </is>
      </c>
      <c r="B123" s="1" t="n">
        <v>43748</v>
      </c>
      <c r="C123" s="1" t="n">
        <v>45781</v>
      </c>
      <c r="D123" t="inlineStr">
        <is>
          <t>DALARNAS LÄN</t>
        </is>
      </c>
      <c r="E123" t="inlineStr">
        <is>
          <t>MORA</t>
        </is>
      </c>
      <c r="G123" t="n">
        <v>4.4</v>
      </c>
      <c r="H123" t="n">
        <v>0</v>
      </c>
      <c r="I123" t="n">
        <v>0</v>
      </c>
      <c r="J123" t="n">
        <v>0</v>
      </c>
      <c r="K123" t="n">
        <v>0</v>
      </c>
      <c r="L123" t="n">
        <v>0</v>
      </c>
      <c r="M123" t="n">
        <v>0</v>
      </c>
      <c r="N123" t="n">
        <v>0</v>
      </c>
      <c r="O123" t="n">
        <v>0</v>
      </c>
      <c r="P123" t="n">
        <v>0</v>
      </c>
      <c r="Q123" t="n">
        <v>0</v>
      </c>
      <c r="R123" s="2" t="inlineStr"/>
    </row>
    <row r="124" ht="15" customHeight="1">
      <c r="A124" t="inlineStr">
        <is>
          <t>A 54605-2019</t>
        </is>
      </c>
      <c r="B124" s="1" t="n">
        <v>43754</v>
      </c>
      <c r="C124" s="1" t="n">
        <v>45781</v>
      </c>
      <c r="D124" t="inlineStr">
        <is>
          <t>DALARNAS LÄN</t>
        </is>
      </c>
      <c r="E124" t="inlineStr">
        <is>
          <t>MORA</t>
        </is>
      </c>
      <c r="F124" t="inlineStr">
        <is>
          <t>Övriga Aktiebolag</t>
        </is>
      </c>
      <c r="G124" t="n">
        <v>12.7</v>
      </c>
      <c r="H124" t="n">
        <v>0</v>
      </c>
      <c r="I124" t="n">
        <v>0</v>
      </c>
      <c r="J124" t="n">
        <v>0</v>
      </c>
      <c r="K124" t="n">
        <v>0</v>
      </c>
      <c r="L124" t="n">
        <v>0</v>
      </c>
      <c r="M124" t="n">
        <v>0</v>
      </c>
      <c r="N124" t="n">
        <v>0</v>
      </c>
      <c r="O124" t="n">
        <v>0</v>
      </c>
      <c r="P124" t="n">
        <v>0</v>
      </c>
      <c r="Q124" t="n">
        <v>0</v>
      </c>
      <c r="R124" s="2" t="inlineStr"/>
    </row>
    <row r="125" ht="15" customHeight="1">
      <c r="A125" t="inlineStr">
        <is>
          <t>A 56145-2019</t>
        </is>
      </c>
      <c r="B125" s="1" t="n">
        <v>43761</v>
      </c>
      <c r="C125" s="1" t="n">
        <v>45781</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57254-2019</t>
        </is>
      </c>
      <c r="B126" s="1" t="n">
        <v>43767</v>
      </c>
      <c r="C126" s="1" t="n">
        <v>45781</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57640-2019</t>
        </is>
      </c>
      <c r="B127" s="1" t="n">
        <v>43768</v>
      </c>
      <c r="C127" s="1" t="n">
        <v>45781</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57989-2019</t>
        </is>
      </c>
      <c r="B128" s="1" t="n">
        <v>43769</v>
      </c>
      <c r="C128" s="1" t="n">
        <v>45781</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57984-2019</t>
        </is>
      </c>
      <c r="B129" s="1" t="n">
        <v>43769</v>
      </c>
      <c r="C129" s="1" t="n">
        <v>45781</v>
      </c>
      <c r="D129" t="inlineStr">
        <is>
          <t>DALARNAS LÄN</t>
        </is>
      </c>
      <c r="E129" t="inlineStr">
        <is>
          <t>MORA</t>
        </is>
      </c>
      <c r="G129" t="n">
        <v>1</v>
      </c>
      <c r="H129" t="n">
        <v>0</v>
      </c>
      <c r="I129" t="n">
        <v>0</v>
      </c>
      <c r="J129" t="n">
        <v>0</v>
      </c>
      <c r="K129" t="n">
        <v>0</v>
      </c>
      <c r="L129" t="n">
        <v>0</v>
      </c>
      <c r="M129" t="n">
        <v>0</v>
      </c>
      <c r="N129" t="n">
        <v>0</v>
      </c>
      <c r="O129" t="n">
        <v>0</v>
      </c>
      <c r="P129" t="n">
        <v>0</v>
      </c>
      <c r="Q129" t="n">
        <v>0</v>
      </c>
      <c r="R129" s="2" t="inlineStr"/>
    </row>
    <row r="130" ht="15" customHeight="1">
      <c r="A130" t="inlineStr">
        <is>
          <t>A 58335-2019</t>
        </is>
      </c>
      <c r="B130" s="1" t="n">
        <v>43770</v>
      </c>
      <c r="C130" s="1" t="n">
        <v>45781</v>
      </c>
      <c r="D130" t="inlineStr">
        <is>
          <t>DALARNAS LÄN</t>
        </is>
      </c>
      <c r="E130" t="inlineStr">
        <is>
          <t>MORA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61077-2019</t>
        </is>
      </c>
      <c r="B131" s="1" t="n">
        <v>43782</v>
      </c>
      <c r="C131" s="1" t="n">
        <v>45781</v>
      </c>
      <c r="D131" t="inlineStr">
        <is>
          <t>DALARNAS LÄN</t>
        </is>
      </c>
      <c r="E131" t="inlineStr">
        <is>
          <t>MORA</t>
        </is>
      </c>
      <c r="F131" t="inlineStr">
        <is>
          <t>Bergvik skog öst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61063-2019</t>
        </is>
      </c>
      <c r="B132" s="1" t="n">
        <v>43782</v>
      </c>
      <c r="C132" s="1" t="n">
        <v>45781</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61324-2019</t>
        </is>
      </c>
      <c r="B133" s="1" t="n">
        <v>43783</v>
      </c>
      <c r="C133" s="1" t="n">
        <v>45781</v>
      </c>
      <c r="D133" t="inlineStr">
        <is>
          <t>DALARNAS LÄN</t>
        </is>
      </c>
      <c r="E133" t="inlineStr">
        <is>
          <t>MORA</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61646-2019</t>
        </is>
      </c>
      <c r="B134" s="1" t="n">
        <v>43784</v>
      </c>
      <c r="C134" s="1" t="n">
        <v>45781</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62001-2019</t>
        </is>
      </c>
      <c r="B135" s="1" t="n">
        <v>43787</v>
      </c>
      <c r="C135" s="1" t="n">
        <v>45781</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63093-2019</t>
        </is>
      </c>
      <c r="B136" s="1" t="n">
        <v>43791</v>
      </c>
      <c r="C136" s="1" t="n">
        <v>45781</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63072-2019</t>
        </is>
      </c>
      <c r="B137" s="1" t="n">
        <v>43791</v>
      </c>
      <c r="C137" s="1" t="n">
        <v>45781</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63655-2019</t>
        </is>
      </c>
      <c r="B138" s="1" t="n">
        <v>43795</v>
      </c>
      <c r="C138" s="1" t="n">
        <v>45781</v>
      </c>
      <c r="D138" t="inlineStr">
        <is>
          <t>DALARNAS LÄN</t>
        </is>
      </c>
      <c r="E138" t="inlineStr">
        <is>
          <t>MORA</t>
        </is>
      </c>
      <c r="F138" t="inlineStr">
        <is>
          <t>Bergvik skog väst AB</t>
        </is>
      </c>
      <c r="G138" t="n">
        <v>1.5</v>
      </c>
      <c r="H138" t="n">
        <v>0</v>
      </c>
      <c r="I138" t="n">
        <v>0</v>
      </c>
      <c r="J138" t="n">
        <v>0</v>
      </c>
      <c r="K138" t="n">
        <v>0</v>
      </c>
      <c r="L138" t="n">
        <v>0</v>
      </c>
      <c r="M138" t="n">
        <v>0</v>
      </c>
      <c r="N138" t="n">
        <v>0</v>
      </c>
      <c r="O138" t="n">
        <v>0</v>
      </c>
      <c r="P138" t="n">
        <v>0</v>
      </c>
      <c r="Q138" t="n">
        <v>0</v>
      </c>
      <c r="R138" s="2" t="inlineStr"/>
    </row>
    <row r="139" ht="15" customHeight="1">
      <c r="A139" t="inlineStr">
        <is>
          <t>A 65090-2019</t>
        </is>
      </c>
      <c r="B139" s="1" t="n">
        <v>43802</v>
      </c>
      <c r="C139" s="1" t="n">
        <v>45781</v>
      </c>
      <c r="D139" t="inlineStr">
        <is>
          <t>DALARNAS LÄN</t>
        </is>
      </c>
      <c r="E139" t="inlineStr">
        <is>
          <t>MORA</t>
        </is>
      </c>
      <c r="G139" t="n">
        <v>0.6</v>
      </c>
      <c r="H139" t="n">
        <v>0</v>
      </c>
      <c r="I139" t="n">
        <v>0</v>
      </c>
      <c r="J139" t="n">
        <v>0</v>
      </c>
      <c r="K139" t="n">
        <v>0</v>
      </c>
      <c r="L139" t="n">
        <v>0</v>
      </c>
      <c r="M139" t="n">
        <v>0</v>
      </c>
      <c r="N139" t="n">
        <v>0</v>
      </c>
      <c r="O139" t="n">
        <v>0</v>
      </c>
      <c r="P139" t="n">
        <v>0</v>
      </c>
      <c r="Q139" t="n">
        <v>0</v>
      </c>
      <c r="R139" s="2" t="inlineStr"/>
    </row>
    <row r="140" ht="15" customHeight="1">
      <c r="A140" t="inlineStr">
        <is>
          <t>A 65460-2019</t>
        </is>
      </c>
      <c r="B140" s="1" t="n">
        <v>43803</v>
      </c>
      <c r="C140" s="1" t="n">
        <v>45781</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65633-2019</t>
        </is>
      </c>
      <c r="B141" s="1" t="n">
        <v>43804</v>
      </c>
      <c r="C141" s="1" t="n">
        <v>45781</v>
      </c>
      <c r="D141" t="inlineStr">
        <is>
          <t>DALARNAS LÄN</t>
        </is>
      </c>
      <c r="E141" t="inlineStr">
        <is>
          <t>MORA</t>
        </is>
      </c>
      <c r="G141" t="n">
        <v>2.7</v>
      </c>
      <c r="H141" t="n">
        <v>0</v>
      </c>
      <c r="I141" t="n">
        <v>0</v>
      </c>
      <c r="J141" t="n">
        <v>0</v>
      </c>
      <c r="K141" t="n">
        <v>0</v>
      </c>
      <c r="L141" t="n">
        <v>0</v>
      </c>
      <c r="M141" t="n">
        <v>0</v>
      </c>
      <c r="N141" t="n">
        <v>0</v>
      </c>
      <c r="O141" t="n">
        <v>0</v>
      </c>
      <c r="P141" t="n">
        <v>0</v>
      </c>
      <c r="Q141" t="n">
        <v>0</v>
      </c>
      <c r="R141" s="2" t="inlineStr"/>
    </row>
    <row r="142" ht="15" customHeight="1">
      <c r="A142" t="inlineStr">
        <is>
          <t>A 66214-2019</t>
        </is>
      </c>
      <c r="B142" s="1" t="n">
        <v>43808</v>
      </c>
      <c r="C142" s="1" t="n">
        <v>45781</v>
      </c>
      <c r="D142" t="inlineStr">
        <is>
          <t>DALARNAS LÄN</t>
        </is>
      </c>
      <c r="E142" t="inlineStr">
        <is>
          <t>MORA</t>
        </is>
      </c>
      <c r="G142" t="n">
        <v>5.8</v>
      </c>
      <c r="H142" t="n">
        <v>0</v>
      </c>
      <c r="I142" t="n">
        <v>0</v>
      </c>
      <c r="J142" t="n">
        <v>0</v>
      </c>
      <c r="K142" t="n">
        <v>0</v>
      </c>
      <c r="L142" t="n">
        <v>0</v>
      </c>
      <c r="M142" t="n">
        <v>0</v>
      </c>
      <c r="N142" t="n">
        <v>0</v>
      </c>
      <c r="O142" t="n">
        <v>0</v>
      </c>
      <c r="P142" t="n">
        <v>0</v>
      </c>
      <c r="Q142" t="n">
        <v>0</v>
      </c>
      <c r="R142" s="2" t="inlineStr"/>
    </row>
    <row r="143" ht="15" customHeight="1">
      <c r="A143" t="inlineStr">
        <is>
          <t>A 66873-2019</t>
        </is>
      </c>
      <c r="B143" s="1" t="n">
        <v>43810</v>
      </c>
      <c r="C143" s="1" t="n">
        <v>45781</v>
      </c>
      <c r="D143" t="inlineStr">
        <is>
          <t>DALARNAS LÄN</t>
        </is>
      </c>
      <c r="E143" t="inlineStr">
        <is>
          <t>MORA</t>
        </is>
      </c>
      <c r="F143" t="inlineStr">
        <is>
          <t>Bergvik skog väst AB</t>
        </is>
      </c>
      <c r="G143" t="n">
        <v>4.4</v>
      </c>
      <c r="H143" t="n">
        <v>0</v>
      </c>
      <c r="I143" t="n">
        <v>0</v>
      </c>
      <c r="J143" t="n">
        <v>0</v>
      </c>
      <c r="K143" t="n">
        <v>0</v>
      </c>
      <c r="L143" t="n">
        <v>0</v>
      </c>
      <c r="M143" t="n">
        <v>0</v>
      </c>
      <c r="N143" t="n">
        <v>0</v>
      </c>
      <c r="O143" t="n">
        <v>0</v>
      </c>
      <c r="P143" t="n">
        <v>0</v>
      </c>
      <c r="Q143" t="n">
        <v>0</v>
      </c>
      <c r="R143" s="2" t="inlineStr"/>
    </row>
    <row r="144" ht="15" customHeight="1">
      <c r="A144" t="inlineStr">
        <is>
          <t>A 66868-2019</t>
        </is>
      </c>
      <c r="B144" s="1" t="n">
        <v>43810</v>
      </c>
      <c r="C144" s="1" t="n">
        <v>45781</v>
      </c>
      <c r="D144" t="inlineStr">
        <is>
          <t>DALARNAS LÄN</t>
        </is>
      </c>
      <c r="E144" t="inlineStr">
        <is>
          <t>MORA</t>
        </is>
      </c>
      <c r="G144" t="n">
        <v>3.3</v>
      </c>
      <c r="H144" t="n">
        <v>0</v>
      </c>
      <c r="I144" t="n">
        <v>0</v>
      </c>
      <c r="J144" t="n">
        <v>0</v>
      </c>
      <c r="K144" t="n">
        <v>0</v>
      </c>
      <c r="L144" t="n">
        <v>0</v>
      </c>
      <c r="M144" t="n">
        <v>0</v>
      </c>
      <c r="N144" t="n">
        <v>0</v>
      </c>
      <c r="O144" t="n">
        <v>0</v>
      </c>
      <c r="P144" t="n">
        <v>0</v>
      </c>
      <c r="Q144" t="n">
        <v>0</v>
      </c>
      <c r="R144" s="2" t="inlineStr"/>
    </row>
    <row r="145" ht="15" customHeight="1">
      <c r="A145" t="inlineStr">
        <is>
          <t>A 66878-2019</t>
        </is>
      </c>
      <c r="B145" s="1" t="n">
        <v>43810</v>
      </c>
      <c r="C145" s="1" t="n">
        <v>45781</v>
      </c>
      <c r="D145" t="inlineStr">
        <is>
          <t>DALARNAS LÄN</t>
        </is>
      </c>
      <c r="E145" t="inlineStr">
        <is>
          <t>MORA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67986-2019</t>
        </is>
      </c>
      <c r="B146" s="1" t="n">
        <v>43811</v>
      </c>
      <c r="C146" s="1" t="n">
        <v>45781</v>
      </c>
      <c r="D146" t="inlineStr">
        <is>
          <t>DALARNAS LÄN</t>
        </is>
      </c>
      <c r="E146" t="inlineStr">
        <is>
          <t>MORA</t>
        </is>
      </c>
      <c r="G146" t="n">
        <v>3.8</v>
      </c>
      <c r="H146" t="n">
        <v>0</v>
      </c>
      <c r="I146" t="n">
        <v>0</v>
      </c>
      <c r="J146" t="n">
        <v>0</v>
      </c>
      <c r="K146" t="n">
        <v>0</v>
      </c>
      <c r="L146" t="n">
        <v>0</v>
      </c>
      <c r="M146" t="n">
        <v>0</v>
      </c>
      <c r="N146" t="n">
        <v>0</v>
      </c>
      <c r="O146" t="n">
        <v>0</v>
      </c>
      <c r="P146" t="n">
        <v>0</v>
      </c>
      <c r="Q146" t="n">
        <v>0</v>
      </c>
      <c r="R146" s="2" t="inlineStr"/>
    </row>
    <row r="147" ht="15" customHeight="1">
      <c r="A147" t="inlineStr">
        <is>
          <t>A 67633-2019</t>
        </is>
      </c>
      <c r="B147" s="1" t="n">
        <v>43815</v>
      </c>
      <c r="C147" s="1" t="n">
        <v>45781</v>
      </c>
      <c r="D147" t="inlineStr">
        <is>
          <t>DALARNAS LÄN</t>
        </is>
      </c>
      <c r="E147" t="inlineStr">
        <is>
          <t>MORA</t>
        </is>
      </c>
      <c r="G147" t="n">
        <v>4.7</v>
      </c>
      <c r="H147" t="n">
        <v>0</v>
      </c>
      <c r="I147" t="n">
        <v>0</v>
      </c>
      <c r="J147" t="n">
        <v>0</v>
      </c>
      <c r="K147" t="n">
        <v>0</v>
      </c>
      <c r="L147" t="n">
        <v>0</v>
      </c>
      <c r="M147" t="n">
        <v>0</v>
      </c>
      <c r="N147" t="n">
        <v>0</v>
      </c>
      <c r="O147" t="n">
        <v>0</v>
      </c>
      <c r="P147" t="n">
        <v>0</v>
      </c>
      <c r="Q147" t="n">
        <v>0</v>
      </c>
      <c r="R147" s="2" t="inlineStr"/>
    </row>
    <row r="148" ht="15" customHeight="1">
      <c r="A148" t="inlineStr">
        <is>
          <t>A 564-2020</t>
        </is>
      </c>
      <c r="B148" s="1" t="n">
        <v>43817</v>
      </c>
      <c r="C148" s="1" t="n">
        <v>45781</v>
      </c>
      <c r="D148" t="inlineStr">
        <is>
          <t>DALARNAS LÄN</t>
        </is>
      </c>
      <c r="E148" t="inlineStr">
        <is>
          <t>MORA</t>
        </is>
      </c>
      <c r="F148" t="inlineStr">
        <is>
          <t>Kommuner</t>
        </is>
      </c>
      <c r="G148" t="n">
        <v>56.1</v>
      </c>
      <c r="H148" t="n">
        <v>0</v>
      </c>
      <c r="I148" t="n">
        <v>0</v>
      </c>
      <c r="J148" t="n">
        <v>0</v>
      </c>
      <c r="K148" t="n">
        <v>0</v>
      </c>
      <c r="L148" t="n">
        <v>0</v>
      </c>
      <c r="M148" t="n">
        <v>0</v>
      </c>
      <c r="N148" t="n">
        <v>0</v>
      </c>
      <c r="O148" t="n">
        <v>0</v>
      </c>
      <c r="P148" t="n">
        <v>0</v>
      </c>
      <c r="Q148" t="n">
        <v>0</v>
      </c>
      <c r="R148" s="2" t="inlineStr"/>
    </row>
    <row r="149" ht="15" customHeight="1">
      <c r="A149" t="inlineStr">
        <is>
          <t>A 68092-2019</t>
        </is>
      </c>
      <c r="B149" s="1" t="n">
        <v>43817</v>
      </c>
      <c r="C149" s="1" t="n">
        <v>45781</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1506-2020</t>
        </is>
      </c>
      <c r="B150" s="1" t="n">
        <v>43826</v>
      </c>
      <c r="C150" s="1" t="n">
        <v>45781</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472-2020</t>
        </is>
      </c>
      <c r="B151" s="1" t="n">
        <v>43837</v>
      </c>
      <c r="C151" s="1" t="n">
        <v>45781</v>
      </c>
      <c r="D151" t="inlineStr">
        <is>
          <t>DALARNAS LÄN</t>
        </is>
      </c>
      <c r="E151" t="inlineStr">
        <is>
          <t>MORA</t>
        </is>
      </c>
      <c r="G151" t="n">
        <v>1.3</v>
      </c>
      <c r="H151" t="n">
        <v>0</v>
      </c>
      <c r="I151" t="n">
        <v>0</v>
      </c>
      <c r="J151" t="n">
        <v>0</v>
      </c>
      <c r="K151" t="n">
        <v>0</v>
      </c>
      <c r="L151" t="n">
        <v>0</v>
      </c>
      <c r="M151" t="n">
        <v>0</v>
      </c>
      <c r="N151" t="n">
        <v>0</v>
      </c>
      <c r="O151" t="n">
        <v>0</v>
      </c>
      <c r="P151" t="n">
        <v>0</v>
      </c>
      <c r="Q151" t="n">
        <v>0</v>
      </c>
      <c r="R151" s="2" t="inlineStr"/>
    </row>
    <row r="152" ht="15" customHeight="1">
      <c r="A152" t="inlineStr">
        <is>
          <t>A 1841-2020</t>
        </is>
      </c>
      <c r="B152" s="1" t="n">
        <v>43844</v>
      </c>
      <c r="C152" s="1" t="n">
        <v>45781</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3588-2020</t>
        </is>
      </c>
      <c r="B153" s="1" t="n">
        <v>43845</v>
      </c>
      <c r="C153" s="1" t="n">
        <v>45781</v>
      </c>
      <c r="D153" t="inlineStr">
        <is>
          <t>DALARNAS LÄN</t>
        </is>
      </c>
      <c r="E153" t="inlineStr">
        <is>
          <t>MORA</t>
        </is>
      </c>
      <c r="G153" t="n">
        <v>3</v>
      </c>
      <c r="H153" t="n">
        <v>0</v>
      </c>
      <c r="I153" t="n">
        <v>0</v>
      </c>
      <c r="J153" t="n">
        <v>0</v>
      </c>
      <c r="K153" t="n">
        <v>0</v>
      </c>
      <c r="L153" t="n">
        <v>0</v>
      </c>
      <c r="M153" t="n">
        <v>0</v>
      </c>
      <c r="N153" t="n">
        <v>0</v>
      </c>
      <c r="O153" t="n">
        <v>0</v>
      </c>
      <c r="P153" t="n">
        <v>0</v>
      </c>
      <c r="Q153" t="n">
        <v>0</v>
      </c>
      <c r="R153" s="2" t="inlineStr"/>
    </row>
    <row r="154" ht="15" customHeight="1">
      <c r="A154" t="inlineStr">
        <is>
          <t>A 4106-2020</t>
        </is>
      </c>
      <c r="B154" s="1" t="n">
        <v>43857</v>
      </c>
      <c r="C154" s="1" t="n">
        <v>45781</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4818-2020</t>
        </is>
      </c>
      <c r="B155" s="1" t="n">
        <v>43859</v>
      </c>
      <c r="C155" s="1" t="n">
        <v>45781</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6012-2020</t>
        </is>
      </c>
      <c r="B156" s="1" t="n">
        <v>43865</v>
      </c>
      <c r="C156" s="1" t="n">
        <v>45781</v>
      </c>
      <c r="D156" t="inlineStr">
        <is>
          <t>DALARNAS LÄN</t>
        </is>
      </c>
      <c r="E156" t="inlineStr">
        <is>
          <t>MORA</t>
        </is>
      </c>
      <c r="G156" t="n">
        <v>2.7</v>
      </c>
      <c r="H156" t="n">
        <v>0</v>
      </c>
      <c r="I156" t="n">
        <v>0</v>
      </c>
      <c r="J156" t="n">
        <v>0</v>
      </c>
      <c r="K156" t="n">
        <v>0</v>
      </c>
      <c r="L156" t="n">
        <v>0</v>
      </c>
      <c r="M156" t="n">
        <v>0</v>
      </c>
      <c r="N156" t="n">
        <v>0</v>
      </c>
      <c r="O156" t="n">
        <v>0</v>
      </c>
      <c r="P156" t="n">
        <v>0</v>
      </c>
      <c r="Q156" t="n">
        <v>0</v>
      </c>
      <c r="R156" s="2" t="inlineStr"/>
    </row>
    <row r="157" ht="15" customHeight="1">
      <c r="A157" t="inlineStr">
        <is>
          <t>A 7093-2020</t>
        </is>
      </c>
      <c r="B157" s="1" t="n">
        <v>43868</v>
      </c>
      <c r="C157" s="1" t="n">
        <v>45781</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7382-2020</t>
        </is>
      </c>
      <c r="B158" s="1" t="n">
        <v>43871</v>
      </c>
      <c r="C158" s="1" t="n">
        <v>45781</v>
      </c>
      <c r="D158" t="inlineStr">
        <is>
          <t>DALARNAS LÄN</t>
        </is>
      </c>
      <c r="E158" t="inlineStr">
        <is>
          <t>MORA</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10704-2020</t>
        </is>
      </c>
      <c r="B159" s="1" t="n">
        <v>43888</v>
      </c>
      <c r="C159" s="1" t="n">
        <v>45781</v>
      </c>
      <c r="D159" t="inlineStr">
        <is>
          <t>DALARNAS LÄN</t>
        </is>
      </c>
      <c r="E159" t="inlineStr">
        <is>
          <t>MORA</t>
        </is>
      </c>
      <c r="G159" t="n">
        <v>2.6</v>
      </c>
      <c r="H159" t="n">
        <v>0</v>
      </c>
      <c r="I159" t="n">
        <v>0</v>
      </c>
      <c r="J159" t="n">
        <v>0</v>
      </c>
      <c r="K159" t="n">
        <v>0</v>
      </c>
      <c r="L159" t="n">
        <v>0</v>
      </c>
      <c r="M159" t="n">
        <v>0</v>
      </c>
      <c r="N159" t="n">
        <v>0</v>
      </c>
      <c r="O159" t="n">
        <v>0</v>
      </c>
      <c r="P159" t="n">
        <v>0</v>
      </c>
      <c r="Q159" t="n">
        <v>0</v>
      </c>
      <c r="R159" s="2" t="inlineStr"/>
    </row>
    <row r="160" ht="15" customHeight="1">
      <c r="A160" t="inlineStr">
        <is>
          <t>A 12360-2020</t>
        </is>
      </c>
      <c r="B160" s="1" t="n">
        <v>43896</v>
      </c>
      <c r="C160" s="1" t="n">
        <v>45781</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12723-2020</t>
        </is>
      </c>
      <c r="B161" s="1" t="n">
        <v>43899</v>
      </c>
      <c r="C161" s="1" t="n">
        <v>45781</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13943-2020</t>
        </is>
      </c>
      <c r="B162" s="1" t="n">
        <v>43906</v>
      </c>
      <c r="C162" s="1" t="n">
        <v>45781</v>
      </c>
      <c r="D162" t="inlineStr">
        <is>
          <t>DALARNAS LÄN</t>
        </is>
      </c>
      <c r="E162" t="inlineStr">
        <is>
          <t>MORA</t>
        </is>
      </c>
      <c r="G162" t="n">
        <v>1.3</v>
      </c>
      <c r="H162" t="n">
        <v>0</v>
      </c>
      <c r="I162" t="n">
        <v>0</v>
      </c>
      <c r="J162" t="n">
        <v>0</v>
      </c>
      <c r="K162" t="n">
        <v>0</v>
      </c>
      <c r="L162" t="n">
        <v>0</v>
      </c>
      <c r="M162" t="n">
        <v>0</v>
      </c>
      <c r="N162" t="n">
        <v>0</v>
      </c>
      <c r="O162" t="n">
        <v>0</v>
      </c>
      <c r="P162" t="n">
        <v>0</v>
      </c>
      <c r="Q162" t="n">
        <v>0</v>
      </c>
      <c r="R162" s="2" t="inlineStr"/>
    </row>
    <row r="163" ht="15" customHeight="1">
      <c r="A163" t="inlineStr">
        <is>
          <t>A 16636-2020</t>
        </is>
      </c>
      <c r="B163" s="1" t="n">
        <v>43910</v>
      </c>
      <c r="C163" s="1" t="n">
        <v>45781</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16194-2020</t>
        </is>
      </c>
      <c r="B164" s="1" t="n">
        <v>43917</v>
      </c>
      <c r="C164" s="1" t="n">
        <v>45781</v>
      </c>
      <c r="D164" t="inlineStr">
        <is>
          <t>DALARNAS LÄN</t>
        </is>
      </c>
      <c r="E164" t="inlineStr">
        <is>
          <t>MORA</t>
        </is>
      </c>
      <c r="F164" t="inlineStr">
        <is>
          <t>Bergvik skog väst AB</t>
        </is>
      </c>
      <c r="G164" t="n">
        <v>5.5</v>
      </c>
      <c r="H164" t="n">
        <v>0</v>
      </c>
      <c r="I164" t="n">
        <v>0</v>
      </c>
      <c r="J164" t="n">
        <v>0</v>
      </c>
      <c r="K164" t="n">
        <v>0</v>
      </c>
      <c r="L164" t="n">
        <v>0</v>
      </c>
      <c r="M164" t="n">
        <v>0</v>
      </c>
      <c r="N164" t="n">
        <v>0</v>
      </c>
      <c r="O164" t="n">
        <v>0</v>
      </c>
      <c r="P164" t="n">
        <v>0</v>
      </c>
      <c r="Q164" t="n">
        <v>0</v>
      </c>
      <c r="R164" s="2" t="inlineStr"/>
    </row>
    <row r="165" ht="15" customHeight="1">
      <c r="A165" t="inlineStr">
        <is>
          <t>A 16195-2020</t>
        </is>
      </c>
      <c r="B165" s="1" t="n">
        <v>43917</v>
      </c>
      <c r="C165" s="1" t="n">
        <v>45781</v>
      </c>
      <c r="D165" t="inlineStr">
        <is>
          <t>DALARNAS LÄN</t>
        </is>
      </c>
      <c r="E165" t="inlineStr">
        <is>
          <t>MORA</t>
        </is>
      </c>
      <c r="F165" t="inlineStr">
        <is>
          <t>Bergvik skog väst AB</t>
        </is>
      </c>
      <c r="G165" t="n">
        <v>4.3</v>
      </c>
      <c r="H165" t="n">
        <v>0</v>
      </c>
      <c r="I165" t="n">
        <v>0</v>
      </c>
      <c r="J165" t="n">
        <v>0</v>
      </c>
      <c r="K165" t="n">
        <v>0</v>
      </c>
      <c r="L165" t="n">
        <v>0</v>
      </c>
      <c r="M165" t="n">
        <v>0</v>
      </c>
      <c r="N165" t="n">
        <v>0</v>
      </c>
      <c r="O165" t="n">
        <v>0</v>
      </c>
      <c r="P165" t="n">
        <v>0</v>
      </c>
      <c r="Q165" t="n">
        <v>0</v>
      </c>
      <c r="R165" s="2" t="inlineStr"/>
    </row>
    <row r="166" ht="15" customHeight="1">
      <c r="A166" t="inlineStr">
        <is>
          <t>A 18989-2020</t>
        </is>
      </c>
      <c r="B166" s="1" t="n">
        <v>43935</v>
      </c>
      <c r="C166" s="1" t="n">
        <v>45781</v>
      </c>
      <c r="D166" t="inlineStr">
        <is>
          <t>DALARNAS LÄN</t>
        </is>
      </c>
      <c r="E166" t="inlineStr">
        <is>
          <t>MORA</t>
        </is>
      </c>
      <c r="F166" t="inlineStr">
        <is>
          <t>Bergvik skog öst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18978-2020</t>
        </is>
      </c>
      <c r="B167" s="1" t="n">
        <v>43935</v>
      </c>
      <c r="C167" s="1" t="n">
        <v>45781</v>
      </c>
      <c r="D167" t="inlineStr">
        <is>
          <t>DALARNAS LÄN</t>
        </is>
      </c>
      <c r="E167" t="inlineStr">
        <is>
          <t>MORA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19507-2020</t>
        </is>
      </c>
      <c r="B168" s="1" t="n">
        <v>43938</v>
      </c>
      <c r="C168" s="1" t="n">
        <v>45781</v>
      </c>
      <c r="D168" t="inlineStr">
        <is>
          <t>DALARNAS LÄN</t>
        </is>
      </c>
      <c r="E168" t="inlineStr">
        <is>
          <t>MORA</t>
        </is>
      </c>
      <c r="F168" t="inlineStr">
        <is>
          <t>Bergvik skog öst AB</t>
        </is>
      </c>
      <c r="G168" t="n">
        <v>1</v>
      </c>
      <c r="H168" t="n">
        <v>0</v>
      </c>
      <c r="I168" t="n">
        <v>0</v>
      </c>
      <c r="J168" t="n">
        <v>0</v>
      </c>
      <c r="K168" t="n">
        <v>0</v>
      </c>
      <c r="L168" t="n">
        <v>0</v>
      </c>
      <c r="M168" t="n">
        <v>0</v>
      </c>
      <c r="N168" t="n">
        <v>0</v>
      </c>
      <c r="O168" t="n">
        <v>0</v>
      </c>
      <c r="P168" t="n">
        <v>0</v>
      </c>
      <c r="Q168" t="n">
        <v>0</v>
      </c>
      <c r="R168" s="2" t="inlineStr"/>
    </row>
    <row r="169" ht="15" customHeight="1">
      <c r="A169" t="inlineStr">
        <is>
          <t>A 21122-2020</t>
        </is>
      </c>
      <c r="B169" s="1" t="n">
        <v>43951</v>
      </c>
      <c r="C169" s="1" t="n">
        <v>45781</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21951-2020</t>
        </is>
      </c>
      <c r="B170" s="1" t="n">
        <v>43958</v>
      </c>
      <c r="C170" s="1" t="n">
        <v>45781</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24719-2020</t>
        </is>
      </c>
      <c r="B171" s="1" t="n">
        <v>43978</v>
      </c>
      <c r="C171" s="1" t="n">
        <v>45781</v>
      </c>
      <c r="D171" t="inlineStr">
        <is>
          <t>DALARNAS LÄN</t>
        </is>
      </c>
      <c r="E171" t="inlineStr">
        <is>
          <t>MORA</t>
        </is>
      </c>
      <c r="F171" t="inlineStr">
        <is>
          <t>Allmännings- och besparingsskogar</t>
        </is>
      </c>
      <c r="G171" t="n">
        <v>0.8</v>
      </c>
      <c r="H171" t="n">
        <v>0</v>
      </c>
      <c r="I171" t="n">
        <v>0</v>
      </c>
      <c r="J171" t="n">
        <v>0</v>
      </c>
      <c r="K171" t="n">
        <v>0</v>
      </c>
      <c r="L171" t="n">
        <v>0</v>
      </c>
      <c r="M171" t="n">
        <v>0</v>
      </c>
      <c r="N171" t="n">
        <v>0</v>
      </c>
      <c r="O171" t="n">
        <v>0</v>
      </c>
      <c r="P171" t="n">
        <v>0</v>
      </c>
      <c r="Q171" t="n">
        <v>0</v>
      </c>
      <c r="R171" s="2" t="inlineStr"/>
    </row>
    <row r="172" ht="15" customHeight="1">
      <c r="A172" t="inlineStr">
        <is>
          <t>A 25852-2020</t>
        </is>
      </c>
      <c r="B172" s="1" t="n">
        <v>43984</v>
      </c>
      <c r="C172" s="1" t="n">
        <v>45781</v>
      </c>
      <c r="D172" t="inlineStr">
        <is>
          <t>DALARNAS LÄN</t>
        </is>
      </c>
      <c r="E172" t="inlineStr">
        <is>
          <t>MORA</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26454-2020</t>
        </is>
      </c>
      <c r="B173" s="1" t="n">
        <v>43987</v>
      </c>
      <c r="C173" s="1" t="n">
        <v>45781</v>
      </c>
      <c r="D173" t="inlineStr">
        <is>
          <t>DALARNAS LÄN</t>
        </is>
      </c>
      <c r="E173" t="inlineStr">
        <is>
          <t>MORA</t>
        </is>
      </c>
      <c r="G173" t="n">
        <v>1.5</v>
      </c>
      <c r="H173" t="n">
        <v>0</v>
      </c>
      <c r="I173" t="n">
        <v>0</v>
      </c>
      <c r="J173" t="n">
        <v>0</v>
      </c>
      <c r="K173" t="n">
        <v>0</v>
      </c>
      <c r="L173" t="n">
        <v>0</v>
      </c>
      <c r="M173" t="n">
        <v>0</v>
      </c>
      <c r="N173" t="n">
        <v>0</v>
      </c>
      <c r="O173" t="n">
        <v>0</v>
      </c>
      <c r="P173" t="n">
        <v>0</v>
      </c>
      <c r="Q173" t="n">
        <v>0</v>
      </c>
      <c r="R173" s="2" t="inlineStr"/>
    </row>
    <row r="174" ht="15" customHeight="1">
      <c r="A174" t="inlineStr">
        <is>
          <t>A 26460-2020</t>
        </is>
      </c>
      <c r="B174" s="1" t="n">
        <v>43987</v>
      </c>
      <c r="C174" s="1" t="n">
        <v>45781</v>
      </c>
      <c r="D174" t="inlineStr">
        <is>
          <t>DALARNAS LÄN</t>
        </is>
      </c>
      <c r="E174" t="inlineStr">
        <is>
          <t>MORA</t>
        </is>
      </c>
      <c r="G174" t="n">
        <v>2.1</v>
      </c>
      <c r="H174" t="n">
        <v>0</v>
      </c>
      <c r="I174" t="n">
        <v>0</v>
      </c>
      <c r="J174" t="n">
        <v>0</v>
      </c>
      <c r="K174" t="n">
        <v>0</v>
      </c>
      <c r="L174" t="n">
        <v>0</v>
      </c>
      <c r="M174" t="n">
        <v>0</v>
      </c>
      <c r="N174" t="n">
        <v>0</v>
      </c>
      <c r="O174" t="n">
        <v>0</v>
      </c>
      <c r="P174" t="n">
        <v>0</v>
      </c>
      <c r="Q174" t="n">
        <v>0</v>
      </c>
      <c r="R174" s="2" t="inlineStr"/>
    </row>
    <row r="175" ht="15" customHeight="1">
      <c r="A175" t="inlineStr">
        <is>
          <t>A 29751-2020</t>
        </is>
      </c>
      <c r="B175" s="1" t="n">
        <v>44005</v>
      </c>
      <c r="C175" s="1" t="n">
        <v>45781</v>
      </c>
      <c r="D175" t="inlineStr">
        <is>
          <t>DALARNAS LÄN</t>
        </is>
      </c>
      <c r="E175" t="inlineStr">
        <is>
          <t>MORA</t>
        </is>
      </c>
      <c r="F175" t="inlineStr">
        <is>
          <t>Bergvik skog väst AB</t>
        </is>
      </c>
      <c r="G175" t="n">
        <v>3.5</v>
      </c>
      <c r="H175" t="n">
        <v>0</v>
      </c>
      <c r="I175" t="n">
        <v>0</v>
      </c>
      <c r="J175" t="n">
        <v>0</v>
      </c>
      <c r="K175" t="n">
        <v>0</v>
      </c>
      <c r="L175" t="n">
        <v>0</v>
      </c>
      <c r="M175" t="n">
        <v>0</v>
      </c>
      <c r="N175" t="n">
        <v>0</v>
      </c>
      <c r="O175" t="n">
        <v>0</v>
      </c>
      <c r="P175" t="n">
        <v>0</v>
      </c>
      <c r="Q175" t="n">
        <v>0</v>
      </c>
      <c r="R175" s="2" t="inlineStr"/>
    </row>
    <row r="176" ht="15" customHeight="1">
      <c r="A176" t="inlineStr">
        <is>
          <t>A 29881-2020</t>
        </is>
      </c>
      <c r="B176" s="1" t="n">
        <v>44006</v>
      </c>
      <c r="C176" s="1" t="n">
        <v>45781</v>
      </c>
      <c r="D176" t="inlineStr">
        <is>
          <t>DALARNAS LÄN</t>
        </is>
      </c>
      <c r="E176" t="inlineStr">
        <is>
          <t>MORA</t>
        </is>
      </c>
      <c r="G176" t="n">
        <v>3.7</v>
      </c>
      <c r="H176" t="n">
        <v>0</v>
      </c>
      <c r="I176" t="n">
        <v>0</v>
      </c>
      <c r="J176" t="n">
        <v>0</v>
      </c>
      <c r="K176" t="n">
        <v>0</v>
      </c>
      <c r="L176" t="n">
        <v>0</v>
      </c>
      <c r="M176" t="n">
        <v>0</v>
      </c>
      <c r="N176" t="n">
        <v>0</v>
      </c>
      <c r="O176" t="n">
        <v>0</v>
      </c>
      <c r="P176" t="n">
        <v>0</v>
      </c>
      <c r="Q176" t="n">
        <v>0</v>
      </c>
      <c r="R176" s="2" t="inlineStr"/>
    </row>
    <row r="177" ht="15" customHeight="1">
      <c r="A177" t="inlineStr">
        <is>
          <t>A 29960-2020</t>
        </is>
      </c>
      <c r="B177" s="1" t="n">
        <v>44006</v>
      </c>
      <c r="C177" s="1" t="n">
        <v>45781</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33581-2020</t>
        </is>
      </c>
      <c r="B178" s="1" t="n">
        <v>44022</v>
      </c>
      <c r="C178" s="1" t="n">
        <v>45781</v>
      </c>
      <c r="D178" t="inlineStr">
        <is>
          <t>DALARNAS LÄN</t>
        </is>
      </c>
      <c r="E178" t="inlineStr">
        <is>
          <t>MORA</t>
        </is>
      </c>
      <c r="G178" t="n">
        <v>1.8</v>
      </c>
      <c r="H178" t="n">
        <v>0</v>
      </c>
      <c r="I178" t="n">
        <v>0</v>
      </c>
      <c r="J178" t="n">
        <v>0</v>
      </c>
      <c r="K178" t="n">
        <v>0</v>
      </c>
      <c r="L178" t="n">
        <v>0</v>
      </c>
      <c r="M178" t="n">
        <v>0</v>
      </c>
      <c r="N178" t="n">
        <v>0</v>
      </c>
      <c r="O178" t="n">
        <v>0</v>
      </c>
      <c r="P178" t="n">
        <v>0</v>
      </c>
      <c r="Q178" t="n">
        <v>0</v>
      </c>
      <c r="R178" s="2" t="inlineStr"/>
    </row>
    <row r="179" ht="15" customHeight="1">
      <c r="A179" t="inlineStr">
        <is>
          <t>A 34455-2020</t>
        </is>
      </c>
      <c r="B179" s="1" t="n">
        <v>44032</v>
      </c>
      <c r="C179" s="1" t="n">
        <v>45781</v>
      </c>
      <c r="D179" t="inlineStr">
        <is>
          <t>DALARNAS LÄN</t>
        </is>
      </c>
      <c r="E179" t="inlineStr">
        <is>
          <t>MORA</t>
        </is>
      </c>
      <c r="G179" t="n">
        <v>1.7</v>
      </c>
      <c r="H179" t="n">
        <v>0</v>
      </c>
      <c r="I179" t="n">
        <v>0</v>
      </c>
      <c r="J179" t="n">
        <v>0</v>
      </c>
      <c r="K179" t="n">
        <v>0</v>
      </c>
      <c r="L179" t="n">
        <v>0</v>
      </c>
      <c r="M179" t="n">
        <v>0</v>
      </c>
      <c r="N179" t="n">
        <v>0</v>
      </c>
      <c r="O179" t="n">
        <v>0</v>
      </c>
      <c r="P179" t="n">
        <v>0</v>
      </c>
      <c r="Q179" t="n">
        <v>0</v>
      </c>
      <c r="R179" s="2" t="inlineStr"/>
    </row>
    <row r="180" ht="15" customHeight="1">
      <c r="A180" t="inlineStr">
        <is>
          <t>A 34454-2020</t>
        </is>
      </c>
      <c r="B180" s="1" t="n">
        <v>44032</v>
      </c>
      <c r="C180" s="1" t="n">
        <v>45781</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34446-2020</t>
        </is>
      </c>
      <c r="B181" s="1" t="n">
        <v>44032</v>
      </c>
      <c r="C181" s="1" t="n">
        <v>45781</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35976-2020</t>
        </is>
      </c>
      <c r="B182" s="1" t="n">
        <v>44047</v>
      </c>
      <c r="C182" s="1" t="n">
        <v>45781</v>
      </c>
      <c r="D182" t="inlineStr">
        <is>
          <t>DALARNAS LÄN</t>
        </is>
      </c>
      <c r="E182" t="inlineStr">
        <is>
          <t>MORA</t>
        </is>
      </c>
      <c r="G182" t="n">
        <v>6.7</v>
      </c>
      <c r="H182" t="n">
        <v>0</v>
      </c>
      <c r="I182" t="n">
        <v>0</v>
      </c>
      <c r="J182" t="n">
        <v>0</v>
      </c>
      <c r="K182" t="n">
        <v>0</v>
      </c>
      <c r="L182" t="n">
        <v>0</v>
      </c>
      <c r="M182" t="n">
        <v>0</v>
      </c>
      <c r="N182" t="n">
        <v>0</v>
      </c>
      <c r="O182" t="n">
        <v>0</v>
      </c>
      <c r="P182" t="n">
        <v>0</v>
      </c>
      <c r="Q182" t="n">
        <v>0</v>
      </c>
      <c r="R182" s="2" t="inlineStr"/>
    </row>
    <row r="183" ht="15" customHeight="1">
      <c r="A183" t="inlineStr">
        <is>
          <t>A 37403-2020</t>
        </is>
      </c>
      <c r="B183" s="1" t="n">
        <v>44055</v>
      </c>
      <c r="C183" s="1" t="n">
        <v>45781</v>
      </c>
      <c r="D183" t="inlineStr">
        <is>
          <t>DALARNAS LÄN</t>
        </is>
      </c>
      <c r="E183" t="inlineStr">
        <is>
          <t>MORA</t>
        </is>
      </c>
      <c r="G183" t="n">
        <v>0.8</v>
      </c>
      <c r="H183" t="n">
        <v>0</v>
      </c>
      <c r="I183" t="n">
        <v>0</v>
      </c>
      <c r="J183" t="n">
        <v>0</v>
      </c>
      <c r="K183" t="n">
        <v>0</v>
      </c>
      <c r="L183" t="n">
        <v>0</v>
      </c>
      <c r="M183" t="n">
        <v>0</v>
      </c>
      <c r="N183" t="n">
        <v>0</v>
      </c>
      <c r="O183" t="n">
        <v>0</v>
      </c>
      <c r="P183" t="n">
        <v>0</v>
      </c>
      <c r="Q183" t="n">
        <v>0</v>
      </c>
      <c r="R183" s="2" t="inlineStr"/>
    </row>
    <row r="184" ht="15" customHeight="1">
      <c r="A184" t="inlineStr">
        <is>
          <t>A 37840-2020</t>
        </is>
      </c>
      <c r="B184" s="1" t="n">
        <v>44057</v>
      </c>
      <c r="C184" s="1" t="n">
        <v>45781</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38910-2020</t>
        </is>
      </c>
      <c r="B185" s="1" t="n">
        <v>44062</v>
      </c>
      <c r="C185" s="1" t="n">
        <v>45781</v>
      </c>
      <c r="D185" t="inlineStr">
        <is>
          <t>DALARNAS LÄN</t>
        </is>
      </c>
      <c r="E185" t="inlineStr">
        <is>
          <t>MORA</t>
        </is>
      </c>
      <c r="G185" t="n">
        <v>7.8</v>
      </c>
      <c r="H185" t="n">
        <v>0</v>
      </c>
      <c r="I185" t="n">
        <v>0</v>
      </c>
      <c r="J185" t="n">
        <v>0</v>
      </c>
      <c r="K185" t="n">
        <v>0</v>
      </c>
      <c r="L185" t="n">
        <v>0</v>
      </c>
      <c r="M185" t="n">
        <v>0</v>
      </c>
      <c r="N185" t="n">
        <v>0</v>
      </c>
      <c r="O185" t="n">
        <v>0</v>
      </c>
      <c r="P185" t="n">
        <v>0</v>
      </c>
      <c r="Q185" t="n">
        <v>0</v>
      </c>
      <c r="R185" s="2" t="inlineStr"/>
    </row>
    <row r="186" ht="15" customHeight="1">
      <c r="A186" t="inlineStr">
        <is>
          <t>A 39585-2020</t>
        </is>
      </c>
      <c r="B186" s="1" t="n">
        <v>44064</v>
      </c>
      <c r="C186" s="1" t="n">
        <v>45781</v>
      </c>
      <c r="D186" t="inlineStr">
        <is>
          <t>DALARNAS LÄN</t>
        </is>
      </c>
      <c r="E186" t="inlineStr">
        <is>
          <t>MORA</t>
        </is>
      </c>
      <c r="G186" t="n">
        <v>6.5</v>
      </c>
      <c r="H186" t="n">
        <v>0</v>
      </c>
      <c r="I186" t="n">
        <v>0</v>
      </c>
      <c r="J186" t="n">
        <v>0</v>
      </c>
      <c r="K186" t="n">
        <v>0</v>
      </c>
      <c r="L186" t="n">
        <v>0</v>
      </c>
      <c r="M186" t="n">
        <v>0</v>
      </c>
      <c r="N186" t="n">
        <v>0</v>
      </c>
      <c r="O186" t="n">
        <v>0</v>
      </c>
      <c r="P186" t="n">
        <v>0</v>
      </c>
      <c r="Q186" t="n">
        <v>0</v>
      </c>
      <c r="R186" s="2" t="inlineStr"/>
    </row>
    <row r="187" ht="15" customHeight="1">
      <c r="A187" t="inlineStr">
        <is>
          <t>A 39959-2020</t>
        </is>
      </c>
      <c r="B187" s="1" t="n">
        <v>44067</v>
      </c>
      <c r="C187" s="1" t="n">
        <v>45781</v>
      </c>
      <c r="D187" t="inlineStr">
        <is>
          <t>DALARNAS LÄN</t>
        </is>
      </c>
      <c r="E187" t="inlineStr">
        <is>
          <t>MORA</t>
        </is>
      </c>
      <c r="G187" t="n">
        <v>25.7</v>
      </c>
      <c r="H187" t="n">
        <v>0</v>
      </c>
      <c r="I187" t="n">
        <v>0</v>
      </c>
      <c r="J187" t="n">
        <v>0</v>
      </c>
      <c r="K187" t="n">
        <v>0</v>
      </c>
      <c r="L187" t="n">
        <v>0</v>
      </c>
      <c r="M187" t="n">
        <v>0</v>
      </c>
      <c r="N187" t="n">
        <v>0</v>
      </c>
      <c r="O187" t="n">
        <v>0</v>
      </c>
      <c r="P187" t="n">
        <v>0</v>
      </c>
      <c r="Q187" t="n">
        <v>0</v>
      </c>
      <c r="R187" s="2" t="inlineStr"/>
    </row>
    <row r="188" ht="15" customHeight="1">
      <c r="A188" t="inlineStr">
        <is>
          <t>A 41768-2020</t>
        </is>
      </c>
      <c r="B188" s="1" t="n">
        <v>44074</v>
      </c>
      <c r="C188" s="1" t="n">
        <v>45781</v>
      </c>
      <c r="D188" t="inlineStr">
        <is>
          <t>DALARNAS LÄN</t>
        </is>
      </c>
      <c r="E188" t="inlineStr">
        <is>
          <t>MORA</t>
        </is>
      </c>
      <c r="G188" t="n">
        <v>0.6</v>
      </c>
      <c r="H188" t="n">
        <v>0</v>
      </c>
      <c r="I188" t="n">
        <v>0</v>
      </c>
      <c r="J188" t="n">
        <v>0</v>
      </c>
      <c r="K188" t="n">
        <v>0</v>
      </c>
      <c r="L188" t="n">
        <v>0</v>
      </c>
      <c r="M188" t="n">
        <v>0</v>
      </c>
      <c r="N188" t="n">
        <v>0</v>
      </c>
      <c r="O188" t="n">
        <v>0</v>
      </c>
      <c r="P188" t="n">
        <v>0</v>
      </c>
      <c r="Q188" t="n">
        <v>0</v>
      </c>
      <c r="R188" s="2" t="inlineStr"/>
    </row>
    <row r="189" ht="15" customHeight="1">
      <c r="A189" t="inlineStr">
        <is>
          <t>A 42362-2020</t>
        </is>
      </c>
      <c r="B189" s="1" t="n">
        <v>44074</v>
      </c>
      <c r="C189" s="1" t="n">
        <v>45781</v>
      </c>
      <c r="D189" t="inlineStr">
        <is>
          <t>DALARNAS LÄN</t>
        </is>
      </c>
      <c r="E189" t="inlineStr">
        <is>
          <t>MORA</t>
        </is>
      </c>
      <c r="G189" t="n">
        <v>4.5</v>
      </c>
      <c r="H189" t="n">
        <v>0</v>
      </c>
      <c r="I189" t="n">
        <v>0</v>
      </c>
      <c r="J189" t="n">
        <v>0</v>
      </c>
      <c r="K189" t="n">
        <v>0</v>
      </c>
      <c r="L189" t="n">
        <v>0</v>
      </c>
      <c r="M189" t="n">
        <v>0</v>
      </c>
      <c r="N189" t="n">
        <v>0</v>
      </c>
      <c r="O189" t="n">
        <v>0</v>
      </c>
      <c r="P189" t="n">
        <v>0</v>
      </c>
      <c r="Q189" t="n">
        <v>0</v>
      </c>
      <c r="R189" s="2" t="inlineStr"/>
    </row>
    <row r="190" ht="15" customHeight="1">
      <c r="A190" t="inlineStr">
        <is>
          <t>A 42377-2020</t>
        </is>
      </c>
      <c r="B190" s="1" t="n">
        <v>44076</v>
      </c>
      <c r="C190" s="1" t="n">
        <v>45781</v>
      </c>
      <c r="D190" t="inlineStr">
        <is>
          <t>DALARNAS LÄN</t>
        </is>
      </c>
      <c r="E190" t="inlineStr">
        <is>
          <t>MORA</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43284-2020</t>
        </is>
      </c>
      <c r="B191" s="1" t="n">
        <v>44081</v>
      </c>
      <c r="C191" s="1" t="n">
        <v>45781</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48065-2020</t>
        </is>
      </c>
      <c r="B192" s="1" t="n">
        <v>44100</v>
      </c>
      <c r="C192" s="1" t="n">
        <v>45781</v>
      </c>
      <c r="D192" t="inlineStr">
        <is>
          <t>DALARNAS LÄN</t>
        </is>
      </c>
      <c r="E192" t="inlineStr">
        <is>
          <t>MORA</t>
        </is>
      </c>
      <c r="G192" t="n">
        <v>8.6</v>
      </c>
      <c r="H192" t="n">
        <v>0</v>
      </c>
      <c r="I192" t="n">
        <v>0</v>
      </c>
      <c r="J192" t="n">
        <v>0</v>
      </c>
      <c r="K192" t="n">
        <v>0</v>
      </c>
      <c r="L192" t="n">
        <v>0</v>
      </c>
      <c r="M192" t="n">
        <v>0</v>
      </c>
      <c r="N192" t="n">
        <v>0</v>
      </c>
      <c r="O192" t="n">
        <v>0</v>
      </c>
      <c r="P192" t="n">
        <v>0</v>
      </c>
      <c r="Q192" t="n">
        <v>0</v>
      </c>
      <c r="R192" s="2" t="inlineStr"/>
    </row>
    <row r="193" ht="15" customHeight="1">
      <c r="A193" t="inlineStr">
        <is>
          <t>A 51621-2020</t>
        </is>
      </c>
      <c r="B193" s="1" t="n">
        <v>44109</v>
      </c>
      <c r="C193" s="1" t="n">
        <v>45781</v>
      </c>
      <c r="D193" t="inlineStr">
        <is>
          <t>DALARNAS LÄN</t>
        </is>
      </c>
      <c r="E193" t="inlineStr">
        <is>
          <t>MORA</t>
        </is>
      </c>
      <c r="G193" t="n">
        <v>2</v>
      </c>
      <c r="H193" t="n">
        <v>0</v>
      </c>
      <c r="I193" t="n">
        <v>0</v>
      </c>
      <c r="J193" t="n">
        <v>0</v>
      </c>
      <c r="K193" t="n">
        <v>0</v>
      </c>
      <c r="L193" t="n">
        <v>0</v>
      </c>
      <c r="M193" t="n">
        <v>0</v>
      </c>
      <c r="N193" t="n">
        <v>0</v>
      </c>
      <c r="O193" t="n">
        <v>0</v>
      </c>
      <c r="P193" t="n">
        <v>0</v>
      </c>
      <c r="Q193" t="n">
        <v>0</v>
      </c>
      <c r="R193" s="2" t="inlineStr"/>
    </row>
    <row r="194" ht="15" customHeight="1">
      <c r="A194" t="inlineStr">
        <is>
          <t>A 51608-2020</t>
        </is>
      </c>
      <c r="B194" s="1" t="n">
        <v>44109</v>
      </c>
      <c r="C194" s="1" t="n">
        <v>45781</v>
      </c>
      <c r="D194" t="inlineStr">
        <is>
          <t>DALARNAS LÄN</t>
        </is>
      </c>
      <c r="E194" t="inlineStr">
        <is>
          <t>MORA</t>
        </is>
      </c>
      <c r="G194" t="n">
        <v>4.6</v>
      </c>
      <c r="H194" t="n">
        <v>0</v>
      </c>
      <c r="I194" t="n">
        <v>0</v>
      </c>
      <c r="J194" t="n">
        <v>0</v>
      </c>
      <c r="K194" t="n">
        <v>0</v>
      </c>
      <c r="L194" t="n">
        <v>0</v>
      </c>
      <c r="M194" t="n">
        <v>0</v>
      </c>
      <c r="N194" t="n">
        <v>0</v>
      </c>
      <c r="O194" t="n">
        <v>0</v>
      </c>
      <c r="P194" t="n">
        <v>0</v>
      </c>
      <c r="Q194" t="n">
        <v>0</v>
      </c>
      <c r="R194" s="2" t="inlineStr"/>
    </row>
    <row r="195" ht="15" customHeight="1">
      <c r="A195" t="inlineStr">
        <is>
          <t>A 52732-2020</t>
        </is>
      </c>
      <c r="B195" s="1" t="n">
        <v>44118</v>
      </c>
      <c r="C195" s="1" t="n">
        <v>45781</v>
      </c>
      <c r="D195" t="inlineStr">
        <is>
          <t>DALARNAS LÄN</t>
        </is>
      </c>
      <c r="E195" t="inlineStr">
        <is>
          <t>MORA</t>
        </is>
      </c>
      <c r="G195" t="n">
        <v>3.9</v>
      </c>
      <c r="H195" t="n">
        <v>0</v>
      </c>
      <c r="I195" t="n">
        <v>0</v>
      </c>
      <c r="J195" t="n">
        <v>0</v>
      </c>
      <c r="K195" t="n">
        <v>0</v>
      </c>
      <c r="L195" t="n">
        <v>0</v>
      </c>
      <c r="M195" t="n">
        <v>0</v>
      </c>
      <c r="N195" t="n">
        <v>0</v>
      </c>
      <c r="O195" t="n">
        <v>0</v>
      </c>
      <c r="P195" t="n">
        <v>0</v>
      </c>
      <c r="Q195" t="n">
        <v>0</v>
      </c>
      <c r="R195" s="2" t="inlineStr"/>
    </row>
    <row r="196" ht="15" customHeight="1">
      <c r="A196" t="inlineStr">
        <is>
          <t>A 55249-2020</t>
        </is>
      </c>
      <c r="B196" s="1" t="n">
        <v>44130</v>
      </c>
      <c r="C196" s="1" t="n">
        <v>45781</v>
      </c>
      <c r="D196" t="inlineStr">
        <is>
          <t>DALARNAS LÄN</t>
        </is>
      </c>
      <c r="E196" t="inlineStr">
        <is>
          <t>MORA</t>
        </is>
      </c>
      <c r="G196" t="n">
        <v>2.7</v>
      </c>
      <c r="H196" t="n">
        <v>0</v>
      </c>
      <c r="I196" t="n">
        <v>0</v>
      </c>
      <c r="J196" t="n">
        <v>0</v>
      </c>
      <c r="K196" t="n">
        <v>0</v>
      </c>
      <c r="L196" t="n">
        <v>0</v>
      </c>
      <c r="M196" t="n">
        <v>0</v>
      </c>
      <c r="N196" t="n">
        <v>0</v>
      </c>
      <c r="O196" t="n">
        <v>0</v>
      </c>
      <c r="P196" t="n">
        <v>0</v>
      </c>
      <c r="Q196" t="n">
        <v>0</v>
      </c>
      <c r="R196" s="2" t="inlineStr"/>
    </row>
    <row r="197" ht="15" customHeight="1">
      <c r="A197" t="inlineStr">
        <is>
          <t>A 56071-2020</t>
        </is>
      </c>
      <c r="B197" s="1" t="n">
        <v>44133</v>
      </c>
      <c r="C197" s="1" t="n">
        <v>45781</v>
      </c>
      <c r="D197" t="inlineStr">
        <is>
          <t>DALARNAS LÄN</t>
        </is>
      </c>
      <c r="E197" t="inlineStr">
        <is>
          <t>MORA</t>
        </is>
      </c>
      <c r="G197" t="n">
        <v>6.6</v>
      </c>
      <c r="H197" t="n">
        <v>0</v>
      </c>
      <c r="I197" t="n">
        <v>0</v>
      </c>
      <c r="J197" t="n">
        <v>0</v>
      </c>
      <c r="K197" t="n">
        <v>0</v>
      </c>
      <c r="L197" t="n">
        <v>0</v>
      </c>
      <c r="M197" t="n">
        <v>0</v>
      </c>
      <c r="N197" t="n">
        <v>0</v>
      </c>
      <c r="O197" t="n">
        <v>0</v>
      </c>
      <c r="P197" t="n">
        <v>0</v>
      </c>
      <c r="Q197" t="n">
        <v>0</v>
      </c>
      <c r="R197" s="2" t="inlineStr"/>
    </row>
    <row r="198" ht="15" customHeight="1">
      <c r="A198" t="inlineStr">
        <is>
          <t>A 56501-2020</t>
        </is>
      </c>
      <c r="B198" s="1" t="n">
        <v>44137</v>
      </c>
      <c r="C198" s="1" t="n">
        <v>45781</v>
      </c>
      <c r="D198" t="inlineStr">
        <is>
          <t>DALARNAS LÄN</t>
        </is>
      </c>
      <c r="E198" t="inlineStr">
        <is>
          <t>MORA</t>
        </is>
      </c>
      <c r="F198" t="inlineStr">
        <is>
          <t>Allmännings- och besparingsskogar</t>
        </is>
      </c>
      <c r="G198" t="n">
        <v>11</v>
      </c>
      <c r="H198" t="n">
        <v>0</v>
      </c>
      <c r="I198" t="n">
        <v>0</v>
      </c>
      <c r="J198" t="n">
        <v>0</v>
      </c>
      <c r="K198" t="n">
        <v>0</v>
      </c>
      <c r="L198" t="n">
        <v>0</v>
      </c>
      <c r="M198" t="n">
        <v>0</v>
      </c>
      <c r="N198" t="n">
        <v>0</v>
      </c>
      <c r="O198" t="n">
        <v>0</v>
      </c>
      <c r="P198" t="n">
        <v>0</v>
      </c>
      <c r="Q198" t="n">
        <v>0</v>
      </c>
      <c r="R198" s="2" t="inlineStr"/>
    </row>
    <row r="199" ht="15" customHeight="1">
      <c r="A199" t="inlineStr">
        <is>
          <t>A 56976-2020</t>
        </is>
      </c>
      <c r="B199" s="1" t="n">
        <v>44138</v>
      </c>
      <c r="C199" s="1" t="n">
        <v>45781</v>
      </c>
      <c r="D199" t="inlineStr">
        <is>
          <t>DALARNAS LÄN</t>
        </is>
      </c>
      <c r="E199" t="inlineStr">
        <is>
          <t>MORA</t>
        </is>
      </c>
      <c r="F199" t="inlineStr">
        <is>
          <t>Allmännings- och besparingsskogar</t>
        </is>
      </c>
      <c r="G199" t="n">
        <v>0.8</v>
      </c>
      <c r="H199" t="n">
        <v>0</v>
      </c>
      <c r="I199" t="n">
        <v>0</v>
      </c>
      <c r="J199" t="n">
        <v>0</v>
      </c>
      <c r="K199" t="n">
        <v>0</v>
      </c>
      <c r="L199" t="n">
        <v>0</v>
      </c>
      <c r="M199" t="n">
        <v>0</v>
      </c>
      <c r="N199" t="n">
        <v>0</v>
      </c>
      <c r="O199" t="n">
        <v>0</v>
      </c>
      <c r="P199" t="n">
        <v>0</v>
      </c>
      <c r="Q199" t="n">
        <v>0</v>
      </c>
      <c r="R199" s="2" t="inlineStr"/>
    </row>
    <row r="200" ht="15" customHeight="1">
      <c r="A200" t="inlineStr">
        <is>
          <t>A 56974-2020</t>
        </is>
      </c>
      <c r="B200" s="1" t="n">
        <v>44138</v>
      </c>
      <c r="C200" s="1" t="n">
        <v>45781</v>
      </c>
      <c r="D200" t="inlineStr">
        <is>
          <t>DALARNAS LÄN</t>
        </is>
      </c>
      <c r="E200" t="inlineStr">
        <is>
          <t>MORA</t>
        </is>
      </c>
      <c r="F200" t="inlineStr">
        <is>
          <t>Allmännings- och besparingsskogar</t>
        </is>
      </c>
      <c r="G200" t="n">
        <v>5.1</v>
      </c>
      <c r="H200" t="n">
        <v>0</v>
      </c>
      <c r="I200" t="n">
        <v>0</v>
      </c>
      <c r="J200" t="n">
        <v>0</v>
      </c>
      <c r="K200" t="n">
        <v>0</v>
      </c>
      <c r="L200" t="n">
        <v>0</v>
      </c>
      <c r="M200" t="n">
        <v>0</v>
      </c>
      <c r="N200" t="n">
        <v>0</v>
      </c>
      <c r="O200" t="n">
        <v>0</v>
      </c>
      <c r="P200" t="n">
        <v>0</v>
      </c>
      <c r="Q200" t="n">
        <v>0</v>
      </c>
      <c r="R200" s="2" t="inlineStr"/>
    </row>
    <row r="201" ht="15" customHeight="1">
      <c r="A201" t="inlineStr">
        <is>
          <t>A 57268-2020</t>
        </is>
      </c>
      <c r="B201" s="1" t="n">
        <v>44139</v>
      </c>
      <c r="C201" s="1" t="n">
        <v>45781</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57848-2020</t>
        </is>
      </c>
      <c r="B202" s="1" t="n">
        <v>44141</v>
      </c>
      <c r="C202" s="1" t="n">
        <v>45781</v>
      </c>
      <c r="D202" t="inlineStr">
        <is>
          <t>DALARNAS LÄN</t>
        </is>
      </c>
      <c r="E202" t="inlineStr">
        <is>
          <t>MORA</t>
        </is>
      </c>
      <c r="F202" t="inlineStr">
        <is>
          <t>Bergvik skog öst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57926-2020</t>
        </is>
      </c>
      <c r="B203" s="1" t="n">
        <v>44141</v>
      </c>
      <c r="C203" s="1" t="n">
        <v>45781</v>
      </c>
      <c r="D203" t="inlineStr">
        <is>
          <t>DALARNAS LÄN</t>
        </is>
      </c>
      <c r="E203" t="inlineStr">
        <is>
          <t>MORA</t>
        </is>
      </c>
      <c r="F203" t="inlineStr">
        <is>
          <t>Bergvik skog väst AB</t>
        </is>
      </c>
      <c r="G203" t="n">
        <v>13.1</v>
      </c>
      <c r="H203" t="n">
        <v>0</v>
      </c>
      <c r="I203" t="n">
        <v>0</v>
      </c>
      <c r="J203" t="n">
        <v>0</v>
      </c>
      <c r="K203" t="n">
        <v>0</v>
      </c>
      <c r="L203" t="n">
        <v>0</v>
      </c>
      <c r="M203" t="n">
        <v>0</v>
      </c>
      <c r="N203" t="n">
        <v>0</v>
      </c>
      <c r="O203" t="n">
        <v>0</v>
      </c>
      <c r="P203" t="n">
        <v>0</v>
      </c>
      <c r="Q203" t="n">
        <v>0</v>
      </c>
      <c r="R203" s="2" t="inlineStr"/>
    </row>
    <row r="204" ht="15" customHeight="1">
      <c r="A204" t="inlineStr">
        <is>
          <t>A 60250-2020</t>
        </is>
      </c>
      <c r="B204" s="1" t="n">
        <v>44152</v>
      </c>
      <c r="C204" s="1" t="n">
        <v>45781</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61338-2020</t>
        </is>
      </c>
      <c r="B205" s="1" t="n">
        <v>44155</v>
      </c>
      <c r="C205" s="1" t="n">
        <v>45781</v>
      </c>
      <c r="D205" t="inlineStr">
        <is>
          <t>DALARNAS LÄN</t>
        </is>
      </c>
      <c r="E205" t="inlineStr">
        <is>
          <t>MORA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62301-2020</t>
        </is>
      </c>
      <c r="B206" s="1" t="n">
        <v>44160</v>
      </c>
      <c r="C206" s="1" t="n">
        <v>45781</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62266-2020</t>
        </is>
      </c>
      <c r="B207" s="1" t="n">
        <v>44160</v>
      </c>
      <c r="C207" s="1" t="n">
        <v>45781</v>
      </c>
      <c r="D207" t="inlineStr">
        <is>
          <t>DALARNAS LÄN</t>
        </is>
      </c>
      <c r="E207" t="inlineStr">
        <is>
          <t>MORA</t>
        </is>
      </c>
      <c r="F207" t="inlineStr">
        <is>
          <t>Bergvik skog väst AB</t>
        </is>
      </c>
      <c r="G207" t="n">
        <v>5.9</v>
      </c>
      <c r="H207" t="n">
        <v>0</v>
      </c>
      <c r="I207" t="n">
        <v>0</v>
      </c>
      <c r="J207" t="n">
        <v>0</v>
      </c>
      <c r="K207" t="n">
        <v>0</v>
      </c>
      <c r="L207" t="n">
        <v>0</v>
      </c>
      <c r="M207" t="n">
        <v>0</v>
      </c>
      <c r="N207" t="n">
        <v>0</v>
      </c>
      <c r="O207" t="n">
        <v>0</v>
      </c>
      <c r="P207" t="n">
        <v>0</v>
      </c>
      <c r="Q207" t="n">
        <v>0</v>
      </c>
      <c r="R207" s="2" t="inlineStr"/>
    </row>
    <row r="208" ht="15" customHeight="1">
      <c r="A208" t="inlineStr">
        <is>
          <t>A 62268-2020</t>
        </is>
      </c>
      <c r="B208" s="1" t="n">
        <v>44160</v>
      </c>
      <c r="C208" s="1" t="n">
        <v>45781</v>
      </c>
      <c r="D208" t="inlineStr">
        <is>
          <t>DALARNAS LÄN</t>
        </is>
      </c>
      <c r="E208" t="inlineStr">
        <is>
          <t>MORA</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65301-2020</t>
        </is>
      </c>
      <c r="B209" s="1" t="n">
        <v>44169</v>
      </c>
      <c r="C209" s="1" t="n">
        <v>45781</v>
      </c>
      <c r="D209" t="inlineStr">
        <is>
          <t>DALARNAS LÄN</t>
        </is>
      </c>
      <c r="E209" t="inlineStr">
        <is>
          <t>MORA</t>
        </is>
      </c>
      <c r="G209" t="n">
        <v>2.9</v>
      </c>
      <c r="H209" t="n">
        <v>0</v>
      </c>
      <c r="I209" t="n">
        <v>0</v>
      </c>
      <c r="J209" t="n">
        <v>0</v>
      </c>
      <c r="K209" t="n">
        <v>0</v>
      </c>
      <c r="L209" t="n">
        <v>0</v>
      </c>
      <c r="M209" t="n">
        <v>0</v>
      </c>
      <c r="N209" t="n">
        <v>0</v>
      </c>
      <c r="O209" t="n">
        <v>0</v>
      </c>
      <c r="P209" t="n">
        <v>0</v>
      </c>
      <c r="Q209" t="n">
        <v>0</v>
      </c>
      <c r="R209" s="2" t="inlineStr"/>
    </row>
    <row r="210" ht="15" customHeight="1">
      <c r="A210" t="inlineStr">
        <is>
          <t>A 67028-2020</t>
        </is>
      </c>
      <c r="B210" s="1" t="n">
        <v>44180</v>
      </c>
      <c r="C210" s="1" t="n">
        <v>45781</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66990-2020</t>
        </is>
      </c>
      <c r="B211" s="1" t="n">
        <v>44180</v>
      </c>
      <c r="C211" s="1" t="n">
        <v>45781</v>
      </c>
      <c r="D211" t="inlineStr">
        <is>
          <t>DALARNAS LÄN</t>
        </is>
      </c>
      <c r="E211" t="inlineStr">
        <is>
          <t>MORA</t>
        </is>
      </c>
      <c r="G211" t="n">
        <v>1</v>
      </c>
      <c r="H211" t="n">
        <v>0</v>
      </c>
      <c r="I211" t="n">
        <v>0</v>
      </c>
      <c r="J211" t="n">
        <v>0</v>
      </c>
      <c r="K211" t="n">
        <v>0</v>
      </c>
      <c r="L211" t="n">
        <v>0</v>
      </c>
      <c r="M211" t="n">
        <v>0</v>
      </c>
      <c r="N211" t="n">
        <v>0</v>
      </c>
      <c r="O211" t="n">
        <v>0</v>
      </c>
      <c r="P211" t="n">
        <v>0</v>
      </c>
      <c r="Q211" t="n">
        <v>0</v>
      </c>
      <c r="R211" s="2" t="inlineStr"/>
    </row>
    <row r="212" ht="15" customHeight="1">
      <c r="A212" t="inlineStr">
        <is>
          <t>A 68468-2020</t>
        </is>
      </c>
      <c r="B212" s="1" t="n">
        <v>44186</v>
      </c>
      <c r="C212" s="1" t="n">
        <v>45781</v>
      </c>
      <c r="D212" t="inlineStr">
        <is>
          <t>DALARNAS LÄN</t>
        </is>
      </c>
      <c r="E212" t="inlineStr">
        <is>
          <t>MORA</t>
        </is>
      </c>
      <c r="F212" t="inlineStr">
        <is>
          <t>Bergvik skog öst AB</t>
        </is>
      </c>
      <c r="G212" t="n">
        <v>6.5</v>
      </c>
      <c r="H212" t="n">
        <v>0</v>
      </c>
      <c r="I212" t="n">
        <v>0</v>
      </c>
      <c r="J212" t="n">
        <v>0</v>
      </c>
      <c r="K212" t="n">
        <v>0</v>
      </c>
      <c r="L212" t="n">
        <v>0</v>
      </c>
      <c r="M212" t="n">
        <v>0</v>
      </c>
      <c r="N212" t="n">
        <v>0</v>
      </c>
      <c r="O212" t="n">
        <v>0</v>
      </c>
      <c r="P212" t="n">
        <v>0</v>
      </c>
      <c r="Q212" t="n">
        <v>0</v>
      </c>
      <c r="R212" s="2" t="inlineStr"/>
    </row>
    <row r="213" ht="15" customHeight="1">
      <c r="A213" t="inlineStr">
        <is>
          <t>A 68832-2020</t>
        </is>
      </c>
      <c r="B213" s="1" t="n">
        <v>44187</v>
      </c>
      <c r="C213" s="1" t="n">
        <v>45781</v>
      </c>
      <c r="D213" t="inlineStr">
        <is>
          <t>DALARNAS LÄN</t>
        </is>
      </c>
      <c r="E213" t="inlineStr">
        <is>
          <t>MORA</t>
        </is>
      </c>
      <c r="G213" t="n">
        <v>7.7</v>
      </c>
      <c r="H213" t="n">
        <v>0</v>
      </c>
      <c r="I213" t="n">
        <v>0</v>
      </c>
      <c r="J213" t="n">
        <v>0</v>
      </c>
      <c r="K213" t="n">
        <v>0</v>
      </c>
      <c r="L213" t="n">
        <v>0</v>
      </c>
      <c r="M213" t="n">
        <v>0</v>
      </c>
      <c r="N213" t="n">
        <v>0</v>
      </c>
      <c r="O213" t="n">
        <v>0</v>
      </c>
      <c r="P213" t="n">
        <v>0</v>
      </c>
      <c r="Q213" t="n">
        <v>0</v>
      </c>
      <c r="R213" s="2" t="inlineStr"/>
    </row>
    <row r="214" ht="15" customHeight="1">
      <c r="A214" t="inlineStr">
        <is>
          <t>A 69517-2020</t>
        </is>
      </c>
      <c r="B214" s="1" t="n">
        <v>44194</v>
      </c>
      <c r="C214" s="1" t="n">
        <v>45781</v>
      </c>
      <c r="D214" t="inlineStr">
        <is>
          <t>DALARNAS LÄN</t>
        </is>
      </c>
      <c r="E214" t="inlineStr">
        <is>
          <t>MORA</t>
        </is>
      </c>
      <c r="G214" t="n">
        <v>2</v>
      </c>
      <c r="H214" t="n">
        <v>0</v>
      </c>
      <c r="I214" t="n">
        <v>0</v>
      </c>
      <c r="J214" t="n">
        <v>0</v>
      </c>
      <c r="K214" t="n">
        <v>0</v>
      </c>
      <c r="L214" t="n">
        <v>0</v>
      </c>
      <c r="M214" t="n">
        <v>0</v>
      </c>
      <c r="N214" t="n">
        <v>0</v>
      </c>
      <c r="O214" t="n">
        <v>0</v>
      </c>
      <c r="P214" t="n">
        <v>0</v>
      </c>
      <c r="Q214" t="n">
        <v>0</v>
      </c>
      <c r="R214" s="2" t="inlineStr"/>
    </row>
    <row r="215" ht="15" customHeight="1">
      <c r="A215" t="inlineStr">
        <is>
          <t>A 69519-2020</t>
        </is>
      </c>
      <c r="B215" s="1" t="n">
        <v>44194</v>
      </c>
      <c r="C215" s="1" t="n">
        <v>45781</v>
      </c>
      <c r="D215" t="inlineStr">
        <is>
          <t>DALARNAS LÄN</t>
        </is>
      </c>
      <c r="E215" t="inlineStr">
        <is>
          <t>MORA</t>
        </is>
      </c>
      <c r="G215" t="n">
        <v>0.4</v>
      </c>
      <c r="H215" t="n">
        <v>0</v>
      </c>
      <c r="I215" t="n">
        <v>0</v>
      </c>
      <c r="J215" t="n">
        <v>0</v>
      </c>
      <c r="K215" t="n">
        <v>0</v>
      </c>
      <c r="L215" t="n">
        <v>0</v>
      </c>
      <c r="M215" t="n">
        <v>0</v>
      </c>
      <c r="N215" t="n">
        <v>0</v>
      </c>
      <c r="O215" t="n">
        <v>0</v>
      </c>
      <c r="P215" t="n">
        <v>0</v>
      </c>
      <c r="Q215" t="n">
        <v>0</v>
      </c>
      <c r="R215" s="2" t="inlineStr"/>
    </row>
    <row r="216" ht="15" customHeight="1">
      <c r="A216" t="inlineStr">
        <is>
          <t>A 655-2021</t>
        </is>
      </c>
      <c r="B216" s="1" t="n">
        <v>44203</v>
      </c>
      <c r="C216" s="1" t="n">
        <v>45781</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768-2021</t>
        </is>
      </c>
      <c r="B217" s="1" t="n">
        <v>44203</v>
      </c>
      <c r="C217" s="1" t="n">
        <v>45781</v>
      </c>
      <c r="D217" t="inlineStr">
        <is>
          <t>DALARNAS LÄN</t>
        </is>
      </c>
      <c r="E217" t="inlineStr">
        <is>
          <t>MORA</t>
        </is>
      </c>
      <c r="G217" t="n">
        <v>1.2</v>
      </c>
      <c r="H217" t="n">
        <v>0</v>
      </c>
      <c r="I217" t="n">
        <v>0</v>
      </c>
      <c r="J217" t="n">
        <v>0</v>
      </c>
      <c r="K217" t="n">
        <v>0</v>
      </c>
      <c r="L217" t="n">
        <v>0</v>
      </c>
      <c r="M217" t="n">
        <v>0</v>
      </c>
      <c r="N217" t="n">
        <v>0</v>
      </c>
      <c r="O217" t="n">
        <v>0</v>
      </c>
      <c r="P217" t="n">
        <v>0</v>
      </c>
      <c r="Q217" t="n">
        <v>0</v>
      </c>
      <c r="R217" s="2" t="inlineStr"/>
    </row>
    <row r="218" ht="15" customHeight="1">
      <c r="A218" t="inlineStr">
        <is>
          <t>A 770-2021</t>
        </is>
      </c>
      <c r="B218" s="1" t="n">
        <v>44203</v>
      </c>
      <c r="C218" s="1" t="n">
        <v>45781</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782-2021</t>
        </is>
      </c>
      <c r="B219" s="1" t="n">
        <v>44203</v>
      </c>
      <c r="C219" s="1" t="n">
        <v>45781</v>
      </c>
      <c r="D219" t="inlineStr">
        <is>
          <t>DALARNAS LÄN</t>
        </is>
      </c>
      <c r="E219" t="inlineStr">
        <is>
          <t>MORA</t>
        </is>
      </c>
      <c r="G219" t="n">
        <v>1.7</v>
      </c>
      <c r="H219" t="n">
        <v>0</v>
      </c>
      <c r="I219" t="n">
        <v>0</v>
      </c>
      <c r="J219" t="n">
        <v>0</v>
      </c>
      <c r="K219" t="n">
        <v>0</v>
      </c>
      <c r="L219" t="n">
        <v>0</v>
      </c>
      <c r="M219" t="n">
        <v>0</v>
      </c>
      <c r="N219" t="n">
        <v>0</v>
      </c>
      <c r="O219" t="n">
        <v>0</v>
      </c>
      <c r="P219" t="n">
        <v>0</v>
      </c>
      <c r="Q219" t="n">
        <v>0</v>
      </c>
      <c r="R219" s="2" t="inlineStr"/>
    </row>
    <row r="220" ht="15" customHeight="1">
      <c r="A220" t="inlineStr">
        <is>
          <t>A 787-2021</t>
        </is>
      </c>
      <c r="B220" s="1" t="n">
        <v>44203</v>
      </c>
      <c r="C220" s="1" t="n">
        <v>45781</v>
      </c>
      <c r="D220" t="inlineStr">
        <is>
          <t>DALARNAS LÄN</t>
        </is>
      </c>
      <c r="E220" t="inlineStr">
        <is>
          <t>MORA</t>
        </is>
      </c>
      <c r="G220" t="n">
        <v>3.9</v>
      </c>
      <c r="H220" t="n">
        <v>0</v>
      </c>
      <c r="I220" t="n">
        <v>0</v>
      </c>
      <c r="J220" t="n">
        <v>0</v>
      </c>
      <c r="K220" t="n">
        <v>0</v>
      </c>
      <c r="L220" t="n">
        <v>0</v>
      </c>
      <c r="M220" t="n">
        <v>0</v>
      </c>
      <c r="N220" t="n">
        <v>0</v>
      </c>
      <c r="O220" t="n">
        <v>0</v>
      </c>
      <c r="P220" t="n">
        <v>0</v>
      </c>
      <c r="Q220" t="n">
        <v>0</v>
      </c>
      <c r="R220" s="2" t="inlineStr"/>
    </row>
    <row r="221" ht="15" customHeight="1">
      <c r="A221" t="inlineStr">
        <is>
          <t>A 657-2021</t>
        </is>
      </c>
      <c r="B221" s="1" t="n">
        <v>44203</v>
      </c>
      <c r="C221" s="1" t="n">
        <v>45781</v>
      </c>
      <c r="D221" t="inlineStr">
        <is>
          <t>DALARNAS LÄN</t>
        </is>
      </c>
      <c r="E221" t="inlineStr">
        <is>
          <t>MORA</t>
        </is>
      </c>
      <c r="G221" t="n">
        <v>1.8</v>
      </c>
      <c r="H221" t="n">
        <v>0</v>
      </c>
      <c r="I221" t="n">
        <v>0</v>
      </c>
      <c r="J221" t="n">
        <v>0</v>
      </c>
      <c r="K221" t="n">
        <v>0</v>
      </c>
      <c r="L221" t="n">
        <v>0</v>
      </c>
      <c r="M221" t="n">
        <v>0</v>
      </c>
      <c r="N221" t="n">
        <v>0</v>
      </c>
      <c r="O221" t="n">
        <v>0</v>
      </c>
      <c r="P221" t="n">
        <v>0</v>
      </c>
      <c r="Q221" t="n">
        <v>0</v>
      </c>
      <c r="R221" s="2" t="inlineStr"/>
    </row>
    <row r="222" ht="15" customHeight="1">
      <c r="A222" t="inlineStr">
        <is>
          <t>A 769-2021</t>
        </is>
      </c>
      <c r="B222" s="1" t="n">
        <v>44203</v>
      </c>
      <c r="C222" s="1" t="n">
        <v>45781</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790-2021</t>
        </is>
      </c>
      <c r="B223" s="1" t="n">
        <v>44203</v>
      </c>
      <c r="C223" s="1" t="n">
        <v>45781</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837-2021</t>
        </is>
      </c>
      <c r="B224" s="1" t="n">
        <v>44204</v>
      </c>
      <c r="C224" s="1" t="n">
        <v>45781</v>
      </c>
      <c r="D224" t="inlineStr">
        <is>
          <t>DALARNAS LÄN</t>
        </is>
      </c>
      <c r="E224" t="inlineStr">
        <is>
          <t>MORA</t>
        </is>
      </c>
      <c r="G224" t="n">
        <v>10.4</v>
      </c>
      <c r="H224" t="n">
        <v>0</v>
      </c>
      <c r="I224" t="n">
        <v>0</v>
      </c>
      <c r="J224" t="n">
        <v>0</v>
      </c>
      <c r="K224" t="n">
        <v>0</v>
      </c>
      <c r="L224" t="n">
        <v>0</v>
      </c>
      <c r="M224" t="n">
        <v>0</v>
      </c>
      <c r="N224" t="n">
        <v>0</v>
      </c>
      <c r="O224" t="n">
        <v>0</v>
      </c>
      <c r="P224" t="n">
        <v>0</v>
      </c>
      <c r="Q224" t="n">
        <v>0</v>
      </c>
      <c r="R224" s="2" t="inlineStr"/>
    </row>
    <row r="225" ht="15" customHeight="1">
      <c r="A225" t="inlineStr">
        <is>
          <t>A 1951-2021</t>
        </is>
      </c>
      <c r="B225" s="1" t="n">
        <v>44210</v>
      </c>
      <c r="C225" s="1" t="n">
        <v>45781</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8064-2021</t>
        </is>
      </c>
      <c r="B226" s="1" t="n">
        <v>44243</v>
      </c>
      <c r="C226" s="1" t="n">
        <v>45781</v>
      </c>
      <c r="D226" t="inlineStr">
        <is>
          <t>DALARNAS LÄN</t>
        </is>
      </c>
      <c r="E226" t="inlineStr">
        <is>
          <t>MORA</t>
        </is>
      </c>
      <c r="G226" t="n">
        <v>4</v>
      </c>
      <c r="H226" t="n">
        <v>0</v>
      </c>
      <c r="I226" t="n">
        <v>0</v>
      </c>
      <c r="J226" t="n">
        <v>0</v>
      </c>
      <c r="K226" t="n">
        <v>0</v>
      </c>
      <c r="L226" t="n">
        <v>0</v>
      </c>
      <c r="M226" t="n">
        <v>0</v>
      </c>
      <c r="N226" t="n">
        <v>0</v>
      </c>
      <c r="O226" t="n">
        <v>0</v>
      </c>
      <c r="P226" t="n">
        <v>0</v>
      </c>
      <c r="Q226" t="n">
        <v>0</v>
      </c>
      <c r="R226" s="2" t="inlineStr"/>
    </row>
    <row r="227" ht="15" customHeight="1">
      <c r="A227" t="inlineStr">
        <is>
          <t>A 8146-2021</t>
        </is>
      </c>
      <c r="B227" s="1" t="n">
        <v>44244</v>
      </c>
      <c r="C227" s="1" t="n">
        <v>45781</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8153-2021</t>
        </is>
      </c>
      <c r="B228" s="1" t="n">
        <v>44244</v>
      </c>
      <c r="C228" s="1" t="n">
        <v>45781</v>
      </c>
      <c r="D228" t="inlineStr">
        <is>
          <t>DALARNAS LÄN</t>
        </is>
      </c>
      <c r="E228" t="inlineStr">
        <is>
          <t>MORA</t>
        </is>
      </c>
      <c r="G228" t="n">
        <v>2.5</v>
      </c>
      <c r="H228" t="n">
        <v>0</v>
      </c>
      <c r="I228" t="n">
        <v>0</v>
      </c>
      <c r="J228" t="n">
        <v>0</v>
      </c>
      <c r="K228" t="n">
        <v>0</v>
      </c>
      <c r="L228" t="n">
        <v>0</v>
      </c>
      <c r="M228" t="n">
        <v>0</v>
      </c>
      <c r="N228" t="n">
        <v>0</v>
      </c>
      <c r="O228" t="n">
        <v>0</v>
      </c>
      <c r="P228" t="n">
        <v>0</v>
      </c>
      <c r="Q228" t="n">
        <v>0</v>
      </c>
      <c r="R228" s="2" t="inlineStr"/>
    </row>
    <row r="229" ht="15" customHeight="1">
      <c r="A229" t="inlineStr">
        <is>
          <t>A 12151-2021</t>
        </is>
      </c>
      <c r="B229" s="1" t="n">
        <v>44266</v>
      </c>
      <c r="C229" s="1" t="n">
        <v>45781</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16840-2021</t>
        </is>
      </c>
      <c r="B230" s="1" t="n">
        <v>44295</v>
      </c>
      <c r="C230" s="1" t="n">
        <v>45781</v>
      </c>
      <c r="D230" t="inlineStr">
        <is>
          <t>DALARNAS LÄN</t>
        </is>
      </c>
      <c r="E230" t="inlineStr">
        <is>
          <t>MORA</t>
        </is>
      </c>
      <c r="G230" t="n">
        <v>11.5</v>
      </c>
      <c r="H230" t="n">
        <v>0</v>
      </c>
      <c r="I230" t="n">
        <v>0</v>
      </c>
      <c r="J230" t="n">
        <v>0</v>
      </c>
      <c r="K230" t="n">
        <v>0</v>
      </c>
      <c r="L230" t="n">
        <v>0</v>
      </c>
      <c r="M230" t="n">
        <v>0</v>
      </c>
      <c r="N230" t="n">
        <v>0</v>
      </c>
      <c r="O230" t="n">
        <v>0</v>
      </c>
      <c r="P230" t="n">
        <v>0</v>
      </c>
      <c r="Q230" t="n">
        <v>0</v>
      </c>
      <c r="R230" s="2" t="inlineStr"/>
    </row>
    <row r="231" ht="15" customHeight="1">
      <c r="A231" t="inlineStr">
        <is>
          <t>A 17915-2021</t>
        </is>
      </c>
      <c r="B231" s="1" t="n">
        <v>44301</v>
      </c>
      <c r="C231" s="1" t="n">
        <v>45781</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17904-2021</t>
        </is>
      </c>
      <c r="B232" s="1" t="n">
        <v>44301</v>
      </c>
      <c r="C232" s="1" t="n">
        <v>45781</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19383-2021</t>
        </is>
      </c>
      <c r="B233" s="1" t="n">
        <v>44309</v>
      </c>
      <c r="C233" s="1" t="n">
        <v>45781</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19896-2021</t>
        </is>
      </c>
      <c r="B234" s="1" t="n">
        <v>44313</v>
      </c>
      <c r="C234" s="1" t="n">
        <v>45781</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20125-2021</t>
        </is>
      </c>
      <c r="B235" s="1" t="n">
        <v>44314</v>
      </c>
      <c r="C235" s="1" t="n">
        <v>45781</v>
      </c>
      <c r="D235" t="inlineStr">
        <is>
          <t>DALARNAS LÄN</t>
        </is>
      </c>
      <c r="E235" t="inlineStr">
        <is>
          <t>MORA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22931-2021</t>
        </is>
      </c>
      <c r="B236" s="1" t="n">
        <v>44326</v>
      </c>
      <c r="C236" s="1" t="n">
        <v>45781</v>
      </c>
      <c r="D236" t="inlineStr">
        <is>
          <t>DALARNAS LÄN</t>
        </is>
      </c>
      <c r="E236" t="inlineStr">
        <is>
          <t>MORA</t>
        </is>
      </c>
      <c r="G236" t="n">
        <v>4.4</v>
      </c>
      <c r="H236" t="n">
        <v>0</v>
      </c>
      <c r="I236" t="n">
        <v>0</v>
      </c>
      <c r="J236" t="n">
        <v>0</v>
      </c>
      <c r="K236" t="n">
        <v>0</v>
      </c>
      <c r="L236" t="n">
        <v>0</v>
      </c>
      <c r="M236" t="n">
        <v>0</v>
      </c>
      <c r="N236" t="n">
        <v>0</v>
      </c>
      <c r="O236" t="n">
        <v>0</v>
      </c>
      <c r="P236" t="n">
        <v>0</v>
      </c>
      <c r="Q236" t="n">
        <v>0</v>
      </c>
      <c r="R236" s="2" t="inlineStr"/>
    </row>
    <row r="237" ht="15" customHeight="1">
      <c r="A237" t="inlineStr">
        <is>
          <t>A 24465-2021</t>
        </is>
      </c>
      <c r="B237" s="1" t="n">
        <v>44337</v>
      </c>
      <c r="C237" s="1" t="n">
        <v>45781</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25750-2021</t>
        </is>
      </c>
      <c r="B238" s="1" t="n">
        <v>44343</v>
      </c>
      <c r="C238" s="1" t="n">
        <v>45781</v>
      </c>
      <c r="D238" t="inlineStr">
        <is>
          <t>DALARNAS LÄN</t>
        </is>
      </c>
      <c r="E238" t="inlineStr">
        <is>
          <t>MORA</t>
        </is>
      </c>
      <c r="G238" t="n">
        <v>3.4</v>
      </c>
      <c r="H238" t="n">
        <v>0</v>
      </c>
      <c r="I238" t="n">
        <v>0</v>
      </c>
      <c r="J238" t="n">
        <v>0</v>
      </c>
      <c r="K238" t="n">
        <v>0</v>
      </c>
      <c r="L238" t="n">
        <v>0</v>
      </c>
      <c r="M238" t="n">
        <v>0</v>
      </c>
      <c r="N238" t="n">
        <v>0</v>
      </c>
      <c r="O238" t="n">
        <v>0</v>
      </c>
      <c r="P238" t="n">
        <v>0</v>
      </c>
      <c r="Q238" t="n">
        <v>0</v>
      </c>
      <c r="R238" s="2" t="inlineStr"/>
    </row>
    <row r="239" ht="15" customHeight="1">
      <c r="A239" t="inlineStr">
        <is>
          <t>A 26314-2021</t>
        </is>
      </c>
      <c r="B239" s="1" t="n">
        <v>44347</v>
      </c>
      <c r="C239" s="1" t="n">
        <v>45781</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29697-2021</t>
        </is>
      </c>
      <c r="B240" s="1" t="n">
        <v>44362</v>
      </c>
      <c r="C240" s="1" t="n">
        <v>45781</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30030-2021</t>
        </is>
      </c>
      <c r="B241" s="1" t="n">
        <v>44363</v>
      </c>
      <c r="C241" s="1" t="n">
        <v>45781</v>
      </c>
      <c r="D241" t="inlineStr">
        <is>
          <t>DALARNAS LÄN</t>
        </is>
      </c>
      <c r="E241" t="inlineStr">
        <is>
          <t>MORA</t>
        </is>
      </c>
      <c r="G241" t="n">
        <v>7.1</v>
      </c>
      <c r="H241" t="n">
        <v>0</v>
      </c>
      <c r="I241" t="n">
        <v>0</v>
      </c>
      <c r="J241" t="n">
        <v>0</v>
      </c>
      <c r="K241" t="n">
        <v>0</v>
      </c>
      <c r="L241" t="n">
        <v>0</v>
      </c>
      <c r="M241" t="n">
        <v>0</v>
      </c>
      <c r="N241" t="n">
        <v>0</v>
      </c>
      <c r="O241" t="n">
        <v>0</v>
      </c>
      <c r="P241" t="n">
        <v>0</v>
      </c>
      <c r="Q241" t="n">
        <v>0</v>
      </c>
      <c r="R241" s="2" t="inlineStr"/>
    </row>
    <row r="242" ht="15" customHeight="1">
      <c r="A242" t="inlineStr">
        <is>
          <t>A 30895-2021</t>
        </is>
      </c>
      <c r="B242" s="1" t="n">
        <v>44365</v>
      </c>
      <c r="C242" s="1" t="n">
        <v>45781</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30888-2021</t>
        </is>
      </c>
      <c r="B243" s="1" t="n">
        <v>44365</v>
      </c>
      <c r="C243" s="1" t="n">
        <v>45781</v>
      </c>
      <c r="D243" t="inlineStr">
        <is>
          <t>DALARNAS LÄN</t>
        </is>
      </c>
      <c r="E243" t="inlineStr">
        <is>
          <t>MORA</t>
        </is>
      </c>
      <c r="G243" t="n">
        <v>0.4</v>
      </c>
      <c r="H243" t="n">
        <v>0</v>
      </c>
      <c r="I243" t="n">
        <v>0</v>
      </c>
      <c r="J243" t="n">
        <v>0</v>
      </c>
      <c r="K243" t="n">
        <v>0</v>
      </c>
      <c r="L243" t="n">
        <v>0</v>
      </c>
      <c r="M243" t="n">
        <v>0</v>
      </c>
      <c r="N243" t="n">
        <v>0</v>
      </c>
      <c r="O243" t="n">
        <v>0</v>
      </c>
      <c r="P243" t="n">
        <v>0</v>
      </c>
      <c r="Q243" t="n">
        <v>0</v>
      </c>
      <c r="R243" s="2" t="inlineStr"/>
    </row>
    <row r="244" ht="15" customHeight="1">
      <c r="A244" t="inlineStr">
        <is>
          <t>A 30905-2021</t>
        </is>
      </c>
      <c r="B244" s="1" t="n">
        <v>44365</v>
      </c>
      <c r="C244" s="1" t="n">
        <v>45781</v>
      </c>
      <c r="D244" t="inlineStr">
        <is>
          <t>DALARNAS LÄN</t>
        </is>
      </c>
      <c r="E244" t="inlineStr">
        <is>
          <t>MORA</t>
        </is>
      </c>
      <c r="G244" t="n">
        <v>2.6</v>
      </c>
      <c r="H244" t="n">
        <v>0</v>
      </c>
      <c r="I244" t="n">
        <v>0</v>
      </c>
      <c r="J244" t="n">
        <v>0</v>
      </c>
      <c r="K244" t="n">
        <v>0</v>
      </c>
      <c r="L244" t="n">
        <v>0</v>
      </c>
      <c r="M244" t="n">
        <v>0</v>
      </c>
      <c r="N244" t="n">
        <v>0</v>
      </c>
      <c r="O244" t="n">
        <v>0</v>
      </c>
      <c r="P244" t="n">
        <v>0</v>
      </c>
      <c r="Q244" t="n">
        <v>0</v>
      </c>
      <c r="R244" s="2" t="inlineStr"/>
    </row>
    <row r="245" ht="15" customHeight="1">
      <c r="A245" t="inlineStr">
        <is>
          <t>A 31169-2021</t>
        </is>
      </c>
      <c r="B245" s="1" t="n">
        <v>44368</v>
      </c>
      <c r="C245" s="1" t="n">
        <v>45781</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31177-2021</t>
        </is>
      </c>
      <c r="B246" s="1" t="n">
        <v>44368</v>
      </c>
      <c r="C246" s="1" t="n">
        <v>45781</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31689-2021</t>
        </is>
      </c>
      <c r="B247" s="1" t="n">
        <v>44369</v>
      </c>
      <c r="C247" s="1" t="n">
        <v>45781</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31705-2021</t>
        </is>
      </c>
      <c r="B248" s="1" t="n">
        <v>44369</v>
      </c>
      <c r="C248" s="1" t="n">
        <v>45781</v>
      </c>
      <c r="D248" t="inlineStr">
        <is>
          <t>DALARNAS LÄN</t>
        </is>
      </c>
      <c r="E248" t="inlineStr">
        <is>
          <t>MORA</t>
        </is>
      </c>
      <c r="G248" t="n">
        <v>0.2</v>
      </c>
      <c r="H248" t="n">
        <v>0</v>
      </c>
      <c r="I248" t="n">
        <v>0</v>
      </c>
      <c r="J248" t="n">
        <v>0</v>
      </c>
      <c r="K248" t="n">
        <v>0</v>
      </c>
      <c r="L248" t="n">
        <v>0</v>
      </c>
      <c r="M248" t="n">
        <v>0</v>
      </c>
      <c r="N248" t="n">
        <v>0</v>
      </c>
      <c r="O248" t="n">
        <v>0</v>
      </c>
      <c r="P248" t="n">
        <v>0</v>
      </c>
      <c r="Q248" t="n">
        <v>0</v>
      </c>
      <c r="R248" s="2" t="inlineStr"/>
    </row>
    <row r="249" ht="15" customHeight="1">
      <c r="A249" t="inlineStr">
        <is>
          <t>A 34018-2021</t>
        </is>
      </c>
      <c r="B249" s="1" t="n">
        <v>44379</v>
      </c>
      <c r="C249" s="1" t="n">
        <v>45781</v>
      </c>
      <c r="D249" t="inlineStr">
        <is>
          <t>DALARNAS LÄN</t>
        </is>
      </c>
      <c r="E249" t="inlineStr">
        <is>
          <t>MORA</t>
        </is>
      </c>
      <c r="G249" t="n">
        <v>5.7</v>
      </c>
      <c r="H249" t="n">
        <v>0</v>
      </c>
      <c r="I249" t="n">
        <v>0</v>
      </c>
      <c r="J249" t="n">
        <v>0</v>
      </c>
      <c r="K249" t="n">
        <v>0</v>
      </c>
      <c r="L249" t="n">
        <v>0</v>
      </c>
      <c r="M249" t="n">
        <v>0</v>
      </c>
      <c r="N249" t="n">
        <v>0</v>
      </c>
      <c r="O249" t="n">
        <v>0</v>
      </c>
      <c r="P249" t="n">
        <v>0</v>
      </c>
      <c r="Q249" t="n">
        <v>0</v>
      </c>
      <c r="R249" s="2" t="inlineStr"/>
    </row>
    <row r="250" ht="15" customHeight="1">
      <c r="A250" t="inlineStr">
        <is>
          <t>A 34660-2021</t>
        </is>
      </c>
      <c r="B250" s="1" t="n">
        <v>44382</v>
      </c>
      <c r="C250" s="1" t="n">
        <v>45781</v>
      </c>
      <c r="D250" t="inlineStr">
        <is>
          <t>DALARNAS LÄN</t>
        </is>
      </c>
      <c r="E250" t="inlineStr">
        <is>
          <t>MORA</t>
        </is>
      </c>
      <c r="G250" t="n">
        <v>7.5</v>
      </c>
      <c r="H250" t="n">
        <v>0</v>
      </c>
      <c r="I250" t="n">
        <v>0</v>
      </c>
      <c r="J250" t="n">
        <v>0</v>
      </c>
      <c r="K250" t="n">
        <v>0</v>
      </c>
      <c r="L250" t="n">
        <v>0</v>
      </c>
      <c r="M250" t="n">
        <v>0</v>
      </c>
      <c r="N250" t="n">
        <v>0</v>
      </c>
      <c r="O250" t="n">
        <v>0</v>
      </c>
      <c r="P250" t="n">
        <v>0</v>
      </c>
      <c r="Q250" t="n">
        <v>0</v>
      </c>
      <c r="R250" s="2" t="inlineStr"/>
    </row>
    <row r="251" ht="15" customHeight="1">
      <c r="A251" t="inlineStr">
        <is>
          <t>A 34715-2021</t>
        </is>
      </c>
      <c r="B251" s="1" t="n">
        <v>44382</v>
      </c>
      <c r="C251" s="1" t="n">
        <v>45781</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34875-2021</t>
        </is>
      </c>
      <c r="B252" s="1" t="n">
        <v>44383</v>
      </c>
      <c r="C252" s="1" t="n">
        <v>45781</v>
      </c>
      <c r="D252" t="inlineStr">
        <is>
          <t>DALARNAS LÄN</t>
        </is>
      </c>
      <c r="E252" t="inlineStr">
        <is>
          <t>MORA</t>
        </is>
      </c>
      <c r="G252" t="n">
        <v>5.2</v>
      </c>
      <c r="H252" t="n">
        <v>0</v>
      </c>
      <c r="I252" t="n">
        <v>0</v>
      </c>
      <c r="J252" t="n">
        <v>0</v>
      </c>
      <c r="K252" t="n">
        <v>0</v>
      </c>
      <c r="L252" t="n">
        <v>0</v>
      </c>
      <c r="M252" t="n">
        <v>0</v>
      </c>
      <c r="N252" t="n">
        <v>0</v>
      </c>
      <c r="O252" t="n">
        <v>0</v>
      </c>
      <c r="P252" t="n">
        <v>0</v>
      </c>
      <c r="Q252" t="n">
        <v>0</v>
      </c>
      <c r="R252" s="2" t="inlineStr"/>
    </row>
    <row r="253" ht="15" customHeight="1">
      <c r="A253" t="inlineStr">
        <is>
          <t>A 35005-2021</t>
        </is>
      </c>
      <c r="B253" s="1" t="n">
        <v>44383</v>
      </c>
      <c r="C253" s="1" t="n">
        <v>45781</v>
      </c>
      <c r="D253" t="inlineStr">
        <is>
          <t>DALARNAS LÄN</t>
        </is>
      </c>
      <c r="E253" t="inlineStr">
        <is>
          <t>MORA</t>
        </is>
      </c>
      <c r="G253" t="n">
        <v>1.3</v>
      </c>
      <c r="H253" t="n">
        <v>0</v>
      </c>
      <c r="I253" t="n">
        <v>0</v>
      </c>
      <c r="J253" t="n">
        <v>0</v>
      </c>
      <c r="K253" t="n">
        <v>0</v>
      </c>
      <c r="L253" t="n">
        <v>0</v>
      </c>
      <c r="M253" t="n">
        <v>0</v>
      </c>
      <c r="N253" t="n">
        <v>0</v>
      </c>
      <c r="O253" t="n">
        <v>0</v>
      </c>
      <c r="P253" t="n">
        <v>0</v>
      </c>
      <c r="Q253" t="n">
        <v>0</v>
      </c>
      <c r="R253" s="2" t="inlineStr"/>
    </row>
    <row r="254" ht="15" customHeight="1">
      <c r="A254" t="inlineStr">
        <is>
          <t>A 36168-2021</t>
        </is>
      </c>
      <c r="B254" s="1" t="n">
        <v>44389</v>
      </c>
      <c r="C254" s="1" t="n">
        <v>45781</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36184-2021</t>
        </is>
      </c>
      <c r="B255" s="1" t="n">
        <v>44389</v>
      </c>
      <c r="C255" s="1" t="n">
        <v>45781</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36173-2021</t>
        </is>
      </c>
      <c r="B256" s="1" t="n">
        <v>44389</v>
      </c>
      <c r="C256" s="1" t="n">
        <v>45781</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38769-2021</t>
        </is>
      </c>
      <c r="B257" s="1" t="n">
        <v>44410</v>
      </c>
      <c r="C257" s="1" t="n">
        <v>45781</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39227-2021</t>
        </is>
      </c>
      <c r="B258" s="1" t="n">
        <v>44413</v>
      </c>
      <c r="C258" s="1" t="n">
        <v>45781</v>
      </c>
      <c r="D258" t="inlineStr">
        <is>
          <t>DALARNAS LÄN</t>
        </is>
      </c>
      <c r="E258" t="inlineStr">
        <is>
          <t>MORA</t>
        </is>
      </c>
      <c r="G258" t="n">
        <v>3.3</v>
      </c>
      <c r="H258" t="n">
        <v>0</v>
      </c>
      <c r="I258" t="n">
        <v>0</v>
      </c>
      <c r="J258" t="n">
        <v>0</v>
      </c>
      <c r="K258" t="n">
        <v>0</v>
      </c>
      <c r="L258" t="n">
        <v>0</v>
      </c>
      <c r="M258" t="n">
        <v>0</v>
      </c>
      <c r="N258" t="n">
        <v>0</v>
      </c>
      <c r="O258" t="n">
        <v>0</v>
      </c>
      <c r="P258" t="n">
        <v>0</v>
      </c>
      <c r="Q258" t="n">
        <v>0</v>
      </c>
      <c r="R258" s="2" t="inlineStr"/>
    </row>
    <row r="259" ht="15" customHeight="1">
      <c r="A259" t="inlineStr">
        <is>
          <t>A 39198-2021</t>
        </is>
      </c>
      <c r="B259" s="1" t="n">
        <v>44413</v>
      </c>
      <c r="C259" s="1" t="n">
        <v>45781</v>
      </c>
      <c r="D259" t="inlineStr">
        <is>
          <t>DALARNAS LÄN</t>
        </is>
      </c>
      <c r="E259" t="inlineStr">
        <is>
          <t>MORA</t>
        </is>
      </c>
      <c r="G259" t="n">
        <v>4.6</v>
      </c>
      <c r="H259" t="n">
        <v>0</v>
      </c>
      <c r="I259" t="n">
        <v>0</v>
      </c>
      <c r="J259" t="n">
        <v>0</v>
      </c>
      <c r="K259" t="n">
        <v>0</v>
      </c>
      <c r="L259" t="n">
        <v>0</v>
      </c>
      <c r="M259" t="n">
        <v>0</v>
      </c>
      <c r="N259" t="n">
        <v>0</v>
      </c>
      <c r="O259" t="n">
        <v>0</v>
      </c>
      <c r="P259" t="n">
        <v>0</v>
      </c>
      <c r="Q259" t="n">
        <v>0</v>
      </c>
      <c r="R259" s="2" t="inlineStr"/>
    </row>
    <row r="260" ht="15" customHeight="1">
      <c r="A260" t="inlineStr">
        <is>
          <t>A 39672-2021</t>
        </is>
      </c>
      <c r="B260" s="1" t="n">
        <v>44417</v>
      </c>
      <c r="C260" s="1" t="n">
        <v>45781</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41022-2021</t>
        </is>
      </c>
      <c r="B261" s="1" t="n">
        <v>44421</v>
      </c>
      <c r="C261" s="1" t="n">
        <v>45781</v>
      </c>
      <c r="D261" t="inlineStr">
        <is>
          <t>DALARNAS LÄN</t>
        </is>
      </c>
      <c r="E261" t="inlineStr">
        <is>
          <t>MORA</t>
        </is>
      </c>
      <c r="G261" t="n">
        <v>11.9</v>
      </c>
      <c r="H261" t="n">
        <v>0</v>
      </c>
      <c r="I261" t="n">
        <v>0</v>
      </c>
      <c r="J261" t="n">
        <v>0</v>
      </c>
      <c r="K261" t="n">
        <v>0</v>
      </c>
      <c r="L261" t="n">
        <v>0</v>
      </c>
      <c r="M261" t="n">
        <v>0</v>
      </c>
      <c r="N261" t="n">
        <v>0</v>
      </c>
      <c r="O261" t="n">
        <v>0</v>
      </c>
      <c r="P261" t="n">
        <v>0</v>
      </c>
      <c r="Q261" t="n">
        <v>0</v>
      </c>
      <c r="R261" s="2" t="inlineStr"/>
    </row>
    <row r="262" ht="15" customHeight="1">
      <c r="A262" t="inlineStr">
        <is>
          <t>A 41028-2021</t>
        </is>
      </c>
      <c r="B262" s="1" t="n">
        <v>44421</v>
      </c>
      <c r="C262" s="1" t="n">
        <v>45781</v>
      </c>
      <c r="D262" t="inlineStr">
        <is>
          <t>DALARNAS LÄN</t>
        </is>
      </c>
      <c r="E262" t="inlineStr">
        <is>
          <t>MORA</t>
        </is>
      </c>
      <c r="G262" t="n">
        <v>7.2</v>
      </c>
      <c r="H262" t="n">
        <v>0</v>
      </c>
      <c r="I262" t="n">
        <v>0</v>
      </c>
      <c r="J262" t="n">
        <v>0</v>
      </c>
      <c r="K262" t="n">
        <v>0</v>
      </c>
      <c r="L262" t="n">
        <v>0</v>
      </c>
      <c r="M262" t="n">
        <v>0</v>
      </c>
      <c r="N262" t="n">
        <v>0</v>
      </c>
      <c r="O262" t="n">
        <v>0</v>
      </c>
      <c r="P262" t="n">
        <v>0</v>
      </c>
      <c r="Q262" t="n">
        <v>0</v>
      </c>
      <c r="R262" s="2" t="inlineStr"/>
    </row>
    <row r="263" ht="15" customHeight="1">
      <c r="A263" t="inlineStr">
        <is>
          <t>A 41032-2021</t>
        </is>
      </c>
      <c r="B263" s="1" t="n">
        <v>44421</v>
      </c>
      <c r="C263" s="1" t="n">
        <v>45781</v>
      </c>
      <c r="D263" t="inlineStr">
        <is>
          <t>DALARNAS LÄN</t>
        </is>
      </c>
      <c r="E263" t="inlineStr">
        <is>
          <t>MORA</t>
        </is>
      </c>
      <c r="G263" t="n">
        <v>4.1</v>
      </c>
      <c r="H263" t="n">
        <v>0</v>
      </c>
      <c r="I263" t="n">
        <v>0</v>
      </c>
      <c r="J263" t="n">
        <v>0</v>
      </c>
      <c r="K263" t="n">
        <v>0</v>
      </c>
      <c r="L263" t="n">
        <v>0</v>
      </c>
      <c r="M263" t="n">
        <v>0</v>
      </c>
      <c r="N263" t="n">
        <v>0</v>
      </c>
      <c r="O263" t="n">
        <v>0</v>
      </c>
      <c r="P263" t="n">
        <v>0</v>
      </c>
      <c r="Q263" t="n">
        <v>0</v>
      </c>
      <c r="R263" s="2" t="inlineStr"/>
    </row>
    <row r="264" ht="15" customHeight="1">
      <c r="A264" t="inlineStr">
        <is>
          <t>A 41121-2021</t>
        </is>
      </c>
      <c r="B264" s="1" t="n">
        <v>44423</v>
      </c>
      <c r="C264" s="1" t="n">
        <v>45781</v>
      </c>
      <c r="D264" t="inlineStr">
        <is>
          <t>DALARNAS LÄN</t>
        </is>
      </c>
      <c r="E264" t="inlineStr">
        <is>
          <t>MORA</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42508-2021</t>
        </is>
      </c>
      <c r="B265" s="1" t="n">
        <v>44427</v>
      </c>
      <c r="C265" s="1" t="n">
        <v>45781</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42505-2021</t>
        </is>
      </c>
      <c r="B266" s="1" t="n">
        <v>44427</v>
      </c>
      <c r="C266" s="1" t="n">
        <v>45781</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43458-2021</t>
        </is>
      </c>
      <c r="B267" s="1" t="n">
        <v>44432</v>
      </c>
      <c r="C267" s="1" t="n">
        <v>45781</v>
      </c>
      <c r="D267" t="inlineStr">
        <is>
          <t>DALARNAS LÄN</t>
        </is>
      </c>
      <c r="E267" t="inlineStr">
        <is>
          <t>MORA</t>
        </is>
      </c>
      <c r="G267" t="n">
        <v>2.4</v>
      </c>
      <c r="H267" t="n">
        <v>0</v>
      </c>
      <c r="I267" t="n">
        <v>0</v>
      </c>
      <c r="J267" t="n">
        <v>0</v>
      </c>
      <c r="K267" t="n">
        <v>0</v>
      </c>
      <c r="L267" t="n">
        <v>0</v>
      </c>
      <c r="M267" t="n">
        <v>0</v>
      </c>
      <c r="N267" t="n">
        <v>0</v>
      </c>
      <c r="O267" t="n">
        <v>0</v>
      </c>
      <c r="P267" t="n">
        <v>0</v>
      </c>
      <c r="Q267" t="n">
        <v>0</v>
      </c>
      <c r="R267" s="2" t="inlineStr"/>
    </row>
    <row r="268" ht="15" customHeight="1">
      <c r="A268" t="inlineStr">
        <is>
          <t>A 44307-2021</t>
        </is>
      </c>
      <c r="B268" s="1" t="n">
        <v>44435</v>
      </c>
      <c r="C268" s="1" t="n">
        <v>45781</v>
      </c>
      <c r="D268" t="inlineStr">
        <is>
          <t>DALARNAS LÄN</t>
        </is>
      </c>
      <c r="E268" t="inlineStr">
        <is>
          <t>MORA</t>
        </is>
      </c>
      <c r="G268" t="n">
        <v>1.2</v>
      </c>
      <c r="H268" t="n">
        <v>0</v>
      </c>
      <c r="I268" t="n">
        <v>0</v>
      </c>
      <c r="J268" t="n">
        <v>0</v>
      </c>
      <c r="K268" t="n">
        <v>0</v>
      </c>
      <c r="L268" t="n">
        <v>0</v>
      </c>
      <c r="M268" t="n">
        <v>0</v>
      </c>
      <c r="N268" t="n">
        <v>0</v>
      </c>
      <c r="O268" t="n">
        <v>0</v>
      </c>
      <c r="P268" t="n">
        <v>0</v>
      </c>
      <c r="Q268" t="n">
        <v>0</v>
      </c>
      <c r="R268" s="2" t="inlineStr"/>
    </row>
    <row r="269" ht="15" customHeight="1">
      <c r="A269" t="inlineStr">
        <is>
          <t>A 44756-2021</t>
        </is>
      </c>
      <c r="B269" s="1" t="n">
        <v>44438</v>
      </c>
      <c r="C269" s="1" t="n">
        <v>45781</v>
      </c>
      <c r="D269" t="inlineStr">
        <is>
          <t>DALARNAS LÄN</t>
        </is>
      </c>
      <c r="E269" t="inlineStr">
        <is>
          <t>MORA</t>
        </is>
      </c>
      <c r="G269" t="n">
        <v>2.8</v>
      </c>
      <c r="H269" t="n">
        <v>0</v>
      </c>
      <c r="I269" t="n">
        <v>0</v>
      </c>
      <c r="J269" t="n">
        <v>0</v>
      </c>
      <c r="K269" t="n">
        <v>0</v>
      </c>
      <c r="L269" t="n">
        <v>0</v>
      </c>
      <c r="M269" t="n">
        <v>0</v>
      </c>
      <c r="N269" t="n">
        <v>0</v>
      </c>
      <c r="O269" t="n">
        <v>0</v>
      </c>
      <c r="P269" t="n">
        <v>0</v>
      </c>
      <c r="Q269" t="n">
        <v>0</v>
      </c>
      <c r="R269" s="2" t="inlineStr"/>
    </row>
    <row r="270" ht="15" customHeight="1">
      <c r="A270" t="inlineStr">
        <is>
          <t>A 44769-2021</t>
        </is>
      </c>
      <c r="B270" s="1" t="n">
        <v>44438</v>
      </c>
      <c r="C270" s="1" t="n">
        <v>45781</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44765-2021</t>
        </is>
      </c>
      <c r="B271" s="1" t="n">
        <v>44438</v>
      </c>
      <c r="C271" s="1" t="n">
        <v>45781</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45453-2021</t>
        </is>
      </c>
      <c r="B272" s="1" t="n">
        <v>44440</v>
      </c>
      <c r="C272" s="1" t="n">
        <v>45781</v>
      </c>
      <c r="D272" t="inlineStr">
        <is>
          <t>DALARNAS LÄN</t>
        </is>
      </c>
      <c r="E272" t="inlineStr">
        <is>
          <t>MORA</t>
        </is>
      </c>
      <c r="G272" t="n">
        <v>2.7</v>
      </c>
      <c r="H272" t="n">
        <v>0</v>
      </c>
      <c r="I272" t="n">
        <v>0</v>
      </c>
      <c r="J272" t="n">
        <v>0</v>
      </c>
      <c r="K272" t="n">
        <v>0</v>
      </c>
      <c r="L272" t="n">
        <v>0</v>
      </c>
      <c r="M272" t="n">
        <v>0</v>
      </c>
      <c r="N272" t="n">
        <v>0</v>
      </c>
      <c r="O272" t="n">
        <v>0</v>
      </c>
      <c r="P272" t="n">
        <v>0</v>
      </c>
      <c r="Q272" t="n">
        <v>0</v>
      </c>
      <c r="R272" s="2" t="inlineStr"/>
    </row>
    <row r="273" ht="15" customHeight="1">
      <c r="A273" t="inlineStr">
        <is>
          <t>A 45765-2021</t>
        </is>
      </c>
      <c r="B273" s="1" t="n">
        <v>44441</v>
      </c>
      <c r="C273" s="1" t="n">
        <v>45781</v>
      </c>
      <c r="D273" t="inlineStr">
        <is>
          <t>DALARNAS LÄN</t>
        </is>
      </c>
      <c r="E273" t="inlineStr">
        <is>
          <t>MORA</t>
        </is>
      </c>
      <c r="G273" t="n">
        <v>1.8</v>
      </c>
      <c r="H273" t="n">
        <v>0</v>
      </c>
      <c r="I273" t="n">
        <v>0</v>
      </c>
      <c r="J273" t="n">
        <v>0</v>
      </c>
      <c r="K273" t="n">
        <v>0</v>
      </c>
      <c r="L273" t="n">
        <v>0</v>
      </c>
      <c r="M273" t="n">
        <v>0</v>
      </c>
      <c r="N273" t="n">
        <v>0</v>
      </c>
      <c r="O273" t="n">
        <v>0</v>
      </c>
      <c r="P273" t="n">
        <v>0</v>
      </c>
      <c r="Q273" t="n">
        <v>0</v>
      </c>
      <c r="R273" s="2" t="inlineStr"/>
    </row>
    <row r="274" ht="15" customHeight="1">
      <c r="A274" t="inlineStr">
        <is>
          <t>A 45770-2021</t>
        </is>
      </c>
      <c r="B274" s="1" t="n">
        <v>44441</v>
      </c>
      <c r="C274" s="1" t="n">
        <v>45781</v>
      </c>
      <c r="D274" t="inlineStr">
        <is>
          <t>DALARNAS LÄN</t>
        </is>
      </c>
      <c r="E274" t="inlineStr">
        <is>
          <t>MORA</t>
        </is>
      </c>
      <c r="G274" t="n">
        <v>23.1</v>
      </c>
      <c r="H274" t="n">
        <v>0</v>
      </c>
      <c r="I274" t="n">
        <v>0</v>
      </c>
      <c r="J274" t="n">
        <v>0</v>
      </c>
      <c r="K274" t="n">
        <v>0</v>
      </c>
      <c r="L274" t="n">
        <v>0</v>
      </c>
      <c r="M274" t="n">
        <v>0</v>
      </c>
      <c r="N274" t="n">
        <v>0</v>
      </c>
      <c r="O274" t="n">
        <v>0</v>
      </c>
      <c r="P274" t="n">
        <v>0</v>
      </c>
      <c r="Q274" t="n">
        <v>0</v>
      </c>
      <c r="R274" s="2" t="inlineStr"/>
    </row>
    <row r="275" ht="15" customHeight="1">
      <c r="A275" t="inlineStr">
        <is>
          <t>A 47477-2021</t>
        </is>
      </c>
      <c r="B275" s="1" t="n">
        <v>44447</v>
      </c>
      <c r="C275" s="1" t="n">
        <v>45781</v>
      </c>
      <c r="D275" t="inlineStr">
        <is>
          <t>DALARNAS LÄN</t>
        </is>
      </c>
      <c r="E275" t="inlineStr">
        <is>
          <t>MORA</t>
        </is>
      </c>
      <c r="G275" t="n">
        <v>1.1</v>
      </c>
      <c r="H275" t="n">
        <v>0</v>
      </c>
      <c r="I275" t="n">
        <v>0</v>
      </c>
      <c r="J275" t="n">
        <v>0</v>
      </c>
      <c r="K275" t="n">
        <v>0</v>
      </c>
      <c r="L275" t="n">
        <v>0</v>
      </c>
      <c r="M275" t="n">
        <v>0</v>
      </c>
      <c r="N275" t="n">
        <v>0</v>
      </c>
      <c r="O275" t="n">
        <v>0</v>
      </c>
      <c r="P275" t="n">
        <v>0</v>
      </c>
      <c r="Q275" t="n">
        <v>0</v>
      </c>
      <c r="R275" s="2" t="inlineStr"/>
    </row>
    <row r="276" ht="15" customHeight="1">
      <c r="A276" t="inlineStr">
        <is>
          <t>A 48000-2021</t>
        </is>
      </c>
      <c r="B276" s="1" t="n">
        <v>44449</v>
      </c>
      <c r="C276" s="1" t="n">
        <v>45781</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48354-2021</t>
        </is>
      </c>
      <c r="B277" s="1" t="n">
        <v>44451</v>
      </c>
      <c r="C277" s="1" t="n">
        <v>45781</v>
      </c>
      <c r="D277" t="inlineStr">
        <is>
          <t>DALARNAS LÄN</t>
        </is>
      </c>
      <c r="E277" t="inlineStr">
        <is>
          <t>MORA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49572-2021</t>
        </is>
      </c>
      <c r="B278" s="1" t="n">
        <v>44455</v>
      </c>
      <c r="C278" s="1" t="n">
        <v>45781</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49583-2021</t>
        </is>
      </c>
      <c r="B279" s="1" t="n">
        <v>44455</v>
      </c>
      <c r="C279" s="1" t="n">
        <v>45781</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49578-2021</t>
        </is>
      </c>
      <c r="B280" s="1" t="n">
        <v>44455</v>
      </c>
      <c r="C280" s="1" t="n">
        <v>45781</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50255-2021</t>
        </is>
      </c>
      <c r="B281" s="1" t="n">
        <v>44458</v>
      </c>
      <c r="C281" s="1" t="n">
        <v>45781</v>
      </c>
      <c r="D281" t="inlineStr">
        <is>
          <t>DALARNAS LÄN</t>
        </is>
      </c>
      <c r="E281" t="inlineStr">
        <is>
          <t>MORA</t>
        </is>
      </c>
      <c r="G281" t="n">
        <v>0.8</v>
      </c>
      <c r="H281" t="n">
        <v>0</v>
      </c>
      <c r="I281" t="n">
        <v>0</v>
      </c>
      <c r="J281" t="n">
        <v>0</v>
      </c>
      <c r="K281" t="n">
        <v>0</v>
      </c>
      <c r="L281" t="n">
        <v>0</v>
      </c>
      <c r="M281" t="n">
        <v>0</v>
      </c>
      <c r="N281" t="n">
        <v>0</v>
      </c>
      <c r="O281" t="n">
        <v>0</v>
      </c>
      <c r="P281" t="n">
        <v>0</v>
      </c>
      <c r="Q281" t="n">
        <v>0</v>
      </c>
      <c r="R281" s="2" t="inlineStr"/>
    </row>
    <row r="282" ht="15" customHeight="1">
      <c r="A282" t="inlineStr">
        <is>
          <t>A 50620-2021</t>
        </is>
      </c>
      <c r="B282" s="1" t="n">
        <v>44459</v>
      </c>
      <c r="C282" s="1" t="n">
        <v>45781</v>
      </c>
      <c r="D282" t="inlineStr">
        <is>
          <t>DALARNAS LÄN</t>
        </is>
      </c>
      <c r="E282" t="inlineStr">
        <is>
          <t>MORA</t>
        </is>
      </c>
      <c r="G282" t="n">
        <v>4.4</v>
      </c>
      <c r="H282" t="n">
        <v>0</v>
      </c>
      <c r="I282" t="n">
        <v>0</v>
      </c>
      <c r="J282" t="n">
        <v>0</v>
      </c>
      <c r="K282" t="n">
        <v>0</v>
      </c>
      <c r="L282" t="n">
        <v>0</v>
      </c>
      <c r="M282" t="n">
        <v>0</v>
      </c>
      <c r="N282" t="n">
        <v>0</v>
      </c>
      <c r="O282" t="n">
        <v>0</v>
      </c>
      <c r="P282" t="n">
        <v>0</v>
      </c>
      <c r="Q282" t="n">
        <v>0</v>
      </c>
      <c r="R282" s="2" t="inlineStr"/>
    </row>
    <row r="283" ht="15" customHeight="1">
      <c r="A283" t="inlineStr">
        <is>
          <t>A 51850-2021</t>
        </is>
      </c>
      <c r="B283" s="1" t="n">
        <v>44462</v>
      </c>
      <c r="C283" s="1" t="n">
        <v>45781</v>
      </c>
      <c r="D283" t="inlineStr">
        <is>
          <t>DALARNAS LÄN</t>
        </is>
      </c>
      <c r="E283" t="inlineStr">
        <is>
          <t>MORA</t>
        </is>
      </c>
      <c r="F283" t="inlineStr">
        <is>
          <t>Bergvik skog väst AB</t>
        </is>
      </c>
      <c r="G283" t="n">
        <v>6.1</v>
      </c>
      <c r="H283" t="n">
        <v>0</v>
      </c>
      <c r="I283" t="n">
        <v>0</v>
      </c>
      <c r="J283" t="n">
        <v>0</v>
      </c>
      <c r="K283" t="n">
        <v>0</v>
      </c>
      <c r="L283" t="n">
        <v>0</v>
      </c>
      <c r="M283" t="n">
        <v>0</v>
      </c>
      <c r="N283" t="n">
        <v>0</v>
      </c>
      <c r="O283" t="n">
        <v>0</v>
      </c>
      <c r="P283" t="n">
        <v>0</v>
      </c>
      <c r="Q283" t="n">
        <v>0</v>
      </c>
      <c r="R283" s="2" t="inlineStr"/>
    </row>
    <row r="284" ht="15" customHeight="1">
      <c r="A284" t="inlineStr">
        <is>
          <t>A 52573-2021</t>
        </is>
      </c>
      <c r="B284" s="1" t="n">
        <v>44466</v>
      </c>
      <c r="C284" s="1" t="n">
        <v>45781</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54239-2021</t>
        </is>
      </c>
      <c r="B285" s="1" t="n">
        <v>44470</v>
      </c>
      <c r="C285" s="1" t="n">
        <v>45781</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54398-2021</t>
        </is>
      </c>
      <c r="B286" s="1" t="n">
        <v>44473</v>
      </c>
      <c r="C286" s="1" t="n">
        <v>45781</v>
      </c>
      <c r="D286" t="inlineStr">
        <is>
          <t>DALARNAS LÄN</t>
        </is>
      </c>
      <c r="E286" t="inlineStr">
        <is>
          <t>MORA</t>
        </is>
      </c>
      <c r="G286" t="n">
        <v>0.9</v>
      </c>
      <c r="H286" t="n">
        <v>0</v>
      </c>
      <c r="I286" t="n">
        <v>0</v>
      </c>
      <c r="J286" t="n">
        <v>0</v>
      </c>
      <c r="K286" t="n">
        <v>0</v>
      </c>
      <c r="L286" t="n">
        <v>0</v>
      </c>
      <c r="M286" t="n">
        <v>0</v>
      </c>
      <c r="N286" t="n">
        <v>0</v>
      </c>
      <c r="O286" t="n">
        <v>0</v>
      </c>
      <c r="P286" t="n">
        <v>0</v>
      </c>
      <c r="Q286" t="n">
        <v>0</v>
      </c>
      <c r="R286" s="2" t="inlineStr"/>
    </row>
    <row r="287" ht="15" customHeight="1">
      <c r="A287" t="inlineStr">
        <is>
          <t>A 54409-2021</t>
        </is>
      </c>
      <c r="B287" s="1" t="n">
        <v>44473</v>
      </c>
      <c r="C287" s="1" t="n">
        <v>45781</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56501-2021</t>
        </is>
      </c>
      <c r="B288" s="1" t="n">
        <v>44480</v>
      </c>
      <c r="C288" s="1" t="n">
        <v>45781</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57091-2021</t>
        </is>
      </c>
      <c r="B289" s="1" t="n">
        <v>44482</v>
      </c>
      <c r="C289" s="1" t="n">
        <v>45781</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57088-2021</t>
        </is>
      </c>
      <c r="B290" s="1" t="n">
        <v>44482</v>
      </c>
      <c r="C290" s="1" t="n">
        <v>45781</v>
      </c>
      <c r="D290" t="inlineStr">
        <is>
          <t>DALARNAS LÄN</t>
        </is>
      </c>
      <c r="E290" t="inlineStr">
        <is>
          <t>MORA</t>
        </is>
      </c>
      <c r="G290" t="n">
        <v>2.2</v>
      </c>
      <c r="H290" t="n">
        <v>0</v>
      </c>
      <c r="I290" t="n">
        <v>0</v>
      </c>
      <c r="J290" t="n">
        <v>0</v>
      </c>
      <c r="K290" t="n">
        <v>0</v>
      </c>
      <c r="L290" t="n">
        <v>0</v>
      </c>
      <c r="M290" t="n">
        <v>0</v>
      </c>
      <c r="N290" t="n">
        <v>0</v>
      </c>
      <c r="O290" t="n">
        <v>0</v>
      </c>
      <c r="P290" t="n">
        <v>0</v>
      </c>
      <c r="Q290" t="n">
        <v>0</v>
      </c>
      <c r="R290" s="2" t="inlineStr"/>
    </row>
    <row r="291" ht="15" customHeight="1">
      <c r="A291" t="inlineStr">
        <is>
          <t>A 57110-2021</t>
        </is>
      </c>
      <c r="B291" s="1" t="n">
        <v>44482</v>
      </c>
      <c r="C291" s="1" t="n">
        <v>45781</v>
      </c>
      <c r="D291" t="inlineStr">
        <is>
          <t>DALARNAS LÄN</t>
        </is>
      </c>
      <c r="E291" t="inlineStr">
        <is>
          <t>MORA</t>
        </is>
      </c>
      <c r="G291" t="n">
        <v>5.4</v>
      </c>
      <c r="H291" t="n">
        <v>0</v>
      </c>
      <c r="I291" t="n">
        <v>0</v>
      </c>
      <c r="J291" t="n">
        <v>0</v>
      </c>
      <c r="K291" t="n">
        <v>0</v>
      </c>
      <c r="L291" t="n">
        <v>0</v>
      </c>
      <c r="M291" t="n">
        <v>0</v>
      </c>
      <c r="N291" t="n">
        <v>0</v>
      </c>
      <c r="O291" t="n">
        <v>0</v>
      </c>
      <c r="P291" t="n">
        <v>0</v>
      </c>
      <c r="Q291" t="n">
        <v>0</v>
      </c>
      <c r="R291" s="2" t="inlineStr"/>
    </row>
    <row r="292" ht="15" customHeight="1">
      <c r="A292" t="inlineStr">
        <is>
          <t>A 57608-2021</t>
        </is>
      </c>
      <c r="B292" s="1" t="n">
        <v>44484</v>
      </c>
      <c r="C292" s="1" t="n">
        <v>45781</v>
      </c>
      <c r="D292" t="inlineStr">
        <is>
          <t>DALARNAS LÄN</t>
        </is>
      </c>
      <c r="E292" t="inlineStr">
        <is>
          <t>MORA</t>
        </is>
      </c>
      <c r="G292" t="n">
        <v>6.3</v>
      </c>
      <c r="H292" t="n">
        <v>0</v>
      </c>
      <c r="I292" t="n">
        <v>0</v>
      </c>
      <c r="J292" t="n">
        <v>0</v>
      </c>
      <c r="K292" t="n">
        <v>0</v>
      </c>
      <c r="L292" t="n">
        <v>0</v>
      </c>
      <c r="M292" t="n">
        <v>0</v>
      </c>
      <c r="N292" t="n">
        <v>0</v>
      </c>
      <c r="O292" t="n">
        <v>0</v>
      </c>
      <c r="P292" t="n">
        <v>0</v>
      </c>
      <c r="Q292" t="n">
        <v>0</v>
      </c>
      <c r="R292" s="2" t="inlineStr"/>
    </row>
    <row r="293" ht="15" customHeight="1">
      <c r="A293" t="inlineStr">
        <is>
          <t>A 58057-2021</t>
        </is>
      </c>
      <c r="B293" s="1" t="n">
        <v>44487</v>
      </c>
      <c r="C293" s="1" t="n">
        <v>45781</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58413-2021</t>
        </is>
      </c>
      <c r="B294" s="1" t="n">
        <v>44488</v>
      </c>
      <c r="C294" s="1" t="n">
        <v>45781</v>
      </c>
      <c r="D294" t="inlineStr">
        <is>
          <t>DALARNAS LÄN</t>
        </is>
      </c>
      <c r="E294" t="inlineStr">
        <is>
          <t>MORA</t>
        </is>
      </c>
      <c r="F294" t="inlineStr">
        <is>
          <t>Bergvik skog öst AB</t>
        </is>
      </c>
      <c r="G294" t="n">
        <v>5.3</v>
      </c>
      <c r="H294" t="n">
        <v>0</v>
      </c>
      <c r="I294" t="n">
        <v>0</v>
      </c>
      <c r="J294" t="n">
        <v>0</v>
      </c>
      <c r="K294" t="n">
        <v>0</v>
      </c>
      <c r="L294" t="n">
        <v>0</v>
      </c>
      <c r="M294" t="n">
        <v>0</v>
      </c>
      <c r="N294" t="n">
        <v>0</v>
      </c>
      <c r="O294" t="n">
        <v>0</v>
      </c>
      <c r="P294" t="n">
        <v>0</v>
      </c>
      <c r="Q294" t="n">
        <v>0</v>
      </c>
      <c r="R294" s="2" t="inlineStr"/>
    </row>
    <row r="295" ht="15" customHeight="1">
      <c r="A295" t="inlineStr">
        <is>
          <t>A 60150-2021</t>
        </is>
      </c>
      <c r="B295" s="1" t="n">
        <v>44488</v>
      </c>
      <c r="C295" s="1" t="n">
        <v>45781</v>
      </c>
      <c r="D295" t="inlineStr">
        <is>
          <t>DALARNAS LÄN</t>
        </is>
      </c>
      <c r="E295" t="inlineStr">
        <is>
          <t>MORA</t>
        </is>
      </c>
      <c r="G295" t="n">
        <v>2.4</v>
      </c>
      <c r="H295" t="n">
        <v>0</v>
      </c>
      <c r="I295" t="n">
        <v>0</v>
      </c>
      <c r="J295" t="n">
        <v>0</v>
      </c>
      <c r="K295" t="n">
        <v>0</v>
      </c>
      <c r="L295" t="n">
        <v>0</v>
      </c>
      <c r="M295" t="n">
        <v>0</v>
      </c>
      <c r="N295" t="n">
        <v>0</v>
      </c>
      <c r="O295" t="n">
        <v>0</v>
      </c>
      <c r="P295" t="n">
        <v>0</v>
      </c>
      <c r="Q295" t="n">
        <v>0</v>
      </c>
      <c r="R295" s="2" t="inlineStr"/>
    </row>
    <row r="296" ht="15" customHeight="1">
      <c r="A296" t="inlineStr">
        <is>
          <t>A 58690-2021</t>
        </is>
      </c>
      <c r="B296" s="1" t="n">
        <v>44489</v>
      </c>
      <c r="C296" s="1" t="n">
        <v>45781</v>
      </c>
      <c r="D296" t="inlineStr">
        <is>
          <t>DALARNAS LÄN</t>
        </is>
      </c>
      <c r="E296" t="inlineStr">
        <is>
          <t>MORA</t>
        </is>
      </c>
      <c r="F296" t="inlineStr">
        <is>
          <t>Bergvik skog öst AB</t>
        </is>
      </c>
      <c r="G296" t="n">
        <v>2.6</v>
      </c>
      <c r="H296" t="n">
        <v>0</v>
      </c>
      <c r="I296" t="n">
        <v>0</v>
      </c>
      <c r="J296" t="n">
        <v>0</v>
      </c>
      <c r="K296" t="n">
        <v>0</v>
      </c>
      <c r="L296" t="n">
        <v>0</v>
      </c>
      <c r="M296" t="n">
        <v>0</v>
      </c>
      <c r="N296" t="n">
        <v>0</v>
      </c>
      <c r="O296" t="n">
        <v>0</v>
      </c>
      <c r="P296" t="n">
        <v>0</v>
      </c>
      <c r="Q296" t="n">
        <v>0</v>
      </c>
      <c r="R296" s="2" t="inlineStr"/>
    </row>
    <row r="297" ht="15" customHeight="1">
      <c r="A297" t="inlineStr">
        <is>
          <t>A 58961-2021</t>
        </is>
      </c>
      <c r="B297" s="1" t="n">
        <v>44490</v>
      </c>
      <c r="C297" s="1" t="n">
        <v>45781</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59899-2021</t>
        </is>
      </c>
      <c r="B298" s="1" t="n">
        <v>44494</v>
      </c>
      <c r="C298" s="1" t="n">
        <v>45781</v>
      </c>
      <c r="D298" t="inlineStr">
        <is>
          <t>DALARNAS LÄN</t>
        </is>
      </c>
      <c r="E298" t="inlineStr">
        <is>
          <t>MORA</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60847-2021</t>
        </is>
      </c>
      <c r="B299" s="1" t="n">
        <v>44497</v>
      </c>
      <c r="C299" s="1" t="n">
        <v>45781</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63089-2021</t>
        </is>
      </c>
      <c r="B300" s="1" t="n">
        <v>44505</v>
      </c>
      <c r="C300" s="1" t="n">
        <v>45781</v>
      </c>
      <c r="D300" t="inlineStr">
        <is>
          <t>DALARNAS LÄN</t>
        </is>
      </c>
      <c r="E300" t="inlineStr">
        <is>
          <t>MORA</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63088-2021</t>
        </is>
      </c>
      <c r="B301" s="1" t="n">
        <v>44505</v>
      </c>
      <c r="C301" s="1" t="n">
        <v>45781</v>
      </c>
      <c r="D301" t="inlineStr">
        <is>
          <t>DALARNAS LÄN</t>
        </is>
      </c>
      <c r="E301" t="inlineStr">
        <is>
          <t>MORA</t>
        </is>
      </c>
      <c r="F301" t="inlineStr">
        <is>
          <t>Bergvik skog väst AB</t>
        </is>
      </c>
      <c r="G301" t="n">
        <v>6.8</v>
      </c>
      <c r="H301" t="n">
        <v>0</v>
      </c>
      <c r="I301" t="n">
        <v>0</v>
      </c>
      <c r="J301" t="n">
        <v>0</v>
      </c>
      <c r="K301" t="n">
        <v>0</v>
      </c>
      <c r="L301" t="n">
        <v>0</v>
      </c>
      <c r="M301" t="n">
        <v>0</v>
      </c>
      <c r="N301" t="n">
        <v>0</v>
      </c>
      <c r="O301" t="n">
        <v>0</v>
      </c>
      <c r="P301" t="n">
        <v>0</v>
      </c>
      <c r="Q301" t="n">
        <v>0</v>
      </c>
      <c r="R301" s="2" t="inlineStr"/>
    </row>
    <row r="302" ht="15" customHeight="1">
      <c r="A302" t="inlineStr">
        <is>
          <t>A 63000-2021</t>
        </is>
      </c>
      <c r="B302" s="1" t="n">
        <v>44505</v>
      </c>
      <c r="C302" s="1" t="n">
        <v>45781</v>
      </c>
      <c r="D302" t="inlineStr">
        <is>
          <t>DALARNAS LÄN</t>
        </is>
      </c>
      <c r="E302" t="inlineStr">
        <is>
          <t>MORA</t>
        </is>
      </c>
      <c r="F302" t="inlineStr">
        <is>
          <t>Bergvik skog väst AB</t>
        </is>
      </c>
      <c r="G302" t="n">
        <v>7.3</v>
      </c>
      <c r="H302" t="n">
        <v>0</v>
      </c>
      <c r="I302" t="n">
        <v>0</v>
      </c>
      <c r="J302" t="n">
        <v>0</v>
      </c>
      <c r="K302" t="n">
        <v>0</v>
      </c>
      <c r="L302" t="n">
        <v>0</v>
      </c>
      <c r="M302" t="n">
        <v>0</v>
      </c>
      <c r="N302" t="n">
        <v>0</v>
      </c>
      <c r="O302" t="n">
        <v>0</v>
      </c>
      <c r="P302" t="n">
        <v>0</v>
      </c>
      <c r="Q302" t="n">
        <v>0</v>
      </c>
      <c r="R302" s="2" t="inlineStr"/>
    </row>
    <row r="303" ht="15" customHeight="1">
      <c r="A303" t="inlineStr">
        <is>
          <t>A 63552-2021</t>
        </is>
      </c>
      <c r="B303" s="1" t="n">
        <v>44508</v>
      </c>
      <c r="C303" s="1" t="n">
        <v>45781</v>
      </c>
      <c r="D303" t="inlineStr">
        <is>
          <t>DALARNAS LÄN</t>
        </is>
      </c>
      <c r="E303" t="inlineStr">
        <is>
          <t>MORA</t>
        </is>
      </c>
      <c r="F303" t="inlineStr">
        <is>
          <t>Bergvik skog väst AB</t>
        </is>
      </c>
      <c r="G303" t="n">
        <v>17.1</v>
      </c>
      <c r="H303" t="n">
        <v>0</v>
      </c>
      <c r="I303" t="n">
        <v>0</v>
      </c>
      <c r="J303" t="n">
        <v>0</v>
      </c>
      <c r="K303" t="n">
        <v>0</v>
      </c>
      <c r="L303" t="n">
        <v>0</v>
      </c>
      <c r="M303" t="n">
        <v>0</v>
      </c>
      <c r="N303" t="n">
        <v>0</v>
      </c>
      <c r="O303" t="n">
        <v>0</v>
      </c>
      <c r="P303" t="n">
        <v>0</v>
      </c>
      <c r="Q303" t="n">
        <v>0</v>
      </c>
      <c r="R303" s="2" t="inlineStr"/>
    </row>
    <row r="304" ht="15" customHeight="1">
      <c r="A304" t="inlineStr">
        <is>
          <t>A 63690-2021</t>
        </is>
      </c>
      <c r="B304" s="1" t="n">
        <v>44509</v>
      </c>
      <c r="C304" s="1" t="n">
        <v>45781</v>
      </c>
      <c r="D304" t="inlineStr">
        <is>
          <t>DALARNAS LÄN</t>
        </is>
      </c>
      <c r="E304" t="inlineStr">
        <is>
          <t>MORA</t>
        </is>
      </c>
      <c r="G304" t="n">
        <v>1.6</v>
      </c>
      <c r="H304" t="n">
        <v>0</v>
      </c>
      <c r="I304" t="n">
        <v>0</v>
      </c>
      <c r="J304" t="n">
        <v>0</v>
      </c>
      <c r="K304" t="n">
        <v>0</v>
      </c>
      <c r="L304" t="n">
        <v>0</v>
      </c>
      <c r="M304" t="n">
        <v>0</v>
      </c>
      <c r="N304" t="n">
        <v>0</v>
      </c>
      <c r="O304" t="n">
        <v>0</v>
      </c>
      <c r="P304" t="n">
        <v>0</v>
      </c>
      <c r="Q304" t="n">
        <v>0</v>
      </c>
      <c r="R304" s="2" t="inlineStr"/>
    </row>
    <row r="305" ht="15" customHeight="1">
      <c r="A305" t="inlineStr">
        <is>
          <t>A 65262-2021</t>
        </is>
      </c>
      <c r="B305" s="1" t="n">
        <v>44515</v>
      </c>
      <c r="C305" s="1" t="n">
        <v>45781</v>
      </c>
      <c r="D305" t="inlineStr">
        <is>
          <t>DALARNAS LÄN</t>
        </is>
      </c>
      <c r="E305" t="inlineStr">
        <is>
          <t>MORA</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65186-2021</t>
        </is>
      </c>
      <c r="B306" s="1" t="n">
        <v>44515</v>
      </c>
      <c r="C306" s="1" t="n">
        <v>45781</v>
      </c>
      <c r="D306" t="inlineStr">
        <is>
          <t>DALARNAS LÄN</t>
        </is>
      </c>
      <c r="E306" t="inlineStr">
        <is>
          <t>MORA</t>
        </is>
      </c>
      <c r="G306" t="n">
        <v>1.4</v>
      </c>
      <c r="H306" t="n">
        <v>0</v>
      </c>
      <c r="I306" t="n">
        <v>0</v>
      </c>
      <c r="J306" t="n">
        <v>0</v>
      </c>
      <c r="K306" t="n">
        <v>0</v>
      </c>
      <c r="L306" t="n">
        <v>0</v>
      </c>
      <c r="M306" t="n">
        <v>0</v>
      </c>
      <c r="N306" t="n">
        <v>0</v>
      </c>
      <c r="O306" t="n">
        <v>0</v>
      </c>
      <c r="P306" t="n">
        <v>0</v>
      </c>
      <c r="Q306" t="n">
        <v>0</v>
      </c>
      <c r="R306" s="2" t="inlineStr"/>
    </row>
    <row r="307" ht="15" customHeight="1">
      <c r="A307" t="inlineStr">
        <is>
          <t>A 65258-2021</t>
        </is>
      </c>
      <c r="B307" s="1" t="n">
        <v>44515</v>
      </c>
      <c r="C307" s="1" t="n">
        <v>45781</v>
      </c>
      <c r="D307" t="inlineStr">
        <is>
          <t>DALARNAS LÄN</t>
        </is>
      </c>
      <c r="E307" t="inlineStr">
        <is>
          <t>MORA</t>
        </is>
      </c>
      <c r="F307" t="inlineStr">
        <is>
          <t>Bergvik skog väst AB</t>
        </is>
      </c>
      <c r="G307" t="n">
        <v>8.4</v>
      </c>
      <c r="H307" t="n">
        <v>0</v>
      </c>
      <c r="I307" t="n">
        <v>0</v>
      </c>
      <c r="J307" t="n">
        <v>0</v>
      </c>
      <c r="K307" t="n">
        <v>0</v>
      </c>
      <c r="L307" t="n">
        <v>0</v>
      </c>
      <c r="M307" t="n">
        <v>0</v>
      </c>
      <c r="N307" t="n">
        <v>0</v>
      </c>
      <c r="O307" t="n">
        <v>0</v>
      </c>
      <c r="P307" t="n">
        <v>0</v>
      </c>
      <c r="Q307" t="n">
        <v>0</v>
      </c>
      <c r="R307" s="2" t="inlineStr"/>
    </row>
    <row r="308" ht="15" customHeight="1">
      <c r="A308" t="inlineStr">
        <is>
          <t>A 65253-2021</t>
        </is>
      </c>
      <c r="B308" s="1" t="n">
        <v>44515</v>
      </c>
      <c r="C308" s="1" t="n">
        <v>45781</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65527-2021</t>
        </is>
      </c>
      <c r="B309" s="1" t="n">
        <v>44516</v>
      </c>
      <c r="C309" s="1" t="n">
        <v>45781</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65727-2021</t>
        </is>
      </c>
      <c r="B310" s="1" t="n">
        <v>44516</v>
      </c>
      <c r="C310" s="1" t="n">
        <v>45781</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66157-2021</t>
        </is>
      </c>
      <c r="B311" s="1" t="n">
        <v>44517</v>
      </c>
      <c r="C311" s="1" t="n">
        <v>45781</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66158-2021</t>
        </is>
      </c>
      <c r="B312" s="1" t="n">
        <v>44517</v>
      </c>
      <c r="C312" s="1" t="n">
        <v>45781</v>
      </c>
      <c r="D312" t="inlineStr">
        <is>
          <t>DALARNAS LÄN</t>
        </is>
      </c>
      <c r="E312" t="inlineStr">
        <is>
          <t>MORA</t>
        </is>
      </c>
      <c r="G312" t="n">
        <v>3.3</v>
      </c>
      <c r="H312" t="n">
        <v>0</v>
      </c>
      <c r="I312" t="n">
        <v>0</v>
      </c>
      <c r="J312" t="n">
        <v>0</v>
      </c>
      <c r="K312" t="n">
        <v>0</v>
      </c>
      <c r="L312" t="n">
        <v>0</v>
      </c>
      <c r="M312" t="n">
        <v>0</v>
      </c>
      <c r="N312" t="n">
        <v>0</v>
      </c>
      <c r="O312" t="n">
        <v>0</v>
      </c>
      <c r="P312" t="n">
        <v>0</v>
      </c>
      <c r="Q312" t="n">
        <v>0</v>
      </c>
      <c r="R312" s="2" t="inlineStr"/>
    </row>
    <row r="313" ht="15" customHeight="1">
      <c r="A313" t="inlineStr">
        <is>
          <t>A 66232-2021</t>
        </is>
      </c>
      <c r="B313" s="1" t="n">
        <v>44518</v>
      </c>
      <c r="C313" s="1" t="n">
        <v>45781</v>
      </c>
      <c r="D313" t="inlineStr">
        <is>
          <t>DALARNAS LÄN</t>
        </is>
      </c>
      <c r="E313" t="inlineStr">
        <is>
          <t>MORA</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66639-2021</t>
        </is>
      </c>
      <c r="B314" s="1" t="n">
        <v>44519</v>
      </c>
      <c r="C314" s="1" t="n">
        <v>45781</v>
      </c>
      <c r="D314" t="inlineStr">
        <is>
          <t>DALARNAS LÄN</t>
        </is>
      </c>
      <c r="E314" t="inlineStr">
        <is>
          <t>MORA</t>
        </is>
      </c>
      <c r="G314" t="n">
        <v>10</v>
      </c>
      <c r="H314" t="n">
        <v>0</v>
      </c>
      <c r="I314" t="n">
        <v>0</v>
      </c>
      <c r="J314" t="n">
        <v>0</v>
      </c>
      <c r="K314" t="n">
        <v>0</v>
      </c>
      <c r="L314" t="n">
        <v>0</v>
      </c>
      <c r="M314" t="n">
        <v>0</v>
      </c>
      <c r="N314" t="n">
        <v>0</v>
      </c>
      <c r="O314" t="n">
        <v>0</v>
      </c>
      <c r="P314" t="n">
        <v>0</v>
      </c>
      <c r="Q314" t="n">
        <v>0</v>
      </c>
      <c r="R314" s="2" t="inlineStr"/>
    </row>
    <row r="315" ht="15" customHeight="1">
      <c r="A315" t="inlineStr">
        <is>
          <t>A 67045-2021</t>
        </is>
      </c>
      <c r="B315" s="1" t="n">
        <v>44522</v>
      </c>
      <c r="C315" s="1" t="n">
        <v>45781</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67125-2021</t>
        </is>
      </c>
      <c r="B316" s="1" t="n">
        <v>44523</v>
      </c>
      <c r="C316" s="1" t="n">
        <v>45781</v>
      </c>
      <c r="D316" t="inlineStr">
        <is>
          <t>DALARNAS LÄN</t>
        </is>
      </c>
      <c r="E316" t="inlineStr">
        <is>
          <t>MORA</t>
        </is>
      </c>
      <c r="G316" t="n">
        <v>2.9</v>
      </c>
      <c r="H316" t="n">
        <v>0</v>
      </c>
      <c r="I316" t="n">
        <v>0</v>
      </c>
      <c r="J316" t="n">
        <v>0</v>
      </c>
      <c r="K316" t="n">
        <v>0</v>
      </c>
      <c r="L316" t="n">
        <v>0</v>
      </c>
      <c r="M316" t="n">
        <v>0</v>
      </c>
      <c r="N316" t="n">
        <v>0</v>
      </c>
      <c r="O316" t="n">
        <v>0</v>
      </c>
      <c r="P316" t="n">
        <v>0</v>
      </c>
      <c r="Q316" t="n">
        <v>0</v>
      </c>
      <c r="R316" s="2" t="inlineStr"/>
    </row>
    <row r="317" ht="15" customHeight="1">
      <c r="A317" t="inlineStr">
        <is>
          <t>A 67316-2021</t>
        </is>
      </c>
      <c r="B317" s="1" t="n">
        <v>44523</v>
      </c>
      <c r="C317" s="1" t="n">
        <v>45781</v>
      </c>
      <c r="D317" t="inlineStr">
        <is>
          <t>DALARNAS LÄN</t>
        </is>
      </c>
      <c r="E317" t="inlineStr">
        <is>
          <t>MORA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67318-2021</t>
        </is>
      </c>
      <c r="B318" s="1" t="n">
        <v>44523</v>
      </c>
      <c r="C318" s="1" t="n">
        <v>45781</v>
      </c>
      <c r="D318" t="inlineStr">
        <is>
          <t>DALARNAS LÄN</t>
        </is>
      </c>
      <c r="E318" t="inlineStr">
        <is>
          <t>MORA</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67932-2021</t>
        </is>
      </c>
      <c r="B319" s="1" t="n">
        <v>44525</v>
      </c>
      <c r="C319" s="1" t="n">
        <v>45781</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68415-2021</t>
        </is>
      </c>
      <c r="B320" s="1" t="n">
        <v>44529</v>
      </c>
      <c r="C320" s="1" t="n">
        <v>45781</v>
      </c>
      <c r="D320" t="inlineStr">
        <is>
          <t>DALARNAS LÄN</t>
        </is>
      </c>
      <c r="E320" t="inlineStr">
        <is>
          <t>MORA</t>
        </is>
      </c>
      <c r="G320" t="n">
        <v>1.2</v>
      </c>
      <c r="H320" t="n">
        <v>0</v>
      </c>
      <c r="I320" t="n">
        <v>0</v>
      </c>
      <c r="J320" t="n">
        <v>0</v>
      </c>
      <c r="K320" t="n">
        <v>0</v>
      </c>
      <c r="L320" t="n">
        <v>0</v>
      </c>
      <c r="M320" t="n">
        <v>0</v>
      </c>
      <c r="N320" t="n">
        <v>0</v>
      </c>
      <c r="O320" t="n">
        <v>0</v>
      </c>
      <c r="P320" t="n">
        <v>0</v>
      </c>
      <c r="Q320" t="n">
        <v>0</v>
      </c>
      <c r="R320" s="2" t="inlineStr"/>
    </row>
    <row r="321" ht="15" customHeight="1">
      <c r="A321" t="inlineStr">
        <is>
          <t>A 68966-2021</t>
        </is>
      </c>
      <c r="B321" s="1" t="n">
        <v>44530</v>
      </c>
      <c r="C321" s="1" t="n">
        <v>45781</v>
      </c>
      <c r="D321" t="inlineStr">
        <is>
          <t>DALARNAS LÄN</t>
        </is>
      </c>
      <c r="E321" t="inlineStr">
        <is>
          <t>MORA</t>
        </is>
      </c>
      <c r="G321" t="n">
        <v>0.7</v>
      </c>
      <c r="H321" t="n">
        <v>0</v>
      </c>
      <c r="I321" t="n">
        <v>0</v>
      </c>
      <c r="J321" t="n">
        <v>0</v>
      </c>
      <c r="K321" t="n">
        <v>0</v>
      </c>
      <c r="L321" t="n">
        <v>0</v>
      </c>
      <c r="M321" t="n">
        <v>0</v>
      </c>
      <c r="N321" t="n">
        <v>0</v>
      </c>
      <c r="O321" t="n">
        <v>0</v>
      </c>
      <c r="P321" t="n">
        <v>0</v>
      </c>
      <c r="Q321" t="n">
        <v>0</v>
      </c>
      <c r="R321" s="2" t="inlineStr"/>
    </row>
    <row r="322" ht="15" customHeight="1">
      <c r="A322" t="inlineStr">
        <is>
          <t>A 69483-2021</t>
        </is>
      </c>
      <c r="B322" s="1" t="n">
        <v>44531</v>
      </c>
      <c r="C322" s="1" t="n">
        <v>45781</v>
      </c>
      <c r="D322" t="inlineStr">
        <is>
          <t>DALARNAS LÄN</t>
        </is>
      </c>
      <c r="E322" t="inlineStr">
        <is>
          <t>MORA</t>
        </is>
      </c>
      <c r="G322" t="n">
        <v>1.5</v>
      </c>
      <c r="H322" t="n">
        <v>0</v>
      </c>
      <c r="I322" t="n">
        <v>0</v>
      </c>
      <c r="J322" t="n">
        <v>0</v>
      </c>
      <c r="K322" t="n">
        <v>0</v>
      </c>
      <c r="L322" t="n">
        <v>0</v>
      </c>
      <c r="M322" t="n">
        <v>0</v>
      </c>
      <c r="N322" t="n">
        <v>0</v>
      </c>
      <c r="O322" t="n">
        <v>0</v>
      </c>
      <c r="P322" t="n">
        <v>0</v>
      </c>
      <c r="Q322" t="n">
        <v>0</v>
      </c>
      <c r="R322" s="2" t="inlineStr"/>
    </row>
    <row r="323" ht="15" customHeight="1">
      <c r="A323" t="inlineStr">
        <is>
          <t>A 70065-2021</t>
        </is>
      </c>
      <c r="B323" s="1" t="n">
        <v>44533</v>
      </c>
      <c r="C323" s="1" t="n">
        <v>45781</v>
      </c>
      <c r="D323" t="inlineStr">
        <is>
          <t>DALARNAS LÄN</t>
        </is>
      </c>
      <c r="E323" t="inlineStr">
        <is>
          <t>MORA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70141-2021</t>
        </is>
      </c>
      <c r="B324" s="1" t="n">
        <v>44533</v>
      </c>
      <c r="C324" s="1" t="n">
        <v>45781</v>
      </c>
      <c r="D324" t="inlineStr">
        <is>
          <t>DALARNAS LÄN</t>
        </is>
      </c>
      <c r="E324" t="inlineStr">
        <is>
          <t>MORA</t>
        </is>
      </c>
      <c r="G324" t="n">
        <v>4.1</v>
      </c>
      <c r="H324" t="n">
        <v>0</v>
      </c>
      <c r="I324" t="n">
        <v>0</v>
      </c>
      <c r="J324" t="n">
        <v>0</v>
      </c>
      <c r="K324" t="n">
        <v>0</v>
      </c>
      <c r="L324" t="n">
        <v>0</v>
      </c>
      <c r="M324" t="n">
        <v>0</v>
      </c>
      <c r="N324" t="n">
        <v>0</v>
      </c>
      <c r="O324" t="n">
        <v>0</v>
      </c>
      <c r="P324" t="n">
        <v>0</v>
      </c>
      <c r="Q324" t="n">
        <v>0</v>
      </c>
      <c r="R324" s="2" t="inlineStr"/>
    </row>
    <row r="325" ht="15" customHeight="1">
      <c r="A325" t="inlineStr">
        <is>
          <t>A 71702-2021</t>
        </is>
      </c>
      <c r="B325" s="1" t="n">
        <v>44543</v>
      </c>
      <c r="C325" s="1" t="n">
        <v>45781</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72333-2021</t>
        </is>
      </c>
      <c r="B326" s="1" t="n">
        <v>44545</v>
      </c>
      <c r="C326" s="1" t="n">
        <v>45781</v>
      </c>
      <c r="D326" t="inlineStr">
        <is>
          <t>DALARNAS LÄN</t>
        </is>
      </c>
      <c r="E326" t="inlineStr">
        <is>
          <t>MORA</t>
        </is>
      </c>
      <c r="F326" t="inlineStr">
        <is>
          <t>Allmännings- och besparingsskogar</t>
        </is>
      </c>
      <c r="G326" t="n">
        <v>0.6</v>
      </c>
      <c r="H326" t="n">
        <v>0</v>
      </c>
      <c r="I326" t="n">
        <v>0</v>
      </c>
      <c r="J326" t="n">
        <v>0</v>
      </c>
      <c r="K326" t="n">
        <v>0</v>
      </c>
      <c r="L326" t="n">
        <v>0</v>
      </c>
      <c r="M326" t="n">
        <v>0</v>
      </c>
      <c r="N326" t="n">
        <v>0</v>
      </c>
      <c r="O326" t="n">
        <v>0</v>
      </c>
      <c r="P326" t="n">
        <v>0</v>
      </c>
      <c r="Q326" t="n">
        <v>0</v>
      </c>
      <c r="R326" s="2" t="inlineStr"/>
    </row>
    <row r="327" ht="15" customHeight="1">
      <c r="A327" t="inlineStr">
        <is>
          <t>A 72439-2021</t>
        </is>
      </c>
      <c r="B327" s="1" t="n">
        <v>44545</v>
      </c>
      <c r="C327" s="1" t="n">
        <v>45781</v>
      </c>
      <c r="D327" t="inlineStr">
        <is>
          <t>DALARNAS LÄN</t>
        </is>
      </c>
      <c r="E327" t="inlineStr">
        <is>
          <t>MORA</t>
        </is>
      </c>
      <c r="F327" t="inlineStr">
        <is>
          <t>Allmännings- och besparingsskogar</t>
        </is>
      </c>
      <c r="G327" t="n">
        <v>8.5</v>
      </c>
      <c r="H327" t="n">
        <v>0</v>
      </c>
      <c r="I327" t="n">
        <v>0</v>
      </c>
      <c r="J327" t="n">
        <v>0</v>
      </c>
      <c r="K327" t="n">
        <v>0</v>
      </c>
      <c r="L327" t="n">
        <v>0</v>
      </c>
      <c r="M327" t="n">
        <v>0</v>
      </c>
      <c r="N327" t="n">
        <v>0</v>
      </c>
      <c r="O327" t="n">
        <v>0</v>
      </c>
      <c r="P327" t="n">
        <v>0</v>
      </c>
      <c r="Q327" t="n">
        <v>0</v>
      </c>
      <c r="R327" s="2" t="inlineStr"/>
    </row>
    <row r="328" ht="15" customHeight="1">
      <c r="A328" t="inlineStr">
        <is>
          <t>A 72780-2021</t>
        </is>
      </c>
      <c r="B328" s="1" t="n">
        <v>44545</v>
      </c>
      <c r="C328" s="1" t="n">
        <v>45781</v>
      </c>
      <c r="D328" t="inlineStr">
        <is>
          <t>DALARNAS LÄN</t>
        </is>
      </c>
      <c r="E328" t="inlineStr">
        <is>
          <t>MORA</t>
        </is>
      </c>
      <c r="F328" t="inlineStr">
        <is>
          <t>Allmännings- och besparingsskogar</t>
        </is>
      </c>
      <c r="G328" t="n">
        <v>1</v>
      </c>
      <c r="H328" t="n">
        <v>0</v>
      </c>
      <c r="I328" t="n">
        <v>0</v>
      </c>
      <c r="J328" t="n">
        <v>0</v>
      </c>
      <c r="K328" t="n">
        <v>0</v>
      </c>
      <c r="L328" t="n">
        <v>0</v>
      </c>
      <c r="M328" t="n">
        <v>0</v>
      </c>
      <c r="N328" t="n">
        <v>0</v>
      </c>
      <c r="O328" t="n">
        <v>0</v>
      </c>
      <c r="P328" t="n">
        <v>0</v>
      </c>
      <c r="Q328" t="n">
        <v>0</v>
      </c>
      <c r="R328" s="2" t="inlineStr"/>
    </row>
    <row r="329" ht="15" customHeight="1">
      <c r="A329" t="inlineStr">
        <is>
          <t>A 72659-2021</t>
        </is>
      </c>
      <c r="B329" s="1" t="n">
        <v>44546</v>
      </c>
      <c r="C329" s="1" t="n">
        <v>45781</v>
      </c>
      <c r="D329" t="inlineStr">
        <is>
          <t>DALARNAS LÄN</t>
        </is>
      </c>
      <c r="E329" t="inlineStr">
        <is>
          <t>MORA</t>
        </is>
      </c>
      <c r="G329" t="n">
        <v>0.5</v>
      </c>
      <c r="H329" t="n">
        <v>0</v>
      </c>
      <c r="I329" t="n">
        <v>0</v>
      </c>
      <c r="J329" t="n">
        <v>0</v>
      </c>
      <c r="K329" t="n">
        <v>0</v>
      </c>
      <c r="L329" t="n">
        <v>0</v>
      </c>
      <c r="M329" t="n">
        <v>0</v>
      </c>
      <c r="N329" t="n">
        <v>0</v>
      </c>
      <c r="O329" t="n">
        <v>0</v>
      </c>
      <c r="P329" t="n">
        <v>0</v>
      </c>
      <c r="Q329" t="n">
        <v>0</v>
      </c>
      <c r="R329" s="2" t="inlineStr"/>
    </row>
    <row r="330" ht="15" customHeight="1">
      <c r="A330" t="inlineStr">
        <is>
          <t>A 72648-2021</t>
        </is>
      </c>
      <c r="B330" s="1" t="n">
        <v>44546</v>
      </c>
      <c r="C330" s="1" t="n">
        <v>45781</v>
      </c>
      <c r="D330" t="inlineStr">
        <is>
          <t>DALARNAS LÄN</t>
        </is>
      </c>
      <c r="E330" t="inlineStr">
        <is>
          <t>MORA</t>
        </is>
      </c>
      <c r="G330" t="n">
        <v>0.2</v>
      </c>
      <c r="H330" t="n">
        <v>0</v>
      </c>
      <c r="I330" t="n">
        <v>0</v>
      </c>
      <c r="J330" t="n">
        <v>0</v>
      </c>
      <c r="K330" t="n">
        <v>0</v>
      </c>
      <c r="L330" t="n">
        <v>0</v>
      </c>
      <c r="M330" t="n">
        <v>0</v>
      </c>
      <c r="N330" t="n">
        <v>0</v>
      </c>
      <c r="O330" t="n">
        <v>0</v>
      </c>
      <c r="P330" t="n">
        <v>0</v>
      </c>
      <c r="Q330" t="n">
        <v>0</v>
      </c>
      <c r="R330" s="2" t="inlineStr"/>
    </row>
    <row r="331" ht="15" customHeight="1">
      <c r="A331" t="inlineStr">
        <is>
          <t>A 72915-2021</t>
        </is>
      </c>
      <c r="B331" s="1" t="n">
        <v>44547</v>
      </c>
      <c r="C331" s="1" t="n">
        <v>45781</v>
      </c>
      <c r="D331" t="inlineStr">
        <is>
          <t>DALARNAS LÄN</t>
        </is>
      </c>
      <c r="E331" t="inlineStr">
        <is>
          <t>MORA</t>
        </is>
      </c>
      <c r="F331" t="inlineStr">
        <is>
          <t>Allmännings- och besparingsskogar</t>
        </is>
      </c>
      <c r="G331" t="n">
        <v>38.5</v>
      </c>
      <c r="H331" t="n">
        <v>0</v>
      </c>
      <c r="I331" t="n">
        <v>0</v>
      </c>
      <c r="J331" t="n">
        <v>0</v>
      </c>
      <c r="K331" t="n">
        <v>0</v>
      </c>
      <c r="L331" t="n">
        <v>0</v>
      </c>
      <c r="M331" t="n">
        <v>0</v>
      </c>
      <c r="N331" t="n">
        <v>0</v>
      </c>
      <c r="O331" t="n">
        <v>0</v>
      </c>
      <c r="P331" t="n">
        <v>0</v>
      </c>
      <c r="Q331" t="n">
        <v>0</v>
      </c>
      <c r="R331" s="2" t="inlineStr"/>
    </row>
    <row r="332" ht="15" customHeight="1">
      <c r="A332" t="inlineStr">
        <is>
          <t>A 73930-2021</t>
        </is>
      </c>
      <c r="B332" s="1" t="n">
        <v>44553</v>
      </c>
      <c r="C332" s="1" t="n">
        <v>45781</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111-2022</t>
        </is>
      </c>
      <c r="B333" s="1" t="n">
        <v>44564</v>
      </c>
      <c r="C333" s="1" t="n">
        <v>45781</v>
      </c>
      <c r="D333" t="inlineStr">
        <is>
          <t>DALARNAS LÄN</t>
        </is>
      </c>
      <c r="E333" t="inlineStr">
        <is>
          <t>MORA</t>
        </is>
      </c>
      <c r="G333" t="n">
        <v>2</v>
      </c>
      <c r="H333" t="n">
        <v>0</v>
      </c>
      <c r="I333" t="n">
        <v>0</v>
      </c>
      <c r="J333" t="n">
        <v>0</v>
      </c>
      <c r="K333" t="n">
        <v>0</v>
      </c>
      <c r="L333" t="n">
        <v>0</v>
      </c>
      <c r="M333" t="n">
        <v>0</v>
      </c>
      <c r="N333" t="n">
        <v>0</v>
      </c>
      <c r="O333" t="n">
        <v>0</v>
      </c>
      <c r="P333" t="n">
        <v>0</v>
      </c>
      <c r="Q333" t="n">
        <v>0</v>
      </c>
      <c r="R333" s="2" t="inlineStr"/>
    </row>
    <row r="334" ht="15" customHeight="1">
      <c r="A334" t="inlineStr">
        <is>
          <t>A 2277-2022</t>
        </is>
      </c>
      <c r="B334" s="1" t="n">
        <v>44578</v>
      </c>
      <c r="C334" s="1" t="n">
        <v>45781</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2247-2022</t>
        </is>
      </c>
      <c r="B335" s="1" t="n">
        <v>44578</v>
      </c>
      <c r="C335" s="1" t="n">
        <v>45781</v>
      </c>
      <c r="D335" t="inlineStr">
        <is>
          <t>DALARNAS LÄN</t>
        </is>
      </c>
      <c r="E335" t="inlineStr">
        <is>
          <t>MORA</t>
        </is>
      </c>
      <c r="G335" t="n">
        <v>1.8</v>
      </c>
      <c r="H335" t="n">
        <v>0</v>
      </c>
      <c r="I335" t="n">
        <v>0</v>
      </c>
      <c r="J335" t="n">
        <v>0</v>
      </c>
      <c r="K335" t="n">
        <v>0</v>
      </c>
      <c r="L335" t="n">
        <v>0</v>
      </c>
      <c r="M335" t="n">
        <v>0</v>
      </c>
      <c r="N335" t="n">
        <v>0</v>
      </c>
      <c r="O335" t="n">
        <v>0</v>
      </c>
      <c r="P335" t="n">
        <v>0</v>
      </c>
      <c r="Q335" t="n">
        <v>0</v>
      </c>
      <c r="R335" s="2" t="inlineStr"/>
    </row>
    <row r="336" ht="15" customHeight="1">
      <c r="A336" t="inlineStr">
        <is>
          <t>A 2865-2022</t>
        </is>
      </c>
      <c r="B336" s="1" t="n">
        <v>44581</v>
      </c>
      <c r="C336" s="1" t="n">
        <v>45781</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2879-2022</t>
        </is>
      </c>
      <c r="B337" s="1" t="n">
        <v>44581</v>
      </c>
      <c r="C337" s="1" t="n">
        <v>45781</v>
      </c>
      <c r="D337" t="inlineStr">
        <is>
          <t>DALARNAS LÄN</t>
        </is>
      </c>
      <c r="E337" t="inlineStr">
        <is>
          <t>MORA</t>
        </is>
      </c>
      <c r="G337" t="n">
        <v>2.3</v>
      </c>
      <c r="H337" t="n">
        <v>0</v>
      </c>
      <c r="I337" t="n">
        <v>0</v>
      </c>
      <c r="J337" t="n">
        <v>0</v>
      </c>
      <c r="K337" t="n">
        <v>0</v>
      </c>
      <c r="L337" t="n">
        <v>0</v>
      </c>
      <c r="M337" t="n">
        <v>0</v>
      </c>
      <c r="N337" t="n">
        <v>0</v>
      </c>
      <c r="O337" t="n">
        <v>0</v>
      </c>
      <c r="P337" t="n">
        <v>0</v>
      </c>
      <c r="Q337" t="n">
        <v>0</v>
      </c>
      <c r="R337" s="2" t="inlineStr"/>
    </row>
    <row r="338" ht="15" customHeight="1">
      <c r="A338" t="inlineStr">
        <is>
          <t>A 4489-2022</t>
        </is>
      </c>
      <c r="B338" s="1" t="n">
        <v>44589</v>
      </c>
      <c r="C338" s="1" t="n">
        <v>45781</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4488-2022</t>
        </is>
      </c>
      <c r="B339" s="1" t="n">
        <v>44589</v>
      </c>
      <c r="C339" s="1" t="n">
        <v>45781</v>
      </c>
      <c r="D339" t="inlineStr">
        <is>
          <t>DALARNAS LÄN</t>
        </is>
      </c>
      <c r="E339" t="inlineStr">
        <is>
          <t>MORA</t>
        </is>
      </c>
      <c r="G339" t="n">
        <v>1.1</v>
      </c>
      <c r="H339" t="n">
        <v>0</v>
      </c>
      <c r="I339" t="n">
        <v>0</v>
      </c>
      <c r="J339" t="n">
        <v>0</v>
      </c>
      <c r="K339" t="n">
        <v>0</v>
      </c>
      <c r="L339" t="n">
        <v>0</v>
      </c>
      <c r="M339" t="n">
        <v>0</v>
      </c>
      <c r="N339" t="n">
        <v>0</v>
      </c>
      <c r="O339" t="n">
        <v>0</v>
      </c>
      <c r="P339" t="n">
        <v>0</v>
      </c>
      <c r="Q339" t="n">
        <v>0</v>
      </c>
      <c r="R339" s="2" t="inlineStr"/>
    </row>
    <row r="340" ht="15" customHeight="1">
      <c r="A340" t="inlineStr">
        <is>
          <t>A 6371-2022</t>
        </is>
      </c>
      <c r="B340" s="1" t="n">
        <v>44600</v>
      </c>
      <c r="C340" s="1" t="n">
        <v>45781</v>
      </c>
      <c r="D340" t="inlineStr">
        <is>
          <t>DALARNAS LÄN</t>
        </is>
      </c>
      <c r="E340" t="inlineStr">
        <is>
          <t>MORA</t>
        </is>
      </c>
      <c r="G340" t="n">
        <v>4.6</v>
      </c>
      <c r="H340" t="n">
        <v>0</v>
      </c>
      <c r="I340" t="n">
        <v>0</v>
      </c>
      <c r="J340" t="n">
        <v>0</v>
      </c>
      <c r="K340" t="n">
        <v>0</v>
      </c>
      <c r="L340" t="n">
        <v>0</v>
      </c>
      <c r="M340" t="n">
        <v>0</v>
      </c>
      <c r="N340" t="n">
        <v>0</v>
      </c>
      <c r="O340" t="n">
        <v>0</v>
      </c>
      <c r="P340" t="n">
        <v>0</v>
      </c>
      <c r="Q340" t="n">
        <v>0</v>
      </c>
      <c r="R340" s="2" t="inlineStr"/>
    </row>
    <row r="341" ht="15" customHeight="1">
      <c r="A341" t="inlineStr">
        <is>
          <t>A 6574-2022</t>
        </is>
      </c>
      <c r="B341" s="1" t="n">
        <v>44601</v>
      </c>
      <c r="C341" s="1" t="n">
        <v>45781</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6572-2022</t>
        </is>
      </c>
      <c r="B342" s="1" t="n">
        <v>44601</v>
      </c>
      <c r="C342" s="1" t="n">
        <v>45781</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8051-2022</t>
        </is>
      </c>
      <c r="B343" s="1" t="n">
        <v>44608</v>
      </c>
      <c r="C343" s="1" t="n">
        <v>45781</v>
      </c>
      <c r="D343" t="inlineStr">
        <is>
          <t>DALARNAS LÄN</t>
        </is>
      </c>
      <c r="E343" t="inlineStr">
        <is>
          <t>MORA</t>
        </is>
      </c>
      <c r="G343" t="n">
        <v>2.7</v>
      </c>
      <c r="H343" t="n">
        <v>0</v>
      </c>
      <c r="I343" t="n">
        <v>0</v>
      </c>
      <c r="J343" t="n">
        <v>0</v>
      </c>
      <c r="K343" t="n">
        <v>0</v>
      </c>
      <c r="L343" t="n">
        <v>0</v>
      </c>
      <c r="M343" t="n">
        <v>0</v>
      </c>
      <c r="N343" t="n">
        <v>0</v>
      </c>
      <c r="O343" t="n">
        <v>0</v>
      </c>
      <c r="P343" t="n">
        <v>0</v>
      </c>
      <c r="Q343" t="n">
        <v>0</v>
      </c>
      <c r="R343" s="2" t="inlineStr"/>
    </row>
    <row r="344" ht="15" customHeight="1">
      <c r="A344" t="inlineStr">
        <is>
          <t>A 8138-2022</t>
        </is>
      </c>
      <c r="B344" s="1" t="n">
        <v>44609</v>
      </c>
      <c r="C344" s="1" t="n">
        <v>45781</v>
      </c>
      <c r="D344" t="inlineStr">
        <is>
          <t>DALARNAS LÄN</t>
        </is>
      </c>
      <c r="E344" t="inlineStr">
        <is>
          <t>MORA</t>
        </is>
      </c>
      <c r="G344" t="n">
        <v>5</v>
      </c>
      <c r="H344" t="n">
        <v>0</v>
      </c>
      <c r="I344" t="n">
        <v>0</v>
      </c>
      <c r="J344" t="n">
        <v>0</v>
      </c>
      <c r="K344" t="n">
        <v>0</v>
      </c>
      <c r="L344" t="n">
        <v>0</v>
      </c>
      <c r="M344" t="n">
        <v>0</v>
      </c>
      <c r="N344" t="n">
        <v>0</v>
      </c>
      <c r="O344" t="n">
        <v>0</v>
      </c>
      <c r="P344" t="n">
        <v>0</v>
      </c>
      <c r="Q344" t="n">
        <v>0</v>
      </c>
      <c r="R344" s="2" t="inlineStr"/>
    </row>
    <row r="345" ht="15" customHeight="1">
      <c r="A345" t="inlineStr">
        <is>
          <t>A 8145-2022</t>
        </is>
      </c>
      <c r="B345" s="1" t="n">
        <v>44609</v>
      </c>
      <c r="C345" s="1" t="n">
        <v>45781</v>
      </c>
      <c r="D345" t="inlineStr">
        <is>
          <t>DALARNAS LÄN</t>
        </is>
      </c>
      <c r="E345" t="inlineStr">
        <is>
          <t>MORA</t>
        </is>
      </c>
      <c r="G345" t="n">
        <v>7.3</v>
      </c>
      <c r="H345" t="n">
        <v>0</v>
      </c>
      <c r="I345" t="n">
        <v>0</v>
      </c>
      <c r="J345" t="n">
        <v>0</v>
      </c>
      <c r="K345" t="n">
        <v>0</v>
      </c>
      <c r="L345" t="n">
        <v>0</v>
      </c>
      <c r="M345" t="n">
        <v>0</v>
      </c>
      <c r="N345" t="n">
        <v>0</v>
      </c>
      <c r="O345" t="n">
        <v>0</v>
      </c>
      <c r="P345" t="n">
        <v>0</v>
      </c>
      <c r="Q345" t="n">
        <v>0</v>
      </c>
      <c r="R345" s="2" t="inlineStr"/>
    </row>
    <row r="346" ht="15" customHeight="1">
      <c r="A346" t="inlineStr">
        <is>
          <t>A 8546-2022</t>
        </is>
      </c>
      <c r="B346" s="1" t="n">
        <v>44613</v>
      </c>
      <c r="C346" s="1" t="n">
        <v>45781</v>
      </c>
      <c r="D346" t="inlineStr">
        <is>
          <t>DALARNAS LÄN</t>
        </is>
      </c>
      <c r="E346" t="inlineStr">
        <is>
          <t>MORA</t>
        </is>
      </c>
      <c r="G346" t="n">
        <v>2.6</v>
      </c>
      <c r="H346" t="n">
        <v>0</v>
      </c>
      <c r="I346" t="n">
        <v>0</v>
      </c>
      <c r="J346" t="n">
        <v>0</v>
      </c>
      <c r="K346" t="n">
        <v>0</v>
      </c>
      <c r="L346" t="n">
        <v>0</v>
      </c>
      <c r="M346" t="n">
        <v>0</v>
      </c>
      <c r="N346" t="n">
        <v>0</v>
      </c>
      <c r="O346" t="n">
        <v>0</v>
      </c>
      <c r="P346" t="n">
        <v>0</v>
      </c>
      <c r="Q346" t="n">
        <v>0</v>
      </c>
      <c r="R346" s="2" t="inlineStr"/>
    </row>
    <row r="347" ht="15" customHeight="1">
      <c r="A347" t="inlineStr">
        <is>
          <t>A 9034-2022</t>
        </is>
      </c>
      <c r="B347" s="1" t="n">
        <v>44615</v>
      </c>
      <c r="C347" s="1" t="n">
        <v>45781</v>
      </c>
      <c r="D347" t="inlineStr">
        <is>
          <t>DALARNAS LÄN</t>
        </is>
      </c>
      <c r="E347" t="inlineStr">
        <is>
          <t>MORA</t>
        </is>
      </c>
      <c r="G347" t="n">
        <v>3.5</v>
      </c>
      <c r="H347" t="n">
        <v>0</v>
      </c>
      <c r="I347" t="n">
        <v>0</v>
      </c>
      <c r="J347" t="n">
        <v>0</v>
      </c>
      <c r="K347" t="n">
        <v>0</v>
      </c>
      <c r="L347" t="n">
        <v>0</v>
      </c>
      <c r="M347" t="n">
        <v>0</v>
      </c>
      <c r="N347" t="n">
        <v>0</v>
      </c>
      <c r="O347" t="n">
        <v>0</v>
      </c>
      <c r="P347" t="n">
        <v>0</v>
      </c>
      <c r="Q347" t="n">
        <v>0</v>
      </c>
      <c r="R347" s="2" t="inlineStr"/>
    </row>
    <row r="348" ht="15" customHeight="1">
      <c r="A348" t="inlineStr">
        <is>
          <t>A 9599-2022</t>
        </is>
      </c>
      <c r="B348" s="1" t="n">
        <v>44617</v>
      </c>
      <c r="C348" s="1" t="n">
        <v>45781</v>
      </c>
      <c r="D348" t="inlineStr">
        <is>
          <t>DALARNAS LÄN</t>
        </is>
      </c>
      <c r="E348" t="inlineStr">
        <is>
          <t>MORA</t>
        </is>
      </c>
      <c r="G348" t="n">
        <v>2.1</v>
      </c>
      <c r="H348" t="n">
        <v>0</v>
      </c>
      <c r="I348" t="n">
        <v>0</v>
      </c>
      <c r="J348" t="n">
        <v>0</v>
      </c>
      <c r="K348" t="n">
        <v>0</v>
      </c>
      <c r="L348" t="n">
        <v>0</v>
      </c>
      <c r="M348" t="n">
        <v>0</v>
      </c>
      <c r="N348" t="n">
        <v>0</v>
      </c>
      <c r="O348" t="n">
        <v>0</v>
      </c>
      <c r="P348" t="n">
        <v>0</v>
      </c>
      <c r="Q348" t="n">
        <v>0</v>
      </c>
      <c r="R348" s="2" t="inlineStr"/>
    </row>
    <row r="349" ht="15" customHeight="1">
      <c r="A349" t="inlineStr">
        <is>
          <t>A 9843-2022</t>
        </is>
      </c>
      <c r="B349" s="1" t="n">
        <v>44620</v>
      </c>
      <c r="C349" s="1" t="n">
        <v>45781</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11337-2022</t>
        </is>
      </c>
      <c r="B350" s="1" t="n">
        <v>44630</v>
      </c>
      <c r="C350" s="1" t="n">
        <v>45781</v>
      </c>
      <c r="D350" t="inlineStr">
        <is>
          <t>DALARNAS LÄN</t>
        </is>
      </c>
      <c r="E350" t="inlineStr">
        <is>
          <t>MORA</t>
        </is>
      </c>
      <c r="G350" t="n">
        <v>6.6</v>
      </c>
      <c r="H350" t="n">
        <v>0</v>
      </c>
      <c r="I350" t="n">
        <v>0</v>
      </c>
      <c r="J350" t="n">
        <v>0</v>
      </c>
      <c r="K350" t="n">
        <v>0</v>
      </c>
      <c r="L350" t="n">
        <v>0</v>
      </c>
      <c r="M350" t="n">
        <v>0</v>
      </c>
      <c r="N350" t="n">
        <v>0</v>
      </c>
      <c r="O350" t="n">
        <v>0</v>
      </c>
      <c r="P350" t="n">
        <v>0</v>
      </c>
      <c r="Q350" t="n">
        <v>0</v>
      </c>
      <c r="R350" s="2" t="inlineStr"/>
    </row>
    <row r="351" ht="15" customHeight="1">
      <c r="A351" t="inlineStr">
        <is>
          <t>A 11442-2022</t>
        </is>
      </c>
      <c r="B351" s="1" t="n">
        <v>44630</v>
      </c>
      <c r="C351" s="1" t="n">
        <v>45781</v>
      </c>
      <c r="D351" t="inlineStr">
        <is>
          <t>DALARNAS LÄN</t>
        </is>
      </c>
      <c r="E351" t="inlineStr">
        <is>
          <t>MORA</t>
        </is>
      </c>
      <c r="G351" t="n">
        <v>0.5</v>
      </c>
      <c r="H351" t="n">
        <v>0</v>
      </c>
      <c r="I351" t="n">
        <v>0</v>
      </c>
      <c r="J351" t="n">
        <v>0</v>
      </c>
      <c r="K351" t="n">
        <v>0</v>
      </c>
      <c r="L351" t="n">
        <v>0</v>
      </c>
      <c r="M351" t="n">
        <v>0</v>
      </c>
      <c r="N351" t="n">
        <v>0</v>
      </c>
      <c r="O351" t="n">
        <v>0</v>
      </c>
      <c r="P351" t="n">
        <v>0</v>
      </c>
      <c r="Q351" t="n">
        <v>0</v>
      </c>
      <c r="R351" s="2" t="inlineStr"/>
    </row>
    <row r="352" ht="15" customHeight="1">
      <c r="A352" t="inlineStr">
        <is>
          <t>A 12096-2022</t>
        </is>
      </c>
      <c r="B352" s="1" t="n">
        <v>44636</v>
      </c>
      <c r="C352" s="1" t="n">
        <v>45781</v>
      </c>
      <c r="D352" t="inlineStr">
        <is>
          <t>DALARNAS LÄN</t>
        </is>
      </c>
      <c r="E352" t="inlineStr">
        <is>
          <t>MORA</t>
        </is>
      </c>
      <c r="G352" t="n">
        <v>9</v>
      </c>
      <c r="H352" t="n">
        <v>0</v>
      </c>
      <c r="I352" t="n">
        <v>0</v>
      </c>
      <c r="J352" t="n">
        <v>0</v>
      </c>
      <c r="K352" t="n">
        <v>0</v>
      </c>
      <c r="L352" t="n">
        <v>0</v>
      </c>
      <c r="M352" t="n">
        <v>0</v>
      </c>
      <c r="N352" t="n">
        <v>0</v>
      </c>
      <c r="O352" t="n">
        <v>0</v>
      </c>
      <c r="P352" t="n">
        <v>0</v>
      </c>
      <c r="Q352" t="n">
        <v>0</v>
      </c>
      <c r="R352" s="2" t="inlineStr"/>
    </row>
    <row r="353" ht="15" customHeight="1">
      <c r="A353" t="inlineStr">
        <is>
          <t>A 12920-2022</t>
        </is>
      </c>
      <c r="B353" s="1" t="n">
        <v>44642</v>
      </c>
      <c r="C353" s="1" t="n">
        <v>45781</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13262-2022</t>
        </is>
      </c>
      <c r="B354" s="1" t="n">
        <v>44644</v>
      </c>
      <c r="C354" s="1" t="n">
        <v>45781</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13350-2022</t>
        </is>
      </c>
      <c r="B355" s="1" t="n">
        <v>44645</v>
      </c>
      <c r="C355" s="1" t="n">
        <v>45781</v>
      </c>
      <c r="D355" t="inlineStr">
        <is>
          <t>DALARNAS LÄN</t>
        </is>
      </c>
      <c r="E355" t="inlineStr">
        <is>
          <t>MORA</t>
        </is>
      </c>
      <c r="G355" t="n">
        <v>1.2</v>
      </c>
      <c r="H355" t="n">
        <v>0</v>
      </c>
      <c r="I355" t="n">
        <v>0</v>
      </c>
      <c r="J355" t="n">
        <v>0</v>
      </c>
      <c r="K355" t="n">
        <v>0</v>
      </c>
      <c r="L355" t="n">
        <v>0</v>
      </c>
      <c r="M355" t="n">
        <v>0</v>
      </c>
      <c r="N355" t="n">
        <v>0</v>
      </c>
      <c r="O355" t="n">
        <v>0</v>
      </c>
      <c r="P355" t="n">
        <v>0</v>
      </c>
      <c r="Q355" t="n">
        <v>0</v>
      </c>
      <c r="R355" s="2" t="inlineStr"/>
    </row>
    <row r="356" ht="15" customHeight="1">
      <c r="A356" t="inlineStr">
        <is>
          <t>A 14738-2022</t>
        </is>
      </c>
      <c r="B356" s="1" t="n">
        <v>44656</v>
      </c>
      <c r="C356" s="1" t="n">
        <v>45781</v>
      </c>
      <c r="D356" t="inlineStr">
        <is>
          <t>DALARNAS LÄN</t>
        </is>
      </c>
      <c r="E356" t="inlineStr">
        <is>
          <t>MORA</t>
        </is>
      </c>
      <c r="G356" t="n">
        <v>5.6</v>
      </c>
      <c r="H356" t="n">
        <v>0</v>
      </c>
      <c r="I356" t="n">
        <v>0</v>
      </c>
      <c r="J356" t="n">
        <v>0</v>
      </c>
      <c r="K356" t="n">
        <v>0</v>
      </c>
      <c r="L356" t="n">
        <v>0</v>
      </c>
      <c r="M356" t="n">
        <v>0</v>
      </c>
      <c r="N356" t="n">
        <v>0</v>
      </c>
      <c r="O356" t="n">
        <v>0</v>
      </c>
      <c r="P356" t="n">
        <v>0</v>
      </c>
      <c r="Q356" t="n">
        <v>0</v>
      </c>
      <c r="R356" s="2" t="inlineStr"/>
    </row>
    <row r="357" ht="15" customHeight="1">
      <c r="A357" t="inlineStr">
        <is>
          <t>A 14744-2022</t>
        </is>
      </c>
      <c r="B357" s="1" t="n">
        <v>44656</v>
      </c>
      <c r="C357" s="1" t="n">
        <v>45781</v>
      </c>
      <c r="D357" t="inlineStr">
        <is>
          <t>DALARNAS LÄN</t>
        </is>
      </c>
      <c r="E357" t="inlineStr">
        <is>
          <t>MORA</t>
        </is>
      </c>
      <c r="G357" t="n">
        <v>1.9</v>
      </c>
      <c r="H357" t="n">
        <v>0</v>
      </c>
      <c r="I357" t="n">
        <v>0</v>
      </c>
      <c r="J357" t="n">
        <v>0</v>
      </c>
      <c r="K357" t="n">
        <v>0</v>
      </c>
      <c r="L357" t="n">
        <v>0</v>
      </c>
      <c r="M357" t="n">
        <v>0</v>
      </c>
      <c r="N357" t="n">
        <v>0</v>
      </c>
      <c r="O357" t="n">
        <v>0</v>
      </c>
      <c r="P357" t="n">
        <v>0</v>
      </c>
      <c r="Q357" t="n">
        <v>0</v>
      </c>
      <c r="R357" s="2" t="inlineStr"/>
    </row>
    <row r="358" ht="15" customHeight="1">
      <c r="A358" t="inlineStr">
        <is>
          <t>A 15128-2022</t>
        </is>
      </c>
      <c r="B358" s="1" t="n">
        <v>44658</v>
      </c>
      <c r="C358" s="1" t="n">
        <v>45781</v>
      </c>
      <c r="D358" t="inlineStr">
        <is>
          <t>DALARNAS LÄN</t>
        </is>
      </c>
      <c r="E358" t="inlineStr">
        <is>
          <t>MORA</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15127-2022</t>
        </is>
      </c>
      <c r="B359" s="1" t="n">
        <v>44658</v>
      </c>
      <c r="C359" s="1" t="n">
        <v>45781</v>
      </c>
      <c r="D359" t="inlineStr">
        <is>
          <t>DALARNAS LÄN</t>
        </is>
      </c>
      <c r="E359" t="inlineStr">
        <is>
          <t>MORA</t>
        </is>
      </c>
      <c r="G359" t="n">
        <v>4.9</v>
      </c>
      <c r="H359" t="n">
        <v>0</v>
      </c>
      <c r="I359" t="n">
        <v>0</v>
      </c>
      <c r="J359" t="n">
        <v>0</v>
      </c>
      <c r="K359" t="n">
        <v>0</v>
      </c>
      <c r="L359" t="n">
        <v>0</v>
      </c>
      <c r="M359" t="n">
        <v>0</v>
      </c>
      <c r="N359" t="n">
        <v>0</v>
      </c>
      <c r="O359" t="n">
        <v>0</v>
      </c>
      <c r="P359" t="n">
        <v>0</v>
      </c>
      <c r="Q359" t="n">
        <v>0</v>
      </c>
      <c r="R359" s="2" t="inlineStr"/>
    </row>
    <row r="360" ht="15" customHeight="1">
      <c r="A360" t="inlineStr">
        <is>
          <t>A 15393-2022</t>
        </is>
      </c>
      <c r="B360" s="1" t="n">
        <v>44659</v>
      </c>
      <c r="C360" s="1" t="n">
        <v>45781</v>
      </c>
      <c r="D360" t="inlineStr">
        <is>
          <t>DALARNAS LÄN</t>
        </is>
      </c>
      <c r="E360" t="inlineStr">
        <is>
          <t>MORA</t>
        </is>
      </c>
      <c r="G360" t="n">
        <v>2.5</v>
      </c>
      <c r="H360" t="n">
        <v>0</v>
      </c>
      <c r="I360" t="n">
        <v>0</v>
      </c>
      <c r="J360" t="n">
        <v>0</v>
      </c>
      <c r="K360" t="n">
        <v>0</v>
      </c>
      <c r="L360" t="n">
        <v>0</v>
      </c>
      <c r="M360" t="n">
        <v>0</v>
      </c>
      <c r="N360" t="n">
        <v>0</v>
      </c>
      <c r="O360" t="n">
        <v>0</v>
      </c>
      <c r="P360" t="n">
        <v>0</v>
      </c>
      <c r="Q360" t="n">
        <v>0</v>
      </c>
      <c r="R360" s="2" t="inlineStr"/>
    </row>
    <row r="361" ht="15" customHeight="1">
      <c r="A361" t="inlineStr">
        <is>
          <t>A 15594-2022</t>
        </is>
      </c>
      <c r="B361" s="1" t="n">
        <v>44662</v>
      </c>
      <c r="C361" s="1" t="n">
        <v>45781</v>
      </c>
      <c r="D361" t="inlineStr">
        <is>
          <t>DALARNAS LÄN</t>
        </is>
      </c>
      <c r="E361" t="inlineStr">
        <is>
          <t>MORA</t>
        </is>
      </c>
      <c r="F361" t="inlineStr">
        <is>
          <t>Bergvik skog öst AB</t>
        </is>
      </c>
      <c r="G361" t="n">
        <v>1</v>
      </c>
      <c r="H361" t="n">
        <v>0</v>
      </c>
      <c r="I361" t="n">
        <v>0</v>
      </c>
      <c r="J361" t="n">
        <v>0</v>
      </c>
      <c r="K361" t="n">
        <v>0</v>
      </c>
      <c r="L361" t="n">
        <v>0</v>
      </c>
      <c r="M361" t="n">
        <v>0</v>
      </c>
      <c r="N361" t="n">
        <v>0</v>
      </c>
      <c r="O361" t="n">
        <v>0</v>
      </c>
      <c r="P361" t="n">
        <v>0</v>
      </c>
      <c r="Q361" t="n">
        <v>0</v>
      </c>
      <c r="R361" s="2" t="inlineStr"/>
    </row>
    <row r="362" ht="15" customHeight="1">
      <c r="A362" t="inlineStr">
        <is>
          <t>A 16706-2022</t>
        </is>
      </c>
      <c r="B362" s="1" t="n">
        <v>44673</v>
      </c>
      <c r="C362" s="1" t="n">
        <v>45781</v>
      </c>
      <c r="D362" t="inlineStr">
        <is>
          <t>DALARNAS LÄN</t>
        </is>
      </c>
      <c r="E362" t="inlineStr">
        <is>
          <t>MORA</t>
        </is>
      </c>
      <c r="G362" t="n">
        <v>9.1</v>
      </c>
      <c r="H362" t="n">
        <v>0</v>
      </c>
      <c r="I362" t="n">
        <v>0</v>
      </c>
      <c r="J362" t="n">
        <v>0</v>
      </c>
      <c r="K362" t="n">
        <v>0</v>
      </c>
      <c r="L362" t="n">
        <v>0</v>
      </c>
      <c r="M362" t="n">
        <v>0</v>
      </c>
      <c r="N362" t="n">
        <v>0</v>
      </c>
      <c r="O362" t="n">
        <v>0</v>
      </c>
      <c r="P362" t="n">
        <v>0</v>
      </c>
      <c r="Q362" t="n">
        <v>0</v>
      </c>
      <c r="R362" s="2" t="inlineStr"/>
    </row>
    <row r="363" ht="15" customHeight="1">
      <c r="A363" t="inlineStr">
        <is>
          <t>A 16700-2022</t>
        </is>
      </c>
      <c r="B363" s="1" t="n">
        <v>44673</v>
      </c>
      <c r="C363" s="1" t="n">
        <v>45781</v>
      </c>
      <c r="D363" t="inlineStr">
        <is>
          <t>DALARNAS LÄN</t>
        </is>
      </c>
      <c r="E363" t="inlineStr">
        <is>
          <t>MORA</t>
        </is>
      </c>
      <c r="G363" t="n">
        <v>3.3</v>
      </c>
      <c r="H363" t="n">
        <v>0</v>
      </c>
      <c r="I363" t="n">
        <v>0</v>
      </c>
      <c r="J363" t="n">
        <v>0</v>
      </c>
      <c r="K363" t="n">
        <v>0</v>
      </c>
      <c r="L363" t="n">
        <v>0</v>
      </c>
      <c r="M363" t="n">
        <v>0</v>
      </c>
      <c r="N363" t="n">
        <v>0</v>
      </c>
      <c r="O363" t="n">
        <v>0</v>
      </c>
      <c r="P363" t="n">
        <v>0</v>
      </c>
      <c r="Q363" t="n">
        <v>0</v>
      </c>
      <c r="R363" s="2" t="inlineStr"/>
    </row>
    <row r="364" ht="15" customHeight="1">
      <c r="A364" t="inlineStr">
        <is>
          <t>A 17272-2022</t>
        </is>
      </c>
      <c r="B364" s="1" t="n">
        <v>44678</v>
      </c>
      <c r="C364" s="1" t="n">
        <v>45781</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17622-2022</t>
        </is>
      </c>
      <c r="B365" s="1" t="n">
        <v>44680</v>
      </c>
      <c r="C365" s="1" t="n">
        <v>45781</v>
      </c>
      <c r="D365" t="inlineStr">
        <is>
          <t>DALARNAS LÄN</t>
        </is>
      </c>
      <c r="E365" t="inlineStr">
        <is>
          <t>MORA</t>
        </is>
      </c>
      <c r="G365" t="n">
        <v>1.5</v>
      </c>
      <c r="H365" t="n">
        <v>0</v>
      </c>
      <c r="I365" t="n">
        <v>0</v>
      </c>
      <c r="J365" t="n">
        <v>0</v>
      </c>
      <c r="K365" t="n">
        <v>0</v>
      </c>
      <c r="L365" t="n">
        <v>0</v>
      </c>
      <c r="M365" t="n">
        <v>0</v>
      </c>
      <c r="N365" t="n">
        <v>0</v>
      </c>
      <c r="O365" t="n">
        <v>0</v>
      </c>
      <c r="P365" t="n">
        <v>0</v>
      </c>
      <c r="Q365" t="n">
        <v>0</v>
      </c>
      <c r="R365" s="2" t="inlineStr"/>
    </row>
    <row r="366" ht="15" customHeight="1">
      <c r="A366" t="inlineStr">
        <is>
          <t>A 19372-2022</t>
        </is>
      </c>
      <c r="B366" s="1" t="n">
        <v>44692</v>
      </c>
      <c r="C366" s="1" t="n">
        <v>45781</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19756-2022</t>
        </is>
      </c>
      <c r="B367" s="1" t="n">
        <v>44694</v>
      </c>
      <c r="C367" s="1" t="n">
        <v>45781</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20401-2022</t>
        </is>
      </c>
      <c r="B368" s="1" t="n">
        <v>44699</v>
      </c>
      <c r="C368" s="1" t="n">
        <v>45781</v>
      </c>
      <c r="D368" t="inlineStr">
        <is>
          <t>DALARNAS LÄN</t>
        </is>
      </c>
      <c r="E368" t="inlineStr">
        <is>
          <t>MORA</t>
        </is>
      </c>
      <c r="G368" t="n">
        <v>3.2</v>
      </c>
      <c r="H368" t="n">
        <v>0</v>
      </c>
      <c r="I368" t="n">
        <v>0</v>
      </c>
      <c r="J368" t="n">
        <v>0</v>
      </c>
      <c r="K368" t="n">
        <v>0</v>
      </c>
      <c r="L368" t="n">
        <v>0</v>
      </c>
      <c r="M368" t="n">
        <v>0</v>
      </c>
      <c r="N368" t="n">
        <v>0</v>
      </c>
      <c r="O368" t="n">
        <v>0</v>
      </c>
      <c r="P368" t="n">
        <v>0</v>
      </c>
      <c r="Q368" t="n">
        <v>0</v>
      </c>
      <c r="R368" s="2" t="inlineStr"/>
    </row>
    <row r="369" ht="15" customHeight="1">
      <c r="A369" t="inlineStr">
        <is>
          <t>A 21273-2022</t>
        </is>
      </c>
      <c r="B369" s="1" t="n">
        <v>44705</v>
      </c>
      <c r="C369" s="1" t="n">
        <v>45781</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23354-2022</t>
        </is>
      </c>
      <c r="B370" s="1" t="n">
        <v>44720</v>
      </c>
      <c r="C370" s="1" t="n">
        <v>45781</v>
      </c>
      <c r="D370" t="inlineStr">
        <is>
          <t>DALARNAS LÄN</t>
        </is>
      </c>
      <c r="E370" t="inlineStr">
        <is>
          <t>MORA</t>
        </is>
      </c>
      <c r="G370" t="n">
        <v>5.2</v>
      </c>
      <c r="H370" t="n">
        <v>0</v>
      </c>
      <c r="I370" t="n">
        <v>0</v>
      </c>
      <c r="J370" t="n">
        <v>0</v>
      </c>
      <c r="K370" t="n">
        <v>0</v>
      </c>
      <c r="L370" t="n">
        <v>0</v>
      </c>
      <c r="M370" t="n">
        <v>0</v>
      </c>
      <c r="N370" t="n">
        <v>0</v>
      </c>
      <c r="O370" t="n">
        <v>0</v>
      </c>
      <c r="P370" t="n">
        <v>0</v>
      </c>
      <c r="Q370" t="n">
        <v>0</v>
      </c>
      <c r="R370" s="2" t="inlineStr"/>
    </row>
    <row r="371" ht="15" customHeight="1">
      <c r="A371" t="inlineStr">
        <is>
          <t>A 23655-2022</t>
        </is>
      </c>
      <c r="B371" s="1" t="n">
        <v>44721</v>
      </c>
      <c r="C371" s="1" t="n">
        <v>45781</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23795-2022</t>
        </is>
      </c>
      <c r="B372" s="1" t="n">
        <v>44722</v>
      </c>
      <c r="C372" s="1" t="n">
        <v>45781</v>
      </c>
      <c r="D372" t="inlineStr">
        <is>
          <t>DALARNAS LÄN</t>
        </is>
      </c>
      <c r="E372" t="inlineStr">
        <is>
          <t>MORA</t>
        </is>
      </c>
      <c r="G372" t="n">
        <v>1.3</v>
      </c>
      <c r="H372" t="n">
        <v>0</v>
      </c>
      <c r="I372" t="n">
        <v>0</v>
      </c>
      <c r="J372" t="n">
        <v>0</v>
      </c>
      <c r="K372" t="n">
        <v>0</v>
      </c>
      <c r="L372" t="n">
        <v>0</v>
      </c>
      <c r="M372" t="n">
        <v>0</v>
      </c>
      <c r="N372" t="n">
        <v>0</v>
      </c>
      <c r="O372" t="n">
        <v>0</v>
      </c>
      <c r="P372" t="n">
        <v>0</v>
      </c>
      <c r="Q372" t="n">
        <v>0</v>
      </c>
      <c r="R372" s="2" t="inlineStr"/>
    </row>
    <row r="373" ht="15" customHeight="1">
      <c r="A373" t="inlineStr">
        <is>
          <t>A 23798-2022</t>
        </is>
      </c>
      <c r="B373" s="1" t="n">
        <v>44722</v>
      </c>
      <c r="C373" s="1" t="n">
        <v>45781</v>
      </c>
      <c r="D373" t="inlineStr">
        <is>
          <t>DALARNAS LÄN</t>
        </is>
      </c>
      <c r="E373" t="inlineStr">
        <is>
          <t>MORA</t>
        </is>
      </c>
      <c r="G373" t="n">
        <v>2.6</v>
      </c>
      <c r="H373" t="n">
        <v>0</v>
      </c>
      <c r="I373" t="n">
        <v>0</v>
      </c>
      <c r="J373" t="n">
        <v>0</v>
      </c>
      <c r="K373" t="n">
        <v>0</v>
      </c>
      <c r="L373" t="n">
        <v>0</v>
      </c>
      <c r="M373" t="n">
        <v>0</v>
      </c>
      <c r="N373" t="n">
        <v>0</v>
      </c>
      <c r="O373" t="n">
        <v>0</v>
      </c>
      <c r="P373" t="n">
        <v>0</v>
      </c>
      <c r="Q373" t="n">
        <v>0</v>
      </c>
      <c r="R373" s="2" t="inlineStr"/>
    </row>
    <row r="374" ht="15" customHeight="1">
      <c r="A374" t="inlineStr">
        <is>
          <t>A 24171-2022</t>
        </is>
      </c>
      <c r="B374" s="1" t="n">
        <v>44725</v>
      </c>
      <c r="C374" s="1" t="n">
        <v>45781</v>
      </c>
      <c r="D374" t="inlineStr">
        <is>
          <t>DALARNAS LÄN</t>
        </is>
      </c>
      <c r="E374" t="inlineStr">
        <is>
          <t>MORA</t>
        </is>
      </c>
      <c r="F374" t="inlineStr">
        <is>
          <t>Bergvik skog väst AB</t>
        </is>
      </c>
      <c r="G374" t="n">
        <v>4.5</v>
      </c>
      <c r="H374" t="n">
        <v>0</v>
      </c>
      <c r="I374" t="n">
        <v>0</v>
      </c>
      <c r="J374" t="n">
        <v>0</v>
      </c>
      <c r="K374" t="n">
        <v>0</v>
      </c>
      <c r="L374" t="n">
        <v>0</v>
      </c>
      <c r="M374" t="n">
        <v>0</v>
      </c>
      <c r="N374" t="n">
        <v>0</v>
      </c>
      <c r="O374" t="n">
        <v>0</v>
      </c>
      <c r="P374" t="n">
        <v>0</v>
      </c>
      <c r="Q374" t="n">
        <v>0</v>
      </c>
      <c r="R374" s="2" t="inlineStr"/>
    </row>
    <row r="375" ht="15" customHeight="1">
      <c r="A375" t="inlineStr">
        <is>
          <t>A 24170-2022</t>
        </is>
      </c>
      <c r="B375" s="1" t="n">
        <v>44725</v>
      </c>
      <c r="C375" s="1" t="n">
        <v>45781</v>
      </c>
      <c r="D375" t="inlineStr">
        <is>
          <t>DALARNAS LÄN</t>
        </is>
      </c>
      <c r="E375" t="inlineStr">
        <is>
          <t>MORA</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24169-2022</t>
        </is>
      </c>
      <c r="B376" s="1" t="n">
        <v>44725</v>
      </c>
      <c r="C376" s="1" t="n">
        <v>45781</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24335-2022</t>
        </is>
      </c>
      <c r="B377" s="1" t="n">
        <v>44725</v>
      </c>
      <c r="C377" s="1" t="n">
        <v>45781</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24366-2022</t>
        </is>
      </c>
      <c r="B378" s="1" t="n">
        <v>44726</v>
      </c>
      <c r="C378" s="1" t="n">
        <v>45781</v>
      </c>
      <c r="D378" t="inlineStr">
        <is>
          <t>DALARNAS LÄN</t>
        </is>
      </c>
      <c r="E378" t="inlineStr">
        <is>
          <t>MORA</t>
        </is>
      </c>
      <c r="G378" t="n">
        <v>2.2</v>
      </c>
      <c r="H378" t="n">
        <v>0</v>
      </c>
      <c r="I378" t="n">
        <v>0</v>
      </c>
      <c r="J378" t="n">
        <v>0</v>
      </c>
      <c r="K378" t="n">
        <v>0</v>
      </c>
      <c r="L378" t="n">
        <v>0</v>
      </c>
      <c r="M378" t="n">
        <v>0</v>
      </c>
      <c r="N378" t="n">
        <v>0</v>
      </c>
      <c r="O378" t="n">
        <v>0</v>
      </c>
      <c r="P378" t="n">
        <v>0</v>
      </c>
      <c r="Q378" t="n">
        <v>0</v>
      </c>
      <c r="R378" s="2" t="inlineStr"/>
    </row>
    <row r="379" ht="15" customHeight="1">
      <c r="A379" t="inlineStr">
        <is>
          <t>A 24393-2022</t>
        </is>
      </c>
      <c r="B379" s="1" t="n">
        <v>44726</v>
      </c>
      <c r="C379" s="1" t="n">
        <v>45781</v>
      </c>
      <c r="D379" t="inlineStr">
        <is>
          <t>DALARNAS LÄN</t>
        </is>
      </c>
      <c r="E379" t="inlineStr">
        <is>
          <t>MORA</t>
        </is>
      </c>
      <c r="G379" t="n">
        <v>2.1</v>
      </c>
      <c r="H379" t="n">
        <v>0</v>
      </c>
      <c r="I379" t="n">
        <v>0</v>
      </c>
      <c r="J379" t="n">
        <v>0</v>
      </c>
      <c r="K379" t="n">
        <v>0</v>
      </c>
      <c r="L379" t="n">
        <v>0</v>
      </c>
      <c r="M379" t="n">
        <v>0</v>
      </c>
      <c r="N379" t="n">
        <v>0</v>
      </c>
      <c r="O379" t="n">
        <v>0</v>
      </c>
      <c r="P379" t="n">
        <v>0</v>
      </c>
      <c r="Q379" t="n">
        <v>0</v>
      </c>
      <c r="R379" s="2" t="inlineStr"/>
    </row>
    <row r="380" ht="15" customHeight="1">
      <c r="A380" t="inlineStr">
        <is>
          <t>A 25451-2022</t>
        </is>
      </c>
      <c r="B380" s="1" t="n">
        <v>44732</v>
      </c>
      <c r="C380" s="1" t="n">
        <v>45781</v>
      </c>
      <c r="D380" t="inlineStr">
        <is>
          <t>DALARNAS LÄN</t>
        </is>
      </c>
      <c r="E380" t="inlineStr">
        <is>
          <t>MORA</t>
        </is>
      </c>
      <c r="F380" t="inlineStr">
        <is>
          <t>Bergvik skog väst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27438-2022</t>
        </is>
      </c>
      <c r="B381" s="1" t="n">
        <v>44742</v>
      </c>
      <c r="C381" s="1" t="n">
        <v>45781</v>
      </c>
      <c r="D381" t="inlineStr">
        <is>
          <t>DALARNAS LÄN</t>
        </is>
      </c>
      <c r="E381" t="inlineStr">
        <is>
          <t>MORA</t>
        </is>
      </c>
      <c r="G381" t="n">
        <v>7</v>
      </c>
      <c r="H381" t="n">
        <v>0</v>
      </c>
      <c r="I381" t="n">
        <v>0</v>
      </c>
      <c r="J381" t="n">
        <v>0</v>
      </c>
      <c r="K381" t="n">
        <v>0</v>
      </c>
      <c r="L381" t="n">
        <v>0</v>
      </c>
      <c r="M381" t="n">
        <v>0</v>
      </c>
      <c r="N381" t="n">
        <v>0</v>
      </c>
      <c r="O381" t="n">
        <v>0</v>
      </c>
      <c r="P381" t="n">
        <v>0</v>
      </c>
      <c r="Q381" t="n">
        <v>0</v>
      </c>
      <c r="R381" s="2" t="inlineStr"/>
    </row>
    <row r="382" ht="15" customHeight="1">
      <c r="A382" t="inlineStr">
        <is>
          <t>A 27461-2022</t>
        </is>
      </c>
      <c r="B382" s="1" t="n">
        <v>44742</v>
      </c>
      <c r="C382" s="1" t="n">
        <v>45781</v>
      </c>
      <c r="D382" t="inlineStr">
        <is>
          <t>DALARNAS LÄN</t>
        </is>
      </c>
      <c r="E382" t="inlineStr">
        <is>
          <t>MORA</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28344-2022</t>
        </is>
      </c>
      <c r="B383" s="1" t="n">
        <v>44747</v>
      </c>
      <c r="C383" s="1" t="n">
        <v>45781</v>
      </c>
      <c r="D383" t="inlineStr">
        <is>
          <t>DALARNAS LÄN</t>
        </is>
      </c>
      <c r="E383" t="inlineStr">
        <is>
          <t>MORA</t>
        </is>
      </c>
      <c r="F383" t="inlineStr">
        <is>
          <t>Kyrkan</t>
        </is>
      </c>
      <c r="G383" t="n">
        <v>6.4</v>
      </c>
      <c r="H383" t="n">
        <v>0</v>
      </c>
      <c r="I383" t="n">
        <v>0</v>
      </c>
      <c r="J383" t="n">
        <v>0</v>
      </c>
      <c r="K383" t="n">
        <v>0</v>
      </c>
      <c r="L383" t="n">
        <v>0</v>
      </c>
      <c r="M383" t="n">
        <v>0</v>
      </c>
      <c r="N383" t="n">
        <v>0</v>
      </c>
      <c r="O383" t="n">
        <v>0</v>
      </c>
      <c r="P383" t="n">
        <v>0</v>
      </c>
      <c r="Q383" t="n">
        <v>0</v>
      </c>
      <c r="R383" s="2" t="inlineStr"/>
    </row>
    <row r="384" ht="15" customHeight="1">
      <c r="A384" t="inlineStr">
        <is>
          <t>A 28914-2022</t>
        </is>
      </c>
      <c r="B384" s="1" t="n">
        <v>44749</v>
      </c>
      <c r="C384" s="1" t="n">
        <v>45781</v>
      </c>
      <c r="D384" t="inlineStr">
        <is>
          <t>DALARNAS LÄN</t>
        </is>
      </c>
      <c r="E384" t="inlineStr">
        <is>
          <t>MORA</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29754-2022</t>
        </is>
      </c>
      <c r="B385" s="1" t="n">
        <v>44755</v>
      </c>
      <c r="C385" s="1" t="n">
        <v>45781</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30998-2022</t>
        </is>
      </c>
      <c r="B386" s="1" t="n">
        <v>44768</v>
      </c>
      <c r="C386" s="1" t="n">
        <v>45781</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31304-2022</t>
        </is>
      </c>
      <c r="B387" s="1" t="n">
        <v>44773</v>
      </c>
      <c r="C387" s="1" t="n">
        <v>45781</v>
      </c>
      <c r="D387" t="inlineStr">
        <is>
          <t>DALARNAS LÄN</t>
        </is>
      </c>
      <c r="E387" t="inlineStr">
        <is>
          <t>MORA</t>
        </is>
      </c>
      <c r="G387" t="n">
        <v>20.6</v>
      </c>
      <c r="H387" t="n">
        <v>0</v>
      </c>
      <c r="I387" t="n">
        <v>0</v>
      </c>
      <c r="J387" t="n">
        <v>0</v>
      </c>
      <c r="K387" t="n">
        <v>0</v>
      </c>
      <c r="L387" t="n">
        <v>0</v>
      </c>
      <c r="M387" t="n">
        <v>0</v>
      </c>
      <c r="N387" t="n">
        <v>0</v>
      </c>
      <c r="O387" t="n">
        <v>0</v>
      </c>
      <c r="P387" t="n">
        <v>0</v>
      </c>
      <c r="Q387" t="n">
        <v>0</v>
      </c>
      <c r="R387" s="2" t="inlineStr"/>
    </row>
    <row r="388" ht="15" customHeight="1">
      <c r="A388" t="inlineStr">
        <is>
          <t>A 31582-2022</t>
        </is>
      </c>
      <c r="B388" s="1" t="n">
        <v>44775</v>
      </c>
      <c r="C388" s="1" t="n">
        <v>45781</v>
      </c>
      <c r="D388" t="inlineStr">
        <is>
          <t>DALARNAS LÄN</t>
        </is>
      </c>
      <c r="E388" t="inlineStr">
        <is>
          <t>MORA</t>
        </is>
      </c>
      <c r="G388" t="n">
        <v>3.5</v>
      </c>
      <c r="H388" t="n">
        <v>0</v>
      </c>
      <c r="I388" t="n">
        <v>0</v>
      </c>
      <c r="J388" t="n">
        <v>0</v>
      </c>
      <c r="K388" t="n">
        <v>0</v>
      </c>
      <c r="L388" t="n">
        <v>0</v>
      </c>
      <c r="M388" t="n">
        <v>0</v>
      </c>
      <c r="N388" t="n">
        <v>0</v>
      </c>
      <c r="O388" t="n">
        <v>0</v>
      </c>
      <c r="P388" t="n">
        <v>0</v>
      </c>
      <c r="Q388" t="n">
        <v>0</v>
      </c>
      <c r="R388" s="2" t="inlineStr"/>
    </row>
    <row r="389" ht="15" customHeight="1">
      <c r="A389" t="inlineStr">
        <is>
          <t>A 32265-2022</t>
        </is>
      </c>
      <c r="B389" s="1" t="n">
        <v>44781</v>
      </c>
      <c r="C389" s="1" t="n">
        <v>45781</v>
      </c>
      <c r="D389" t="inlineStr">
        <is>
          <t>DALARNAS LÄN</t>
        </is>
      </c>
      <c r="E389" t="inlineStr">
        <is>
          <t>MORA</t>
        </is>
      </c>
      <c r="G389" t="n">
        <v>4</v>
      </c>
      <c r="H389" t="n">
        <v>0</v>
      </c>
      <c r="I389" t="n">
        <v>0</v>
      </c>
      <c r="J389" t="n">
        <v>0</v>
      </c>
      <c r="K389" t="n">
        <v>0</v>
      </c>
      <c r="L389" t="n">
        <v>0</v>
      </c>
      <c r="M389" t="n">
        <v>0</v>
      </c>
      <c r="N389" t="n">
        <v>0</v>
      </c>
      <c r="O389" t="n">
        <v>0</v>
      </c>
      <c r="P389" t="n">
        <v>0</v>
      </c>
      <c r="Q389" t="n">
        <v>0</v>
      </c>
      <c r="R389" s="2" t="inlineStr"/>
    </row>
    <row r="390" ht="15" customHeight="1">
      <c r="A390" t="inlineStr">
        <is>
          <t>A 32261-2022</t>
        </is>
      </c>
      <c r="B390" s="1" t="n">
        <v>44781</v>
      </c>
      <c r="C390" s="1" t="n">
        <v>45781</v>
      </c>
      <c r="D390" t="inlineStr">
        <is>
          <t>DALARNAS LÄN</t>
        </is>
      </c>
      <c r="E390" t="inlineStr">
        <is>
          <t>MORA</t>
        </is>
      </c>
      <c r="G390" t="n">
        <v>2.7</v>
      </c>
      <c r="H390" t="n">
        <v>0</v>
      </c>
      <c r="I390" t="n">
        <v>0</v>
      </c>
      <c r="J390" t="n">
        <v>0</v>
      </c>
      <c r="K390" t="n">
        <v>0</v>
      </c>
      <c r="L390" t="n">
        <v>0</v>
      </c>
      <c r="M390" t="n">
        <v>0</v>
      </c>
      <c r="N390" t="n">
        <v>0</v>
      </c>
      <c r="O390" t="n">
        <v>0</v>
      </c>
      <c r="P390" t="n">
        <v>0</v>
      </c>
      <c r="Q390" t="n">
        <v>0</v>
      </c>
      <c r="R390" s="2" t="inlineStr"/>
    </row>
    <row r="391" ht="15" customHeight="1">
      <c r="A391" t="inlineStr">
        <is>
          <t>A 32474-2022</t>
        </is>
      </c>
      <c r="B391" s="1" t="n">
        <v>44782</v>
      </c>
      <c r="C391" s="1" t="n">
        <v>45781</v>
      </c>
      <c r="D391" t="inlineStr">
        <is>
          <t>DALARNAS LÄN</t>
        </is>
      </c>
      <c r="E391" t="inlineStr">
        <is>
          <t>MORA</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32643-2022</t>
        </is>
      </c>
      <c r="B392" s="1" t="n">
        <v>44783</v>
      </c>
      <c r="C392" s="1" t="n">
        <v>45781</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33272-2022</t>
        </is>
      </c>
      <c r="B393" s="1" t="n">
        <v>44788</v>
      </c>
      <c r="C393" s="1" t="n">
        <v>45781</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33262-2022</t>
        </is>
      </c>
      <c r="B394" s="1" t="n">
        <v>44788</v>
      </c>
      <c r="C394" s="1" t="n">
        <v>45781</v>
      </c>
      <c r="D394" t="inlineStr">
        <is>
          <t>DALARNAS LÄN</t>
        </is>
      </c>
      <c r="E394" t="inlineStr">
        <is>
          <t>MORA</t>
        </is>
      </c>
      <c r="G394" t="n">
        <v>6.5</v>
      </c>
      <c r="H394" t="n">
        <v>0</v>
      </c>
      <c r="I394" t="n">
        <v>0</v>
      </c>
      <c r="J394" t="n">
        <v>0</v>
      </c>
      <c r="K394" t="n">
        <v>0</v>
      </c>
      <c r="L394" t="n">
        <v>0</v>
      </c>
      <c r="M394" t="n">
        <v>0</v>
      </c>
      <c r="N394" t="n">
        <v>0</v>
      </c>
      <c r="O394" t="n">
        <v>0</v>
      </c>
      <c r="P394" t="n">
        <v>0</v>
      </c>
      <c r="Q394" t="n">
        <v>0</v>
      </c>
      <c r="R394" s="2" t="inlineStr"/>
    </row>
    <row r="395" ht="15" customHeight="1">
      <c r="A395" t="inlineStr">
        <is>
          <t>A 33269-2022</t>
        </is>
      </c>
      <c r="B395" s="1" t="n">
        <v>44788</v>
      </c>
      <c r="C395" s="1" t="n">
        <v>45781</v>
      </c>
      <c r="D395" t="inlineStr">
        <is>
          <t>DALARNAS LÄN</t>
        </is>
      </c>
      <c r="E395" t="inlineStr">
        <is>
          <t>MORA</t>
        </is>
      </c>
      <c r="G395" t="n">
        <v>3.1</v>
      </c>
      <c r="H395" t="n">
        <v>0</v>
      </c>
      <c r="I395" t="n">
        <v>0</v>
      </c>
      <c r="J395" t="n">
        <v>0</v>
      </c>
      <c r="K395" t="n">
        <v>0</v>
      </c>
      <c r="L395" t="n">
        <v>0</v>
      </c>
      <c r="M395" t="n">
        <v>0</v>
      </c>
      <c r="N395" t="n">
        <v>0</v>
      </c>
      <c r="O395" t="n">
        <v>0</v>
      </c>
      <c r="P395" t="n">
        <v>0</v>
      </c>
      <c r="Q395" t="n">
        <v>0</v>
      </c>
      <c r="R395" s="2" t="inlineStr"/>
    </row>
    <row r="396" ht="15" customHeight="1">
      <c r="A396" t="inlineStr">
        <is>
          <t>A 33265-2022</t>
        </is>
      </c>
      <c r="B396" s="1" t="n">
        <v>44788</v>
      </c>
      <c r="C396" s="1" t="n">
        <v>45781</v>
      </c>
      <c r="D396" t="inlineStr">
        <is>
          <t>DALARNAS LÄN</t>
        </is>
      </c>
      <c r="E396" t="inlineStr">
        <is>
          <t>MORA</t>
        </is>
      </c>
      <c r="G396" t="n">
        <v>0.7</v>
      </c>
      <c r="H396" t="n">
        <v>0</v>
      </c>
      <c r="I396" t="n">
        <v>0</v>
      </c>
      <c r="J396" t="n">
        <v>0</v>
      </c>
      <c r="K396" t="n">
        <v>0</v>
      </c>
      <c r="L396" t="n">
        <v>0</v>
      </c>
      <c r="M396" t="n">
        <v>0</v>
      </c>
      <c r="N396" t="n">
        <v>0</v>
      </c>
      <c r="O396" t="n">
        <v>0</v>
      </c>
      <c r="P396" t="n">
        <v>0</v>
      </c>
      <c r="Q396" t="n">
        <v>0</v>
      </c>
      <c r="R396" s="2" t="inlineStr"/>
    </row>
    <row r="397" ht="15" customHeight="1">
      <c r="A397" t="inlineStr">
        <is>
          <t>A 33550-2022</t>
        </is>
      </c>
      <c r="B397" s="1" t="n">
        <v>44789</v>
      </c>
      <c r="C397" s="1" t="n">
        <v>45781</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33678-2022</t>
        </is>
      </c>
      <c r="B398" s="1" t="n">
        <v>44789</v>
      </c>
      <c r="C398" s="1" t="n">
        <v>45781</v>
      </c>
      <c r="D398" t="inlineStr">
        <is>
          <t>DALARNAS LÄN</t>
        </is>
      </c>
      <c r="E398" t="inlineStr">
        <is>
          <t>MORA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34927-2022</t>
        </is>
      </c>
      <c r="B399" s="1" t="n">
        <v>44796</v>
      </c>
      <c r="C399" s="1" t="n">
        <v>45781</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34897-2022</t>
        </is>
      </c>
      <c r="B400" s="1" t="n">
        <v>44796</v>
      </c>
      <c r="C400" s="1" t="n">
        <v>45781</v>
      </c>
      <c r="D400" t="inlineStr">
        <is>
          <t>DALARNAS LÄN</t>
        </is>
      </c>
      <c r="E400" t="inlineStr">
        <is>
          <t>MORA</t>
        </is>
      </c>
      <c r="F400" t="inlineStr">
        <is>
          <t>Bergvik skog väst AB</t>
        </is>
      </c>
      <c r="G400" t="n">
        <v>8</v>
      </c>
      <c r="H400" t="n">
        <v>0</v>
      </c>
      <c r="I400" t="n">
        <v>0</v>
      </c>
      <c r="J400" t="n">
        <v>0</v>
      </c>
      <c r="K400" t="n">
        <v>0</v>
      </c>
      <c r="L400" t="n">
        <v>0</v>
      </c>
      <c r="M400" t="n">
        <v>0</v>
      </c>
      <c r="N400" t="n">
        <v>0</v>
      </c>
      <c r="O400" t="n">
        <v>0</v>
      </c>
      <c r="P400" t="n">
        <v>0</v>
      </c>
      <c r="Q400" t="n">
        <v>0</v>
      </c>
      <c r="R400" s="2" t="inlineStr"/>
    </row>
    <row r="401" ht="15" customHeight="1">
      <c r="A401" t="inlineStr">
        <is>
          <t>A 34824-2022</t>
        </is>
      </c>
      <c r="B401" s="1" t="n">
        <v>44796</v>
      </c>
      <c r="C401" s="1" t="n">
        <v>45781</v>
      </c>
      <c r="D401" t="inlineStr">
        <is>
          <t>DALARNAS LÄN</t>
        </is>
      </c>
      <c r="E401" t="inlineStr">
        <is>
          <t>MORA</t>
        </is>
      </c>
      <c r="F401" t="inlineStr">
        <is>
          <t>Bergvik skog väst AB</t>
        </is>
      </c>
      <c r="G401" t="n">
        <v>3.4</v>
      </c>
      <c r="H401" t="n">
        <v>0</v>
      </c>
      <c r="I401" t="n">
        <v>0</v>
      </c>
      <c r="J401" t="n">
        <v>0</v>
      </c>
      <c r="K401" t="n">
        <v>0</v>
      </c>
      <c r="L401" t="n">
        <v>0</v>
      </c>
      <c r="M401" t="n">
        <v>0</v>
      </c>
      <c r="N401" t="n">
        <v>0</v>
      </c>
      <c r="O401" t="n">
        <v>0</v>
      </c>
      <c r="P401" t="n">
        <v>0</v>
      </c>
      <c r="Q401" t="n">
        <v>0</v>
      </c>
      <c r="R401" s="2" t="inlineStr"/>
    </row>
    <row r="402" ht="15" customHeight="1">
      <c r="A402" t="inlineStr">
        <is>
          <t>A 34923-2022</t>
        </is>
      </c>
      <c r="B402" s="1" t="n">
        <v>44796</v>
      </c>
      <c r="C402" s="1" t="n">
        <v>45781</v>
      </c>
      <c r="D402" t="inlineStr">
        <is>
          <t>DALARNAS LÄN</t>
        </is>
      </c>
      <c r="E402" t="inlineStr">
        <is>
          <t>MORA</t>
        </is>
      </c>
      <c r="G402" t="n">
        <v>5</v>
      </c>
      <c r="H402" t="n">
        <v>0</v>
      </c>
      <c r="I402" t="n">
        <v>0</v>
      </c>
      <c r="J402" t="n">
        <v>0</v>
      </c>
      <c r="K402" t="n">
        <v>0</v>
      </c>
      <c r="L402" t="n">
        <v>0</v>
      </c>
      <c r="M402" t="n">
        <v>0</v>
      </c>
      <c r="N402" t="n">
        <v>0</v>
      </c>
      <c r="O402" t="n">
        <v>0</v>
      </c>
      <c r="P402" t="n">
        <v>0</v>
      </c>
      <c r="Q402" t="n">
        <v>0</v>
      </c>
      <c r="R402" s="2" t="inlineStr"/>
    </row>
    <row r="403" ht="15" customHeight="1">
      <c r="A403" t="inlineStr">
        <is>
          <t>A 34928-2022</t>
        </is>
      </c>
      <c r="B403" s="1" t="n">
        <v>44796</v>
      </c>
      <c r="C403" s="1" t="n">
        <v>45781</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36579-2022</t>
        </is>
      </c>
      <c r="B404" s="1" t="n">
        <v>44804</v>
      </c>
      <c r="C404" s="1" t="n">
        <v>45781</v>
      </c>
      <c r="D404" t="inlineStr">
        <is>
          <t>DALARNAS LÄN</t>
        </is>
      </c>
      <c r="E404" t="inlineStr">
        <is>
          <t>MORA</t>
        </is>
      </c>
      <c r="G404" t="n">
        <v>2.3</v>
      </c>
      <c r="H404" t="n">
        <v>0</v>
      </c>
      <c r="I404" t="n">
        <v>0</v>
      </c>
      <c r="J404" t="n">
        <v>0</v>
      </c>
      <c r="K404" t="n">
        <v>0</v>
      </c>
      <c r="L404" t="n">
        <v>0</v>
      </c>
      <c r="M404" t="n">
        <v>0</v>
      </c>
      <c r="N404" t="n">
        <v>0</v>
      </c>
      <c r="O404" t="n">
        <v>0</v>
      </c>
      <c r="P404" t="n">
        <v>0</v>
      </c>
      <c r="Q404" t="n">
        <v>0</v>
      </c>
      <c r="R404" s="2" t="inlineStr"/>
    </row>
    <row r="405" ht="15" customHeight="1">
      <c r="A405" t="inlineStr">
        <is>
          <t>A 37483-2022</t>
        </is>
      </c>
      <c r="B405" s="1" t="n">
        <v>44809</v>
      </c>
      <c r="C405" s="1" t="n">
        <v>45781</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37774-2022</t>
        </is>
      </c>
      <c r="B406" s="1" t="n">
        <v>44810</v>
      </c>
      <c r="C406" s="1" t="n">
        <v>45781</v>
      </c>
      <c r="D406" t="inlineStr">
        <is>
          <t>DALARNAS LÄN</t>
        </is>
      </c>
      <c r="E406" t="inlineStr">
        <is>
          <t>MORA</t>
        </is>
      </c>
      <c r="F406" t="inlineStr">
        <is>
          <t>Bergvik skog väst AB</t>
        </is>
      </c>
      <c r="G406" t="n">
        <v>8.5</v>
      </c>
      <c r="H406" t="n">
        <v>0</v>
      </c>
      <c r="I406" t="n">
        <v>0</v>
      </c>
      <c r="J406" t="n">
        <v>0</v>
      </c>
      <c r="K406" t="n">
        <v>0</v>
      </c>
      <c r="L406" t="n">
        <v>0</v>
      </c>
      <c r="M406" t="n">
        <v>0</v>
      </c>
      <c r="N406" t="n">
        <v>0</v>
      </c>
      <c r="O406" t="n">
        <v>0</v>
      </c>
      <c r="P406" t="n">
        <v>0</v>
      </c>
      <c r="Q406" t="n">
        <v>0</v>
      </c>
      <c r="R406" s="2" t="inlineStr"/>
    </row>
    <row r="407" ht="15" customHeight="1">
      <c r="A407" t="inlineStr">
        <is>
          <t>A 37771-2022</t>
        </is>
      </c>
      <c r="B407" s="1" t="n">
        <v>44810</v>
      </c>
      <c r="C407" s="1" t="n">
        <v>45781</v>
      </c>
      <c r="D407" t="inlineStr">
        <is>
          <t>DALARNAS LÄN</t>
        </is>
      </c>
      <c r="E407" t="inlineStr">
        <is>
          <t>MORA</t>
        </is>
      </c>
      <c r="G407" t="n">
        <v>0.9</v>
      </c>
      <c r="H407" t="n">
        <v>0</v>
      </c>
      <c r="I407" t="n">
        <v>0</v>
      </c>
      <c r="J407" t="n">
        <v>0</v>
      </c>
      <c r="K407" t="n">
        <v>0</v>
      </c>
      <c r="L407" t="n">
        <v>0</v>
      </c>
      <c r="M407" t="n">
        <v>0</v>
      </c>
      <c r="N407" t="n">
        <v>0</v>
      </c>
      <c r="O407" t="n">
        <v>0</v>
      </c>
      <c r="P407" t="n">
        <v>0</v>
      </c>
      <c r="Q407" t="n">
        <v>0</v>
      </c>
      <c r="R407" s="2" t="inlineStr"/>
    </row>
    <row r="408" ht="15" customHeight="1">
      <c r="A408" t="inlineStr">
        <is>
          <t>A 37983-2022</t>
        </is>
      </c>
      <c r="B408" s="1" t="n">
        <v>44811</v>
      </c>
      <c r="C408" s="1" t="n">
        <v>45781</v>
      </c>
      <c r="D408" t="inlineStr">
        <is>
          <t>DALARNAS LÄN</t>
        </is>
      </c>
      <c r="E408" t="inlineStr">
        <is>
          <t>MORA</t>
        </is>
      </c>
      <c r="F408" t="inlineStr">
        <is>
          <t>Bergvik skog väst AB</t>
        </is>
      </c>
      <c r="G408" t="n">
        <v>13.1</v>
      </c>
      <c r="H408" t="n">
        <v>0</v>
      </c>
      <c r="I408" t="n">
        <v>0</v>
      </c>
      <c r="J408" t="n">
        <v>0</v>
      </c>
      <c r="K408" t="n">
        <v>0</v>
      </c>
      <c r="L408" t="n">
        <v>0</v>
      </c>
      <c r="M408" t="n">
        <v>0</v>
      </c>
      <c r="N408" t="n">
        <v>0</v>
      </c>
      <c r="O408" t="n">
        <v>0</v>
      </c>
      <c r="P408" t="n">
        <v>0</v>
      </c>
      <c r="Q408" t="n">
        <v>0</v>
      </c>
      <c r="R408" s="2" t="inlineStr"/>
    </row>
    <row r="409" ht="15" customHeight="1">
      <c r="A409" t="inlineStr">
        <is>
          <t>A 38305-2022</t>
        </is>
      </c>
      <c r="B409" s="1" t="n">
        <v>44812</v>
      </c>
      <c r="C409" s="1" t="n">
        <v>45781</v>
      </c>
      <c r="D409" t="inlineStr">
        <is>
          <t>DALARNAS LÄN</t>
        </is>
      </c>
      <c r="E409" t="inlineStr">
        <is>
          <t>MORA</t>
        </is>
      </c>
      <c r="G409" t="n">
        <v>15.8</v>
      </c>
      <c r="H409" t="n">
        <v>0</v>
      </c>
      <c r="I409" t="n">
        <v>0</v>
      </c>
      <c r="J409" t="n">
        <v>0</v>
      </c>
      <c r="K409" t="n">
        <v>0</v>
      </c>
      <c r="L409" t="n">
        <v>0</v>
      </c>
      <c r="M409" t="n">
        <v>0</v>
      </c>
      <c r="N409" t="n">
        <v>0</v>
      </c>
      <c r="O409" t="n">
        <v>0</v>
      </c>
      <c r="P409" t="n">
        <v>0</v>
      </c>
      <c r="Q409" t="n">
        <v>0</v>
      </c>
      <c r="R409" s="2" t="inlineStr"/>
    </row>
    <row r="410" ht="15" customHeight="1">
      <c r="A410" t="inlineStr">
        <is>
          <t>A 38651-2022</t>
        </is>
      </c>
      <c r="B410" s="1" t="n">
        <v>44813</v>
      </c>
      <c r="C410" s="1" t="n">
        <v>45781</v>
      </c>
      <c r="D410" t="inlineStr">
        <is>
          <t>DALARNAS LÄN</t>
        </is>
      </c>
      <c r="E410" t="inlineStr">
        <is>
          <t>MORA</t>
        </is>
      </c>
      <c r="G410" t="n">
        <v>4.4</v>
      </c>
      <c r="H410" t="n">
        <v>0</v>
      </c>
      <c r="I410" t="n">
        <v>0</v>
      </c>
      <c r="J410" t="n">
        <v>0</v>
      </c>
      <c r="K410" t="n">
        <v>0</v>
      </c>
      <c r="L410" t="n">
        <v>0</v>
      </c>
      <c r="M410" t="n">
        <v>0</v>
      </c>
      <c r="N410" t="n">
        <v>0</v>
      </c>
      <c r="O410" t="n">
        <v>0</v>
      </c>
      <c r="P410" t="n">
        <v>0</v>
      </c>
      <c r="Q410" t="n">
        <v>0</v>
      </c>
      <c r="R410" s="2" t="inlineStr"/>
    </row>
    <row r="411" ht="15" customHeight="1">
      <c r="A411" t="inlineStr">
        <is>
          <t>A 39162-2022</t>
        </is>
      </c>
      <c r="B411" s="1" t="n">
        <v>44817</v>
      </c>
      <c r="C411" s="1" t="n">
        <v>45781</v>
      </c>
      <c r="D411" t="inlineStr">
        <is>
          <t>DALARNAS LÄN</t>
        </is>
      </c>
      <c r="E411" t="inlineStr">
        <is>
          <t>MORA</t>
        </is>
      </c>
      <c r="F411" t="inlineStr">
        <is>
          <t>Allmännings- och besparingsskogar</t>
        </is>
      </c>
      <c r="G411" t="n">
        <v>27.2</v>
      </c>
      <c r="H411" t="n">
        <v>0</v>
      </c>
      <c r="I411" t="n">
        <v>0</v>
      </c>
      <c r="J411" t="n">
        <v>0</v>
      </c>
      <c r="K411" t="n">
        <v>0</v>
      </c>
      <c r="L411" t="n">
        <v>0</v>
      </c>
      <c r="M411" t="n">
        <v>0</v>
      </c>
      <c r="N411" t="n">
        <v>0</v>
      </c>
      <c r="O411" t="n">
        <v>0</v>
      </c>
      <c r="P411" t="n">
        <v>0</v>
      </c>
      <c r="Q411" t="n">
        <v>0</v>
      </c>
      <c r="R411" s="2" t="inlineStr"/>
    </row>
    <row r="412" ht="15" customHeight="1">
      <c r="A412" t="inlineStr">
        <is>
          <t>A 39897-2022</t>
        </is>
      </c>
      <c r="B412" s="1" t="n">
        <v>44819</v>
      </c>
      <c r="C412" s="1" t="n">
        <v>45781</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39901-2022</t>
        </is>
      </c>
      <c r="B413" s="1" t="n">
        <v>44819</v>
      </c>
      <c r="C413" s="1" t="n">
        <v>45781</v>
      </c>
      <c r="D413" t="inlineStr">
        <is>
          <t>DALARNAS LÄN</t>
        </is>
      </c>
      <c r="E413" t="inlineStr">
        <is>
          <t>MORA</t>
        </is>
      </c>
      <c r="G413" t="n">
        <v>4.9</v>
      </c>
      <c r="H413" t="n">
        <v>0</v>
      </c>
      <c r="I413" t="n">
        <v>0</v>
      </c>
      <c r="J413" t="n">
        <v>0</v>
      </c>
      <c r="K413" t="n">
        <v>0</v>
      </c>
      <c r="L413" t="n">
        <v>0</v>
      </c>
      <c r="M413" t="n">
        <v>0</v>
      </c>
      <c r="N413" t="n">
        <v>0</v>
      </c>
      <c r="O413" t="n">
        <v>0</v>
      </c>
      <c r="P413" t="n">
        <v>0</v>
      </c>
      <c r="Q413" t="n">
        <v>0</v>
      </c>
      <c r="R413" s="2" t="inlineStr"/>
    </row>
    <row r="414" ht="15" customHeight="1">
      <c r="A414" t="inlineStr">
        <is>
          <t>A 42035-2022</t>
        </is>
      </c>
      <c r="B414" s="1" t="n">
        <v>44830</v>
      </c>
      <c r="C414" s="1" t="n">
        <v>45781</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42121-2022</t>
        </is>
      </c>
      <c r="B415" s="1" t="n">
        <v>44830</v>
      </c>
      <c r="C415" s="1" t="n">
        <v>45781</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42611-2022</t>
        </is>
      </c>
      <c r="B416" s="1" t="n">
        <v>44831</v>
      </c>
      <c r="C416" s="1" t="n">
        <v>45781</v>
      </c>
      <c r="D416" t="inlineStr">
        <is>
          <t>DALARNAS LÄN</t>
        </is>
      </c>
      <c r="E416" t="inlineStr">
        <is>
          <t>MORA</t>
        </is>
      </c>
      <c r="G416" t="n">
        <v>2.1</v>
      </c>
      <c r="H416" t="n">
        <v>0</v>
      </c>
      <c r="I416" t="n">
        <v>0</v>
      </c>
      <c r="J416" t="n">
        <v>0</v>
      </c>
      <c r="K416" t="n">
        <v>0</v>
      </c>
      <c r="L416" t="n">
        <v>0</v>
      </c>
      <c r="M416" t="n">
        <v>0</v>
      </c>
      <c r="N416" t="n">
        <v>0</v>
      </c>
      <c r="O416" t="n">
        <v>0</v>
      </c>
      <c r="P416" t="n">
        <v>0</v>
      </c>
      <c r="Q416" t="n">
        <v>0</v>
      </c>
      <c r="R416" s="2" t="inlineStr"/>
    </row>
    <row r="417" ht="15" customHeight="1">
      <c r="A417" t="inlineStr">
        <is>
          <t>A 42668-2022</t>
        </is>
      </c>
      <c r="B417" s="1" t="n">
        <v>44832</v>
      </c>
      <c r="C417" s="1" t="n">
        <v>45781</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42814-2022</t>
        </is>
      </c>
      <c r="B418" s="1" t="n">
        <v>44832</v>
      </c>
      <c r="C418" s="1" t="n">
        <v>45781</v>
      </c>
      <c r="D418" t="inlineStr">
        <is>
          <t>DALARNAS LÄN</t>
        </is>
      </c>
      <c r="E418" t="inlineStr">
        <is>
          <t>MORA</t>
        </is>
      </c>
      <c r="F418" t="inlineStr">
        <is>
          <t>Bergvik skog väst AB</t>
        </is>
      </c>
      <c r="G418" t="n">
        <v>5.3</v>
      </c>
      <c r="H418" t="n">
        <v>0</v>
      </c>
      <c r="I418" t="n">
        <v>0</v>
      </c>
      <c r="J418" t="n">
        <v>0</v>
      </c>
      <c r="K418" t="n">
        <v>0</v>
      </c>
      <c r="L418" t="n">
        <v>0</v>
      </c>
      <c r="M418" t="n">
        <v>0</v>
      </c>
      <c r="N418" t="n">
        <v>0</v>
      </c>
      <c r="O418" t="n">
        <v>0</v>
      </c>
      <c r="P418" t="n">
        <v>0</v>
      </c>
      <c r="Q418" t="n">
        <v>0</v>
      </c>
      <c r="R418" s="2" t="inlineStr"/>
    </row>
    <row r="419" ht="15" customHeight="1">
      <c r="A419" t="inlineStr">
        <is>
          <t>A 43540-2022</t>
        </is>
      </c>
      <c r="B419" s="1" t="n">
        <v>44837</v>
      </c>
      <c r="C419" s="1" t="n">
        <v>45781</v>
      </c>
      <c r="D419" t="inlineStr">
        <is>
          <t>DALARNAS LÄN</t>
        </is>
      </c>
      <c r="E419" t="inlineStr">
        <is>
          <t>MORA</t>
        </is>
      </c>
      <c r="G419" t="n">
        <v>10.5</v>
      </c>
      <c r="H419" t="n">
        <v>0</v>
      </c>
      <c r="I419" t="n">
        <v>0</v>
      </c>
      <c r="J419" t="n">
        <v>0</v>
      </c>
      <c r="K419" t="n">
        <v>0</v>
      </c>
      <c r="L419" t="n">
        <v>0</v>
      </c>
      <c r="M419" t="n">
        <v>0</v>
      </c>
      <c r="N419" t="n">
        <v>0</v>
      </c>
      <c r="O419" t="n">
        <v>0</v>
      </c>
      <c r="P419" t="n">
        <v>0</v>
      </c>
      <c r="Q419" t="n">
        <v>0</v>
      </c>
      <c r="R419" s="2" t="inlineStr"/>
    </row>
    <row r="420" ht="15" customHeight="1">
      <c r="A420" t="inlineStr">
        <is>
          <t>A 43641-2022</t>
        </is>
      </c>
      <c r="B420" s="1" t="n">
        <v>44837</v>
      </c>
      <c r="C420" s="1" t="n">
        <v>45781</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43826-2022</t>
        </is>
      </c>
      <c r="B421" s="1" t="n">
        <v>44838</v>
      </c>
      <c r="C421" s="1" t="n">
        <v>45781</v>
      </c>
      <c r="D421" t="inlineStr">
        <is>
          <t>DALARNAS LÄN</t>
        </is>
      </c>
      <c r="E421" t="inlineStr">
        <is>
          <t>MORA</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43879-2022</t>
        </is>
      </c>
      <c r="B422" s="1" t="n">
        <v>44838</v>
      </c>
      <c r="C422" s="1" t="n">
        <v>45781</v>
      </c>
      <c r="D422" t="inlineStr">
        <is>
          <t>DALARNAS LÄN</t>
        </is>
      </c>
      <c r="E422" t="inlineStr">
        <is>
          <t>MORA</t>
        </is>
      </c>
      <c r="G422" t="n">
        <v>3.4</v>
      </c>
      <c r="H422" t="n">
        <v>0</v>
      </c>
      <c r="I422" t="n">
        <v>0</v>
      </c>
      <c r="J422" t="n">
        <v>0</v>
      </c>
      <c r="K422" t="n">
        <v>0</v>
      </c>
      <c r="L422" t="n">
        <v>0</v>
      </c>
      <c r="M422" t="n">
        <v>0</v>
      </c>
      <c r="N422" t="n">
        <v>0</v>
      </c>
      <c r="O422" t="n">
        <v>0</v>
      </c>
      <c r="P422" t="n">
        <v>0</v>
      </c>
      <c r="Q422" t="n">
        <v>0</v>
      </c>
      <c r="R422" s="2" t="inlineStr"/>
    </row>
    <row r="423" ht="15" customHeight="1">
      <c r="A423" t="inlineStr">
        <is>
          <t>A 43944-2022</t>
        </is>
      </c>
      <c r="B423" s="1" t="n">
        <v>44838</v>
      </c>
      <c r="C423" s="1" t="n">
        <v>45781</v>
      </c>
      <c r="D423" t="inlineStr">
        <is>
          <t>DALARNAS LÄN</t>
        </is>
      </c>
      <c r="E423" t="inlineStr">
        <is>
          <t>MORA</t>
        </is>
      </c>
      <c r="F423" t="inlineStr">
        <is>
          <t>Bergvik skog öst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45238-2022</t>
        </is>
      </c>
      <c r="B424" s="1" t="n">
        <v>44844</v>
      </c>
      <c r="C424" s="1" t="n">
        <v>45781</v>
      </c>
      <c r="D424" t="inlineStr">
        <is>
          <t>DALARNAS LÄN</t>
        </is>
      </c>
      <c r="E424" t="inlineStr">
        <is>
          <t>MORA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45463-2022</t>
        </is>
      </c>
      <c r="B425" s="1" t="n">
        <v>44845</v>
      </c>
      <c r="C425" s="1" t="n">
        <v>45781</v>
      </c>
      <c r="D425" t="inlineStr">
        <is>
          <t>DALARNAS LÄN</t>
        </is>
      </c>
      <c r="E425" t="inlineStr">
        <is>
          <t>MORA</t>
        </is>
      </c>
      <c r="G425" t="n">
        <v>8.4</v>
      </c>
      <c r="H425" t="n">
        <v>0</v>
      </c>
      <c r="I425" t="n">
        <v>0</v>
      </c>
      <c r="J425" t="n">
        <v>0</v>
      </c>
      <c r="K425" t="n">
        <v>0</v>
      </c>
      <c r="L425" t="n">
        <v>0</v>
      </c>
      <c r="M425" t="n">
        <v>0</v>
      </c>
      <c r="N425" t="n">
        <v>0</v>
      </c>
      <c r="O425" t="n">
        <v>0</v>
      </c>
      <c r="P425" t="n">
        <v>0</v>
      </c>
      <c r="Q425" t="n">
        <v>0</v>
      </c>
      <c r="R425" s="2" t="inlineStr"/>
    </row>
    <row r="426" ht="15" customHeight="1">
      <c r="A426" t="inlineStr">
        <is>
          <t>A 45462-2022</t>
        </is>
      </c>
      <c r="B426" s="1" t="n">
        <v>44845</v>
      </c>
      <c r="C426" s="1" t="n">
        <v>45781</v>
      </c>
      <c r="D426" t="inlineStr">
        <is>
          <t>DALARNAS LÄN</t>
        </is>
      </c>
      <c r="E426" t="inlineStr">
        <is>
          <t>MORA</t>
        </is>
      </c>
      <c r="G426" t="n">
        <v>6.9</v>
      </c>
      <c r="H426" t="n">
        <v>0</v>
      </c>
      <c r="I426" t="n">
        <v>0</v>
      </c>
      <c r="J426" t="n">
        <v>0</v>
      </c>
      <c r="K426" t="n">
        <v>0</v>
      </c>
      <c r="L426" t="n">
        <v>0</v>
      </c>
      <c r="M426" t="n">
        <v>0</v>
      </c>
      <c r="N426" t="n">
        <v>0</v>
      </c>
      <c r="O426" t="n">
        <v>0</v>
      </c>
      <c r="P426" t="n">
        <v>0</v>
      </c>
      <c r="Q426" t="n">
        <v>0</v>
      </c>
      <c r="R426" s="2" t="inlineStr"/>
    </row>
    <row r="427" ht="15" customHeight="1">
      <c r="A427" t="inlineStr">
        <is>
          <t>A 45465-2022</t>
        </is>
      </c>
      <c r="B427" s="1" t="n">
        <v>44845</v>
      </c>
      <c r="C427" s="1" t="n">
        <v>45781</v>
      </c>
      <c r="D427" t="inlineStr">
        <is>
          <t>DALARNAS LÄN</t>
        </is>
      </c>
      <c r="E427" t="inlineStr">
        <is>
          <t>MORA</t>
        </is>
      </c>
      <c r="G427" t="n">
        <v>10.6</v>
      </c>
      <c r="H427" t="n">
        <v>0</v>
      </c>
      <c r="I427" t="n">
        <v>0</v>
      </c>
      <c r="J427" t="n">
        <v>0</v>
      </c>
      <c r="K427" t="n">
        <v>0</v>
      </c>
      <c r="L427" t="n">
        <v>0</v>
      </c>
      <c r="M427" t="n">
        <v>0</v>
      </c>
      <c r="N427" t="n">
        <v>0</v>
      </c>
      <c r="O427" t="n">
        <v>0</v>
      </c>
      <c r="P427" t="n">
        <v>0</v>
      </c>
      <c r="Q427" t="n">
        <v>0</v>
      </c>
      <c r="R427" s="2" t="inlineStr"/>
    </row>
    <row r="428" ht="15" customHeight="1">
      <c r="A428" t="inlineStr">
        <is>
          <t>A 46188-2022</t>
        </is>
      </c>
      <c r="B428" s="1" t="n">
        <v>44847</v>
      </c>
      <c r="C428" s="1" t="n">
        <v>45781</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46402-2022</t>
        </is>
      </c>
      <c r="B429" s="1" t="n">
        <v>44848</v>
      </c>
      <c r="C429" s="1" t="n">
        <v>45781</v>
      </c>
      <c r="D429" t="inlineStr">
        <is>
          <t>DALARNAS LÄN</t>
        </is>
      </c>
      <c r="E429" t="inlineStr">
        <is>
          <t>MORA</t>
        </is>
      </c>
      <c r="G429" t="n">
        <v>0.9</v>
      </c>
      <c r="H429" t="n">
        <v>0</v>
      </c>
      <c r="I429" t="n">
        <v>0</v>
      </c>
      <c r="J429" t="n">
        <v>0</v>
      </c>
      <c r="K429" t="n">
        <v>0</v>
      </c>
      <c r="L429" t="n">
        <v>0</v>
      </c>
      <c r="M429" t="n">
        <v>0</v>
      </c>
      <c r="N429" t="n">
        <v>0</v>
      </c>
      <c r="O429" t="n">
        <v>0</v>
      </c>
      <c r="P429" t="n">
        <v>0</v>
      </c>
      <c r="Q429" t="n">
        <v>0</v>
      </c>
      <c r="R429" s="2" t="inlineStr"/>
    </row>
    <row r="430" ht="15" customHeight="1">
      <c r="A430" t="inlineStr">
        <is>
          <t>A 46801-2022</t>
        </is>
      </c>
      <c r="B430" s="1" t="n">
        <v>44851</v>
      </c>
      <c r="C430" s="1" t="n">
        <v>45781</v>
      </c>
      <c r="D430" t="inlineStr">
        <is>
          <t>DALARNAS LÄN</t>
        </is>
      </c>
      <c r="E430" t="inlineStr">
        <is>
          <t>MORA</t>
        </is>
      </c>
      <c r="G430" t="n">
        <v>1.5</v>
      </c>
      <c r="H430" t="n">
        <v>0</v>
      </c>
      <c r="I430" t="n">
        <v>0</v>
      </c>
      <c r="J430" t="n">
        <v>0</v>
      </c>
      <c r="K430" t="n">
        <v>0</v>
      </c>
      <c r="L430" t="n">
        <v>0</v>
      </c>
      <c r="M430" t="n">
        <v>0</v>
      </c>
      <c r="N430" t="n">
        <v>0</v>
      </c>
      <c r="O430" t="n">
        <v>0</v>
      </c>
      <c r="P430" t="n">
        <v>0</v>
      </c>
      <c r="Q430" t="n">
        <v>0</v>
      </c>
      <c r="R430" s="2" t="inlineStr"/>
    </row>
    <row r="431" ht="15" customHeight="1">
      <c r="A431" t="inlineStr">
        <is>
          <t>A 47143-2022</t>
        </is>
      </c>
      <c r="B431" s="1" t="n">
        <v>44852</v>
      </c>
      <c r="C431" s="1" t="n">
        <v>45781</v>
      </c>
      <c r="D431" t="inlineStr">
        <is>
          <t>DALARNAS LÄN</t>
        </is>
      </c>
      <c r="E431" t="inlineStr">
        <is>
          <t>MORA</t>
        </is>
      </c>
      <c r="G431" t="n">
        <v>3.9</v>
      </c>
      <c r="H431" t="n">
        <v>0</v>
      </c>
      <c r="I431" t="n">
        <v>0</v>
      </c>
      <c r="J431" t="n">
        <v>0</v>
      </c>
      <c r="K431" t="n">
        <v>0</v>
      </c>
      <c r="L431" t="n">
        <v>0</v>
      </c>
      <c r="M431" t="n">
        <v>0</v>
      </c>
      <c r="N431" t="n">
        <v>0</v>
      </c>
      <c r="O431" t="n">
        <v>0</v>
      </c>
      <c r="P431" t="n">
        <v>0</v>
      </c>
      <c r="Q431" t="n">
        <v>0</v>
      </c>
      <c r="R431" s="2" t="inlineStr"/>
    </row>
    <row r="432" ht="15" customHeight="1">
      <c r="A432" t="inlineStr">
        <is>
          <t>A 47429-2022</t>
        </is>
      </c>
      <c r="B432" s="1" t="n">
        <v>44853</v>
      </c>
      <c r="C432" s="1" t="n">
        <v>45781</v>
      </c>
      <c r="D432" t="inlineStr">
        <is>
          <t>DALARNAS LÄN</t>
        </is>
      </c>
      <c r="E432" t="inlineStr">
        <is>
          <t>MORA</t>
        </is>
      </c>
      <c r="G432" t="n">
        <v>3</v>
      </c>
      <c r="H432" t="n">
        <v>0</v>
      </c>
      <c r="I432" t="n">
        <v>0</v>
      </c>
      <c r="J432" t="n">
        <v>0</v>
      </c>
      <c r="K432" t="n">
        <v>0</v>
      </c>
      <c r="L432" t="n">
        <v>0</v>
      </c>
      <c r="M432" t="n">
        <v>0</v>
      </c>
      <c r="N432" t="n">
        <v>0</v>
      </c>
      <c r="O432" t="n">
        <v>0</v>
      </c>
      <c r="P432" t="n">
        <v>0</v>
      </c>
      <c r="Q432" t="n">
        <v>0</v>
      </c>
      <c r="R432" s="2" t="inlineStr"/>
    </row>
    <row r="433" ht="15" customHeight="1">
      <c r="A433" t="inlineStr">
        <is>
          <t>A 48383-2022</t>
        </is>
      </c>
      <c r="B433" s="1" t="n">
        <v>44858</v>
      </c>
      <c r="C433" s="1" t="n">
        <v>45781</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48376-2022</t>
        </is>
      </c>
      <c r="B434" s="1" t="n">
        <v>44858</v>
      </c>
      <c r="C434" s="1" t="n">
        <v>45781</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48456-2022</t>
        </is>
      </c>
      <c r="B435" s="1" t="n">
        <v>44858</v>
      </c>
      <c r="C435" s="1" t="n">
        <v>45781</v>
      </c>
      <c r="D435" t="inlineStr">
        <is>
          <t>DALARNAS LÄN</t>
        </is>
      </c>
      <c r="E435" t="inlineStr">
        <is>
          <t>MORA</t>
        </is>
      </c>
      <c r="G435" t="n">
        <v>0.7</v>
      </c>
      <c r="H435" t="n">
        <v>0</v>
      </c>
      <c r="I435" t="n">
        <v>0</v>
      </c>
      <c r="J435" t="n">
        <v>0</v>
      </c>
      <c r="K435" t="n">
        <v>0</v>
      </c>
      <c r="L435" t="n">
        <v>0</v>
      </c>
      <c r="M435" t="n">
        <v>0</v>
      </c>
      <c r="N435" t="n">
        <v>0</v>
      </c>
      <c r="O435" t="n">
        <v>0</v>
      </c>
      <c r="P435" t="n">
        <v>0</v>
      </c>
      <c r="Q435" t="n">
        <v>0</v>
      </c>
      <c r="R435" s="2" t="inlineStr"/>
    </row>
    <row r="436" ht="15" customHeight="1">
      <c r="A436" t="inlineStr">
        <is>
          <t>A 48570-2022</t>
        </is>
      </c>
      <c r="B436" s="1" t="n">
        <v>44859</v>
      </c>
      <c r="C436" s="1" t="n">
        <v>45781</v>
      </c>
      <c r="D436" t="inlineStr">
        <is>
          <t>DALARNAS LÄN</t>
        </is>
      </c>
      <c r="E436" t="inlineStr">
        <is>
          <t>MORA</t>
        </is>
      </c>
      <c r="G436" t="n">
        <v>6.2</v>
      </c>
      <c r="H436" t="n">
        <v>0</v>
      </c>
      <c r="I436" t="n">
        <v>0</v>
      </c>
      <c r="J436" t="n">
        <v>0</v>
      </c>
      <c r="K436" t="n">
        <v>0</v>
      </c>
      <c r="L436" t="n">
        <v>0</v>
      </c>
      <c r="M436" t="n">
        <v>0</v>
      </c>
      <c r="N436" t="n">
        <v>0</v>
      </c>
      <c r="O436" t="n">
        <v>0</v>
      </c>
      <c r="P436" t="n">
        <v>0</v>
      </c>
      <c r="Q436" t="n">
        <v>0</v>
      </c>
      <c r="R436" s="2" t="inlineStr"/>
    </row>
    <row r="437" ht="15" customHeight="1">
      <c r="A437" t="inlineStr">
        <is>
          <t>A 48728-2022</t>
        </is>
      </c>
      <c r="B437" s="1" t="n">
        <v>44859</v>
      </c>
      <c r="C437" s="1" t="n">
        <v>45781</v>
      </c>
      <c r="D437" t="inlineStr">
        <is>
          <t>DALARNAS LÄN</t>
        </is>
      </c>
      <c r="E437" t="inlineStr">
        <is>
          <t>MORA</t>
        </is>
      </c>
      <c r="G437" t="n">
        <v>0.6</v>
      </c>
      <c r="H437" t="n">
        <v>0</v>
      </c>
      <c r="I437" t="n">
        <v>0</v>
      </c>
      <c r="J437" t="n">
        <v>0</v>
      </c>
      <c r="K437" t="n">
        <v>0</v>
      </c>
      <c r="L437" t="n">
        <v>0</v>
      </c>
      <c r="M437" t="n">
        <v>0</v>
      </c>
      <c r="N437" t="n">
        <v>0</v>
      </c>
      <c r="O437" t="n">
        <v>0</v>
      </c>
      <c r="P437" t="n">
        <v>0</v>
      </c>
      <c r="Q437" t="n">
        <v>0</v>
      </c>
      <c r="R437" s="2" t="inlineStr"/>
    </row>
    <row r="438" ht="15" customHeight="1">
      <c r="A438" t="inlineStr">
        <is>
          <t>A 49257-2022</t>
        </is>
      </c>
      <c r="B438" s="1" t="n">
        <v>44861</v>
      </c>
      <c r="C438" s="1" t="n">
        <v>45781</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50056-2022</t>
        </is>
      </c>
      <c r="B439" s="1" t="n">
        <v>44865</v>
      </c>
      <c r="C439" s="1" t="n">
        <v>45781</v>
      </c>
      <c r="D439" t="inlineStr">
        <is>
          <t>DALARNAS LÄN</t>
        </is>
      </c>
      <c r="E439" t="inlineStr">
        <is>
          <t>MORA</t>
        </is>
      </c>
      <c r="G439" t="n">
        <v>1.2</v>
      </c>
      <c r="H439" t="n">
        <v>0</v>
      </c>
      <c r="I439" t="n">
        <v>0</v>
      </c>
      <c r="J439" t="n">
        <v>0</v>
      </c>
      <c r="K439" t="n">
        <v>0</v>
      </c>
      <c r="L439" t="n">
        <v>0</v>
      </c>
      <c r="M439" t="n">
        <v>0</v>
      </c>
      <c r="N439" t="n">
        <v>0</v>
      </c>
      <c r="O439" t="n">
        <v>0</v>
      </c>
      <c r="P439" t="n">
        <v>0</v>
      </c>
      <c r="Q439" t="n">
        <v>0</v>
      </c>
      <c r="R439" s="2" t="inlineStr"/>
    </row>
    <row r="440" ht="15" customHeight="1">
      <c r="A440" t="inlineStr">
        <is>
          <t>A 50719-2022</t>
        </is>
      </c>
      <c r="B440" s="1" t="n">
        <v>44867</v>
      </c>
      <c r="C440" s="1" t="n">
        <v>45781</v>
      </c>
      <c r="D440" t="inlineStr">
        <is>
          <t>DALARNAS LÄN</t>
        </is>
      </c>
      <c r="E440" t="inlineStr">
        <is>
          <t>MORA</t>
        </is>
      </c>
      <c r="G440" t="n">
        <v>2.4</v>
      </c>
      <c r="H440" t="n">
        <v>0</v>
      </c>
      <c r="I440" t="n">
        <v>0</v>
      </c>
      <c r="J440" t="n">
        <v>0</v>
      </c>
      <c r="K440" t="n">
        <v>0</v>
      </c>
      <c r="L440" t="n">
        <v>0</v>
      </c>
      <c r="M440" t="n">
        <v>0</v>
      </c>
      <c r="N440" t="n">
        <v>0</v>
      </c>
      <c r="O440" t="n">
        <v>0</v>
      </c>
      <c r="P440" t="n">
        <v>0</v>
      </c>
      <c r="Q440" t="n">
        <v>0</v>
      </c>
      <c r="R440" s="2" t="inlineStr"/>
    </row>
    <row r="441" ht="15" customHeight="1">
      <c r="A441" t="inlineStr">
        <is>
          <t>A 51444-2022</t>
        </is>
      </c>
      <c r="B441" s="1" t="n">
        <v>44869</v>
      </c>
      <c r="C441" s="1" t="n">
        <v>45781</v>
      </c>
      <c r="D441" t="inlineStr">
        <is>
          <t>DALARNAS LÄN</t>
        </is>
      </c>
      <c r="E441" t="inlineStr">
        <is>
          <t>MORA</t>
        </is>
      </c>
      <c r="G441" t="n">
        <v>24.3</v>
      </c>
      <c r="H441" t="n">
        <v>0</v>
      </c>
      <c r="I441" t="n">
        <v>0</v>
      </c>
      <c r="J441" t="n">
        <v>0</v>
      </c>
      <c r="K441" t="n">
        <v>0</v>
      </c>
      <c r="L441" t="n">
        <v>0</v>
      </c>
      <c r="M441" t="n">
        <v>0</v>
      </c>
      <c r="N441" t="n">
        <v>0</v>
      </c>
      <c r="O441" t="n">
        <v>0</v>
      </c>
      <c r="P441" t="n">
        <v>0</v>
      </c>
      <c r="Q441" t="n">
        <v>0</v>
      </c>
      <c r="R441" s="2" t="inlineStr"/>
    </row>
    <row r="442" ht="15" customHeight="1">
      <c r="A442" t="inlineStr">
        <is>
          <t>A 52525-2022</t>
        </is>
      </c>
      <c r="B442" s="1" t="n">
        <v>44874</v>
      </c>
      <c r="C442" s="1" t="n">
        <v>45781</v>
      </c>
      <c r="D442" t="inlineStr">
        <is>
          <t>DALARNAS LÄN</t>
        </is>
      </c>
      <c r="E442" t="inlineStr">
        <is>
          <t>MORA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52557-2022</t>
        </is>
      </c>
      <c r="B443" s="1" t="n">
        <v>44874</v>
      </c>
      <c r="C443" s="1" t="n">
        <v>45781</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52845-2022</t>
        </is>
      </c>
      <c r="B444" s="1" t="n">
        <v>44875</v>
      </c>
      <c r="C444" s="1" t="n">
        <v>45781</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53214-2022</t>
        </is>
      </c>
      <c r="B445" s="1" t="n">
        <v>44876</v>
      </c>
      <c r="C445" s="1" t="n">
        <v>45781</v>
      </c>
      <c r="D445" t="inlineStr">
        <is>
          <t>DALARNAS LÄN</t>
        </is>
      </c>
      <c r="E445" t="inlineStr">
        <is>
          <t>MORA</t>
        </is>
      </c>
      <c r="G445" t="n">
        <v>10.6</v>
      </c>
      <c r="H445" t="n">
        <v>0</v>
      </c>
      <c r="I445" t="n">
        <v>0</v>
      </c>
      <c r="J445" t="n">
        <v>0</v>
      </c>
      <c r="K445" t="n">
        <v>0</v>
      </c>
      <c r="L445" t="n">
        <v>0</v>
      </c>
      <c r="M445" t="n">
        <v>0</v>
      </c>
      <c r="N445" t="n">
        <v>0</v>
      </c>
      <c r="O445" t="n">
        <v>0</v>
      </c>
      <c r="P445" t="n">
        <v>0</v>
      </c>
      <c r="Q445" t="n">
        <v>0</v>
      </c>
      <c r="R445" s="2" t="inlineStr"/>
    </row>
    <row r="446" ht="15" customHeight="1">
      <c r="A446" t="inlineStr">
        <is>
          <t>A 54409-2022</t>
        </is>
      </c>
      <c r="B446" s="1" t="n">
        <v>44882</v>
      </c>
      <c r="C446" s="1" t="n">
        <v>45781</v>
      </c>
      <c r="D446" t="inlineStr">
        <is>
          <t>DALARNAS LÄN</t>
        </is>
      </c>
      <c r="E446" t="inlineStr">
        <is>
          <t>MORA</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54739-2022</t>
        </is>
      </c>
      <c r="B447" s="1" t="n">
        <v>44883</v>
      </c>
      <c r="C447" s="1" t="n">
        <v>45781</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55010-2022</t>
        </is>
      </c>
      <c r="B448" s="1" t="n">
        <v>44886</v>
      </c>
      <c r="C448" s="1" t="n">
        <v>45781</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55051-2022</t>
        </is>
      </c>
      <c r="B449" s="1" t="n">
        <v>44886</v>
      </c>
      <c r="C449" s="1" t="n">
        <v>45781</v>
      </c>
      <c r="D449" t="inlineStr">
        <is>
          <t>DALARNAS LÄN</t>
        </is>
      </c>
      <c r="E449" t="inlineStr">
        <is>
          <t>MORA</t>
        </is>
      </c>
      <c r="G449" t="n">
        <v>2.5</v>
      </c>
      <c r="H449" t="n">
        <v>0</v>
      </c>
      <c r="I449" t="n">
        <v>0</v>
      </c>
      <c r="J449" t="n">
        <v>0</v>
      </c>
      <c r="K449" t="n">
        <v>0</v>
      </c>
      <c r="L449" t="n">
        <v>0</v>
      </c>
      <c r="M449" t="n">
        <v>0</v>
      </c>
      <c r="N449" t="n">
        <v>0</v>
      </c>
      <c r="O449" t="n">
        <v>0</v>
      </c>
      <c r="P449" t="n">
        <v>0</v>
      </c>
      <c r="Q449" t="n">
        <v>0</v>
      </c>
      <c r="R449" s="2" t="inlineStr"/>
    </row>
    <row r="450" ht="15" customHeight="1">
      <c r="A450" t="inlineStr">
        <is>
          <t>A 55106-2022</t>
        </is>
      </c>
      <c r="B450" s="1" t="n">
        <v>44886</v>
      </c>
      <c r="C450" s="1" t="n">
        <v>45781</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55077-2022</t>
        </is>
      </c>
      <c r="B451" s="1" t="n">
        <v>44886</v>
      </c>
      <c r="C451" s="1" t="n">
        <v>45781</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55331-2022</t>
        </is>
      </c>
      <c r="B452" s="1" t="n">
        <v>44887</v>
      </c>
      <c r="C452" s="1" t="n">
        <v>45781</v>
      </c>
      <c r="D452" t="inlineStr">
        <is>
          <t>DALARNAS LÄN</t>
        </is>
      </c>
      <c r="E452" t="inlineStr">
        <is>
          <t>MORA</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55356-2022</t>
        </is>
      </c>
      <c r="B453" s="1" t="n">
        <v>44887</v>
      </c>
      <c r="C453" s="1" t="n">
        <v>45781</v>
      </c>
      <c r="D453" t="inlineStr">
        <is>
          <t>DALARNAS LÄN</t>
        </is>
      </c>
      <c r="E453" t="inlineStr">
        <is>
          <t>MORA</t>
        </is>
      </c>
      <c r="F453" t="inlineStr">
        <is>
          <t>Allmännings- och besparingsskogar</t>
        </is>
      </c>
      <c r="G453" t="n">
        <v>0.7</v>
      </c>
      <c r="H453" t="n">
        <v>0</v>
      </c>
      <c r="I453" t="n">
        <v>0</v>
      </c>
      <c r="J453" t="n">
        <v>0</v>
      </c>
      <c r="K453" t="n">
        <v>0</v>
      </c>
      <c r="L453" t="n">
        <v>0</v>
      </c>
      <c r="M453" t="n">
        <v>0</v>
      </c>
      <c r="N453" t="n">
        <v>0</v>
      </c>
      <c r="O453" t="n">
        <v>0</v>
      </c>
      <c r="P453" t="n">
        <v>0</v>
      </c>
      <c r="Q453" t="n">
        <v>0</v>
      </c>
      <c r="R453" s="2" t="inlineStr"/>
    </row>
    <row r="454" ht="15" customHeight="1">
      <c r="A454" t="inlineStr">
        <is>
          <t>A 56939-2022</t>
        </is>
      </c>
      <c r="B454" s="1" t="n">
        <v>44888</v>
      </c>
      <c r="C454" s="1" t="n">
        <v>45781</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55993-2022</t>
        </is>
      </c>
      <c r="B455" s="1" t="n">
        <v>44889</v>
      </c>
      <c r="C455" s="1" t="n">
        <v>45781</v>
      </c>
      <c r="D455" t="inlineStr">
        <is>
          <t>DALARNAS LÄN</t>
        </is>
      </c>
      <c r="E455" t="inlineStr">
        <is>
          <t>MORA</t>
        </is>
      </c>
      <c r="G455" t="n">
        <v>7.7</v>
      </c>
      <c r="H455" t="n">
        <v>0</v>
      </c>
      <c r="I455" t="n">
        <v>0</v>
      </c>
      <c r="J455" t="n">
        <v>0</v>
      </c>
      <c r="K455" t="n">
        <v>0</v>
      </c>
      <c r="L455" t="n">
        <v>0</v>
      </c>
      <c r="M455" t="n">
        <v>0</v>
      </c>
      <c r="N455" t="n">
        <v>0</v>
      </c>
      <c r="O455" t="n">
        <v>0</v>
      </c>
      <c r="P455" t="n">
        <v>0</v>
      </c>
      <c r="Q455" t="n">
        <v>0</v>
      </c>
      <c r="R455" s="2" t="inlineStr"/>
    </row>
    <row r="456" ht="15" customHeight="1">
      <c r="A456" t="inlineStr">
        <is>
          <t>A 55925-2022</t>
        </is>
      </c>
      <c r="B456" s="1" t="n">
        <v>44889</v>
      </c>
      <c r="C456" s="1" t="n">
        <v>45781</v>
      </c>
      <c r="D456" t="inlineStr">
        <is>
          <t>DALARNAS LÄN</t>
        </is>
      </c>
      <c r="E456" t="inlineStr">
        <is>
          <t>MORA</t>
        </is>
      </c>
      <c r="F456" t="inlineStr">
        <is>
          <t>Allmännings- och besparingsskogar</t>
        </is>
      </c>
      <c r="G456" t="n">
        <v>15.6</v>
      </c>
      <c r="H456" t="n">
        <v>0</v>
      </c>
      <c r="I456" t="n">
        <v>0</v>
      </c>
      <c r="J456" t="n">
        <v>0</v>
      </c>
      <c r="K456" t="n">
        <v>0</v>
      </c>
      <c r="L456" t="n">
        <v>0</v>
      </c>
      <c r="M456" t="n">
        <v>0</v>
      </c>
      <c r="N456" t="n">
        <v>0</v>
      </c>
      <c r="O456" t="n">
        <v>0</v>
      </c>
      <c r="P456" t="n">
        <v>0</v>
      </c>
      <c r="Q456" t="n">
        <v>0</v>
      </c>
      <c r="R456" s="2" t="inlineStr"/>
    </row>
    <row r="457" ht="15" customHeight="1">
      <c r="A457" t="inlineStr">
        <is>
          <t>A 56321-2022</t>
        </is>
      </c>
      <c r="B457" s="1" t="n">
        <v>44890</v>
      </c>
      <c r="C457" s="1" t="n">
        <v>45781</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56460-2022</t>
        </is>
      </c>
      <c r="B458" s="1" t="n">
        <v>44893</v>
      </c>
      <c r="C458" s="1" t="n">
        <v>45781</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56678-2022</t>
        </is>
      </c>
      <c r="B459" s="1" t="n">
        <v>44893</v>
      </c>
      <c r="C459" s="1" t="n">
        <v>45781</v>
      </c>
      <c r="D459" t="inlineStr">
        <is>
          <t>DALARNAS LÄN</t>
        </is>
      </c>
      <c r="E459" t="inlineStr">
        <is>
          <t>MORA</t>
        </is>
      </c>
      <c r="G459" t="n">
        <v>4.7</v>
      </c>
      <c r="H459" t="n">
        <v>0</v>
      </c>
      <c r="I459" t="n">
        <v>0</v>
      </c>
      <c r="J459" t="n">
        <v>0</v>
      </c>
      <c r="K459" t="n">
        <v>0</v>
      </c>
      <c r="L459" t="n">
        <v>0</v>
      </c>
      <c r="M459" t="n">
        <v>0</v>
      </c>
      <c r="N459" t="n">
        <v>0</v>
      </c>
      <c r="O459" t="n">
        <v>0</v>
      </c>
      <c r="P459" t="n">
        <v>0</v>
      </c>
      <c r="Q459" t="n">
        <v>0</v>
      </c>
      <c r="R459" s="2" t="inlineStr"/>
    </row>
    <row r="460" ht="15" customHeight="1">
      <c r="A460" t="inlineStr">
        <is>
          <t>A 56770-2022</t>
        </is>
      </c>
      <c r="B460" s="1" t="n">
        <v>44894</v>
      </c>
      <c r="C460" s="1" t="n">
        <v>45781</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56865-2022</t>
        </is>
      </c>
      <c r="B461" s="1" t="n">
        <v>44894</v>
      </c>
      <c r="C461" s="1" t="n">
        <v>45781</v>
      </c>
      <c r="D461" t="inlineStr">
        <is>
          <t>DALARNAS LÄN</t>
        </is>
      </c>
      <c r="E461" t="inlineStr">
        <is>
          <t>MORA</t>
        </is>
      </c>
      <c r="G461" t="n">
        <v>1</v>
      </c>
      <c r="H461" t="n">
        <v>0</v>
      </c>
      <c r="I461" t="n">
        <v>0</v>
      </c>
      <c r="J461" t="n">
        <v>0</v>
      </c>
      <c r="K461" t="n">
        <v>0</v>
      </c>
      <c r="L461" t="n">
        <v>0</v>
      </c>
      <c r="M461" t="n">
        <v>0</v>
      </c>
      <c r="N461" t="n">
        <v>0</v>
      </c>
      <c r="O461" t="n">
        <v>0</v>
      </c>
      <c r="P461" t="n">
        <v>0</v>
      </c>
      <c r="Q461" t="n">
        <v>0</v>
      </c>
      <c r="R461" s="2" t="inlineStr"/>
    </row>
    <row r="462" ht="15" customHeight="1">
      <c r="A462" t="inlineStr">
        <is>
          <t>A 57475-2022</t>
        </is>
      </c>
      <c r="B462" s="1" t="n">
        <v>44896</v>
      </c>
      <c r="C462" s="1" t="n">
        <v>45781</v>
      </c>
      <c r="D462" t="inlineStr">
        <is>
          <t>DALARNAS LÄN</t>
        </is>
      </c>
      <c r="E462" t="inlineStr">
        <is>
          <t>MORA</t>
        </is>
      </c>
      <c r="G462" t="n">
        <v>5.7</v>
      </c>
      <c r="H462" t="n">
        <v>0</v>
      </c>
      <c r="I462" t="n">
        <v>0</v>
      </c>
      <c r="J462" t="n">
        <v>0</v>
      </c>
      <c r="K462" t="n">
        <v>0</v>
      </c>
      <c r="L462" t="n">
        <v>0</v>
      </c>
      <c r="M462" t="n">
        <v>0</v>
      </c>
      <c r="N462" t="n">
        <v>0</v>
      </c>
      <c r="O462" t="n">
        <v>0</v>
      </c>
      <c r="P462" t="n">
        <v>0</v>
      </c>
      <c r="Q462" t="n">
        <v>0</v>
      </c>
      <c r="R462" s="2" t="inlineStr"/>
    </row>
    <row r="463" ht="15" customHeight="1">
      <c r="A463" t="inlineStr">
        <is>
          <t>A 57797-2022</t>
        </is>
      </c>
      <c r="B463" s="1" t="n">
        <v>44897</v>
      </c>
      <c r="C463" s="1" t="n">
        <v>45781</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57859-2022</t>
        </is>
      </c>
      <c r="B464" s="1" t="n">
        <v>44898</v>
      </c>
      <c r="C464" s="1" t="n">
        <v>45781</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57903-2022</t>
        </is>
      </c>
      <c r="B465" s="1" t="n">
        <v>44900</v>
      </c>
      <c r="C465" s="1" t="n">
        <v>45781</v>
      </c>
      <c r="D465" t="inlineStr">
        <is>
          <t>DALARNAS LÄN</t>
        </is>
      </c>
      <c r="E465" t="inlineStr">
        <is>
          <t>MORA</t>
        </is>
      </c>
      <c r="G465" t="n">
        <v>4.3</v>
      </c>
      <c r="H465" t="n">
        <v>0</v>
      </c>
      <c r="I465" t="n">
        <v>0</v>
      </c>
      <c r="J465" t="n">
        <v>0</v>
      </c>
      <c r="K465" t="n">
        <v>0</v>
      </c>
      <c r="L465" t="n">
        <v>0</v>
      </c>
      <c r="M465" t="n">
        <v>0</v>
      </c>
      <c r="N465" t="n">
        <v>0</v>
      </c>
      <c r="O465" t="n">
        <v>0</v>
      </c>
      <c r="P465" t="n">
        <v>0</v>
      </c>
      <c r="Q465" t="n">
        <v>0</v>
      </c>
      <c r="R465" s="2" t="inlineStr"/>
    </row>
    <row r="466" ht="15" customHeight="1">
      <c r="A466" t="inlineStr">
        <is>
          <t>A 58116-2022</t>
        </is>
      </c>
      <c r="B466" s="1" t="n">
        <v>44900</v>
      </c>
      <c r="C466" s="1" t="n">
        <v>45781</v>
      </c>
      <c r="D466" t="inlineStr">
        <is>
          <t>DALARNAS LÄN</t>
        </is>
      </c>
      <c r="E466" t="inlineStr">
        <is>
          <t>MORA</t>
        </is>
      </c>
      <c r="G466" t="n">
        <v>2.9</v>
      </c>
      <c r="H466" t="n">
        <v>0</v>
      </c>
      <c r="I466" t="n">
        <v>0</v>
      </c>
      <c r="J466" t="n">
        <v>0</v>
      </c>
      <c r="K466" t="n">
        <v>0</v>
      </c>
      <c r="L466" t="n">
        <v>0</v>
      </c>
      <c r="M466" t="n">
        <v>0</v>
      </c>
      <c r="N466" t="n">
        <v>0</v>
      </c>
      <c r="O466" t="n">
        <v>0</v>
      </c>
      <c r="P466" t="n">
        <v>0</v>
      </c>
      <c r="Q466" t="n">
        <v>0</v>
      </c>
      <c r="R466" s="2" t="inlineStr"/>
    </row>
    <row r="467" ht="15" customHeight="1">
      <c r="A467" t="inlineStr">
        <is>
          <t>A 58357-2022</t>
        </is>
      </c>
      <c r="B467" s="1" t="n">
        <v>44901</v>
      </c>
      <c r="C467" s="1" t="n">
        <v>45781</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58525-2022</t>
        </is>
      </c>
      <c r="B468" s="1" t="n">
        <v>44902</v>
      </c>
      <c r="C468" s="1" t="n">
        <v>45781</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58958-2022</t>
        </is>
      </c>
      <c r="B469" s="1" t="n">
        <v>44903</v>
      </c>
      <c r="C469" s="1" t="n">
        <v>45781</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59406-2022</t>
        </is>
      </c>
      <c r="B470" s="1" t="n">
        <v>44906</v>
      </c>
      <c r="C470" s="1" t="n">
        <v>45781</v>
      </c>
      <c r="D470" t="inlineStr">
        <is>
          <t>DALARNAS LÄN</t>
        </is>
      </c>
      <c r="E470" t="inlineStr">
        <is>
          <t>MORA</t>
        </is>
      </c>
      <c r="G470" t="n">
        <v>16.3</v>
      </c>
      <c r="H470" t="n">
        <v>0</v>
      </c>
      <c r="I470" t="n">
        <v>0</v>
      </c>
      <c r="J470" t="n">
        <v>0</v>
      </c>
      <c r="K470" t="n">
        <v>0</v>
      </c>
      <c r="L470" t="n">
        <v>0</v>
      </c>
      <c r="M470" t="n">
        <v>0</v>
      </c>
      <c r="N470" t="n">
        <v>0</v>
      </c>
      <c r="O470" t="n">
        <v>0</v>
      </c>
      <c r="P470" t="n">
        <v>0</v>
      </c>
      <c r="Q470" t="n">
        <v>0</v>
      </c>
      <c r="R470" s="2" t="inlineStr"/>
    </row>
    <row r="471" ht="15" customHeight="1">
      <c r="A471" t="inlineStr">
        <is>
          <t>A 59419-2022</t>
        </is>
      </c>
      <c r="B471" s="1" t="n">
        <v>44907</v>
      </c>
      <c r="C471" s="1" t="n">
        <v>45781</v>
      </c>
      <c r="D471" t="inlineStr">
        <is>
          <t>DALARNAS LÄN</t>
        </is>
      </c>
      <c r="E471" t="inlineStr">
        <is>
          <t>MORA</t>
        </is>
      </c>
      <c r="G471" t="n">
        <v>9.1</v>
      </c>
      <c r="H471" t="n">
        <v>0</v>
      </c>
      <c r="I471" t="n">
        <v>0</v>
      </c>
      <c r="J471" t="n">
        <v>0</v>
      </c>
      <c r="K471" t="n">
        <v>0</v>
      </c>
      <c r="L471" t="n">
        <v>0</v>
      </c>
      <c r="M471" t="n">
        <v>0</v>
      </c>
      <c r="N471" t="n">
        <v>0</v>
      </c>
      <c r="O471" t="n">
        <v>0</v>
      </c>
      <c r="P471" t="n">
        <v>0</v>
      </c>
      <c r="Q471" t="n">
        <v>0</v>
      </c>
      <c r="R471" s="2" t="inlineStr"/>
    </row>
    <row r="472" ht="15" customHeight="1">
      <c r="A472" t="inlineStr">
        <is>
          <t>A 59448-2022</t>
        </is>
      </c>
      <c r="B472" s="1" t="n">
        <v>44907</v>
      </c>
      <c r="C472" s="1" t="n">
        <v>45781</v>
      </c>
      <c r="D472" t="inlineStr">
        <is>
          <t>DALARNAS LÄN</t>
        </is>
      </c>
      <c r="E472" t="inlineStr">
        <is>
          <t>MORA</t>
        </is>
      </c>
      <c r="G472" t="n">
        <v>35.7</v>
      </c>
      <c r="H472" t="n">
        <v>0</v>
      </c>
      <c r="I472" t="n">
        <v>0</v>
      </c>
      <c r="J472" t="n">
        <v>0</v>
      </c>
      <c r="K472" t="n">
        <v>0</v>
      </c>
      <c r="L472" t="n">
        <v>0</v>
      </c>
      <c r="M472" t="n">
        <v>0</v>
      </c>
      <c r="N472" t="n">
        <v>0</v>
      </c>
      <c r="O472" t="n">
        <v>0</v>
      </c>
      <c r="P472" t="n">
        <v>0</v>
      </c>
      <c r="Q472" t="n">
        <v>0</v>
      </c>
      <c r="R472" s="2" t="inlineStr"/>
    </row>
    <row r="473" ht="15" customHeight="1">
      <c r="A473" t="inlineStr">
        <is>
          <t>A 60051-2022</t>
        </is>
      </c>
      <c r="B473" s="1" t="n">
        <v>44909</v>
      </c>
      <c r="C473" s="1" t="n">
        <v>45781</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60647-2022</t>
        </is>
      </c>
      <c r="B474" s="1" t="n">
        <v>44911</v>
      </c>
      <c r="C474" s="1" t="n">
        <v>45781</v>
      </c>
      <c r="D474" t="inlineStr">
        <is>
          <t>DALARNAS LÄN</t>
        </is>
      </c>
      <c r="E474" t="inlineStr">
        <is>
          <t>MORA</t>
        </is>
      </c>
      <c r="G474" t="n">
        <v>4.8</v>
      </c>
      <c r="H474" t="n">
        <v>0</v>
      </c>
      <c r="I474" t="n">
        <v>0</v>
      </c>
      <c r="J474" t="n">
        <v>0</v>
      </c>
      <c r="K474" t="n">
        <v>0</v>
      </c>
      <c r="L474" t="n">
        <v>0</v>
      </c>
      <c r="M474" t="n">
        <v>0</v>
      </c>
      <c r="N474" t="n">
        <v>0</v>
      </c>
      <c r="O474" t="n">
        <v>0</v>
      </c>
      <c r="P474" t="n">
        <v>0</v>
      </c>
      <c r="Q474" t="n">
        <v>0</v>
      </c>
      <c r="R474" s="2" t="inlineStr"/>
    </row>
    <row r="475" ht="15" customHeight="1">
      <c r="A475" t="inlineStr">
        <is>
          <t>A 61263-2022</t>
        </is>
      </c>
      <c r="B475" s="1" t="n">
        <v>44915</v>
      </c>
      <c r="C475" s="1" t="n">
        <v>45781</v>
      </c>
      <c r="D475" t="inlineStr">
        <is>
          <t>DALARNAS LÄN</t>
        </is>
      </c>
      <c r="E475" t="inlineStr">
        <is>
          <t>MORA</t>
        </is>
      </c>
      <c r="G475" t="n">
        <v>3.2</v>
      </c>
      <c r="H475" t="n">
        <v>0</v>
      </c>
      <c r="I475" t="n">
        <v>0</v>
      </c>
      <c r="J475" t="n">
        <v>0</v>
      </c>
      <c r="K475" t="n">
        <v>0</v>
      </c>
      <c r="L475" t="n">
        <v>0</v>
      </c>
      <c r="M475" t="n">
        <v>0</v>
      </c>
      <c r="N475" t="n">
        <v>0</v>
      </c>
      <c r="O475" t="n">
        <v>0</v>
      </c>
      <c r="P475" t="n">
        <v>0</v>
      </c>
      <c r="Q475" t="n">
        <v>0</v>
      </c>
      <c r="R475" s="2" t="inlineStr"/>
    </row>
    <row r="476" ht="15" customHeight="1">
      <c r="A476" t="inlineStr">
        <is>
          <t>A 61273-2022</t>
        </is>
      </c>
      <c r="B476" s="1" t="n">
        <v>44915</v>
      </c>
      <c r="C476" s="1" t="n">
        <v>45781</v>
      </c>
      <c r="D476" t="inlineStr">
        <is>
          <t>DALARNAS LÄN</t>
        </is>
      </c>
      <c r="E476" t="inlineStr">
        <is>
          <t>MORA</t>
        </is>
      </c>
      <c r="G476" t="n">
        <v>8.4</v>
      </c>
      <c r="H476" t="n">
        <v>0</v>
      </c>
      <c r="I476" t="n">
        <v>0</v>
      </c>
      <c r="J476" t="n">
        <v>0</v>
      </c>
      <c r="K476" t="n">
        <v>0</v>
      </c>
      <c r="L476" t="n">
        <v>0</v>
      </c>
      <c r="M476" t="n">
        <v>0</v>
      </c>
      <c r="N476" t="n">
        <v>0</v>
      </c>
      <c r="O476" t="n">
        <v>0</v>
      </c>
      <c r="P476" t="n">
        <v>0</v>
      </c>
      <c r="Q476" t="n">
        <v>0</v>
      </c>
      <c r="R476" s="2" t="inlineStr"/>
    </row>
    <row r="477" ht="15" customHeight="1">
      <c r="A477" t="inlineStr">
        <is>
          <t>A 61293-2022</t>
        </is>
      </c>
      <c r="B477" s="1" t="n">
        <v>44915</v>
      </c>
      <c r="C477" s="1" t="n">
        <v>45781</v>
      </c>
      <c r="D477" t="inlineStr">
        <is>
          <t>DALARNAS LÄN</t>
        </is>
      </c>
      <c r="E477" t="inlineStr">
        <is>
          <t>MORA</t>
        </is>
      </c>
      <c r="G477" t="n">
        <v>0.3</v>
      </c>
      <c r="H477" t="n">
        <v>0</v>
      </c>
      <c r="I477" t="n">
        <v>0</v>
      </c>
      <c r="J477" t="n">
        <v>0</v>
      </c>
      <c r="K477" t="n">
        <v>0</v>
      </c>
      <c r="L477" t="n">
        <v>0</v>
      </c>
      <c r="M477" t="n">
        <v>0</v>
      </c>
      <c r="N477" t="n">
        <v>0</v>
      </c>
      <c r="O477" t="n">
        <v>0</v>
      </c>
      <c r="P477" t="n">
        <v>0</v>
      </c>
      <c r="Q477" t="n">
        <v>0</v>
      </c>
      <c r="R477" s="2" t="inlineStr"/>
    </row>
    <row r="478" ht="15" customHeight="1">
      <c r="A478" t="inlineStr">
        <is>
          <t>A 61301-2022</t>
        </is>
      </c>
      <c r="B478" s="1" t="n">
        <v>44915</v>
      </c>
      <c r="C478" s="1" t="n">
        <v>45781</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61482-2022</t>
        </is>
      </c>
      <c r="B479" s="1" t="n">
        <v>44916</v>
      </c>
      <c r="C479" s="1" t="n">
        <v>45781</v>
      </c>
      <c r="D479" t="inlineStr">
        <is>
          <t>DALARNAS LÄN</t>
        </is>
      </c>
      <c r="E479" t="inlineStr">
        <is>
          <t>MORA</t>
        </is>
      </c>
      <c r="G479" t="n">
        <v>7.4</v>
      </c>
      <c r="H479" t="n">
        <v>0</v>
      </c>
      <c r="I479" t="n">
        <v>0</v>
      </c>
      <c r="J479" t="n">
        <v>0</v>
      </c>
      <c r="K479" t="n">
        <v>0</v>
      </c>
      <c r="L479" t="n">
        <v>0</v>
      </c>
      <c r="M479" t="n">
        <v>0</v>
      </c>
      <c r="N479" t="n">
        <v>0</v>
      </c>
      <c r="O479" t="n">
        <v>0</v>
      </c>
      <c r="P479" t="n">
        <v>0</v>
      </c>
      <c r="Q479" t="n">
        <v>0</v>
      </c>
      <c r="R479" s="2" t="inlineStr"/>
    </row>
    <row r="480" ht="15" customHeight="1">
      <c r="A480" t="inlineStr">
        <is>
          <t>A 61794-2022</t>
        </is>
      </c>
      <c r="B480" s="1" t="n">
        <v>44917</v>
      </c>
      <c r="C480" s="1" t="n">
        <v>45781</v>
      </c>
      <c r="D480" t="inlineStr">
        <is>
          <t>DALARNAS LÄN</t>
        </is>
      </c>
      <c r="E480" t="inlineStr">
        <is>
          <t>MORA</t>
        </is>
      </c>
      <c r="G480" t="n">
        <v>1.8</v>
      </c>
      <c r="H480" t="n">
        <v>0</v>
      </c>
      <c r="I480" t="n">
        <v>0</v>
      </c>
      <c r="J480" t="n">
        <v>0</v>
      </c>
      <c r="K480" t="n">
        <v>0</v>
      </c>
      <c r="L480" t="n">
        <v>0</v>
      </c>
      <c r="M480" t="n">
        <v>0</v>
      </c>
      <c r="N480" t="n">
        <v>0</v>
      </c>
      <c r="O480" t="n">
        <v>0</v>
      </c>
      <c r="P480" t="n">
        <v>0</v>
      </c>
      <c r="Q480" t="n">
        <v>0</v>
      </c>
      <c r="R480" s="2" t="inlineStr"/>
    </row>
    <row r="481" ht="15" customHeight="1">
      <c r="A481" t="inlineStr">
        <is>
          <t>A 62188-2022</t>
        </is>
      </c>
      <c r="B481" s="1" t="n">
        <v>44922</v>
      </c>
      <c r="C481" s="1" t="n">
        <v>45781</v>
      </c>
      <c r="D481" t="inlineStr">
        <is>
          <t>DALARNAS LÄN</t>
        </is>
      </c>
      <c r="E481" t="inlineStr">
        <is>
          <t>MORA</t>
        </is>
      </c>
      <c r="G481" t="n">
        <v>2.3</v>
      </c>
      <c r="H481" t="n">
        <v>0</v>
      </c>
      <c r="I481" t="n">
        <v>0</v>
      </c>
      <c r="J481" t="n">
        <v>0</v>
      </c>
      <c r="K481" t="n">
        <v>0</v>
      </c>
      <c r="L481" t="n">
        <v>0</v>
      </c>
      <c r="M481" t="n">
        <v>0</v>
      </c>
      <c r="N481" t="n">
        <v>0</v>
      </c>
      <c r="O481" t="n">
        <v>0</v>
      </c>
      <c r="P481" t="n">
        <v>0</v>
      </c>
      <c r="Q481" t="n">
        <v>0</v>
      </c>
      <c r="R481" s="2" t="inlineStr"/>
    </row>
    <row r="482" ht="15" customHeight="1">
      <c r="A482" t="inlineStr">
        <is>
          <t>A 518-2023</t>
        </is>
      </c>
      <c r="B482" s="1" t="n">
        <v>44930</v>
      </c>
      <c r="C482" s="1" t="n">
        <v>45781</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1888-2023</t>
        </is>
      </c>
      <c r="B483" s="1" t="n">
        <v>44937</v>
      </c>
      <c r="C483" s="1" t="n">
        <v>45781</v>
      </c>
      <c r="D483" t="inlineStr">
        <is>
          <t>DALARNAS LÄN</t>
        </is>
      </c>
      <c r="E483" t="inlineStr">
        <is>
          <t>MORA</t>
        </is>
      </c>
      <c r="G483" t="n">
        <v>3.7</v>
      </c>
      <c r="H483" t="n">
        <v>0</v>
      </c>
      <c r="I483" t="n">
        <v>0</v>
      </c>
      <c r="J483" t="n">
        <v>0</v>
      </c>
      <c r="K483" t="n">
        <v>0</v>
      </c>
      <c r="L483" t="n">
        <v>0</v>
      </c>
      <c r="M483" t="n">
        <v>0</v>
      </c>
      <c r="N483" t="n">
        <v>0</v>
      </c>
      <c r="O483" t="n">
        <v>0</v>
      </c>
      <c r="P483" t="n">
        <v>0</v>
      </c>
      <c r="Q483" t="n">
        <v>0</v>
      </c>
      <c r="R483" s="2" t="inlineStr"/>
    </row>
    <row r="484" ht="15" customHeight="1">
      <c r="A484" t="inlineStr">
        <is>
          <t>A 1906-2023</t>
        </is>
      </c>
      <c r="B484" s="1" t="n">
        <v>44937</v>
      </c>
      <c r="C484" s="1" t="n">
        <v>45781</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1894-2023</t>
        </is>
      </c>
      <c r="B485" s="1" t="n">
        <v>44937</v>
      </c>
      <c r="C485" s="1" t="n">
        <v>45781</v>
      </c>
      <c r="D485" t="inlineStr">
        <is>
          <t>DALARNAS LÄN</t>
        </is>
      </c>
      <c r="E485" t="inlineStr">
        <is>
          <t>MORA</t>
        </is>
      </c>
      <c r="G485" t="n">
        <v>1.6</v>
      </c>
      <c r="H485" t="n">
        <v>0</v>
      </c>
      <c r="I485" t="n">
        <v>0</v>
      </c>
      <c r="J485" t="n">
        <v>0</v>
      </c>
      <c r="K485" t="n">
        <v>0</v>
      </c>
      <c r="L485" t="n">
        <v>0</v>
      </c>
      <c r="M485" t="n">
        <v>0</v>
      </c>
      <c r="N485" t="n">
        <v>0</v>
      </c>
      <c r="O485" t="n">
        <v>0</v>
      </c>
      <c r="P485" t="n">
        <v>0</v>
      </c>
      <c r="Q485" t="n">
        <v>0</v>
      </c>
      <c r="R485" s="2" t="inlineStr"/>
    </row>
    <row r="486" ht="15" customHeight="1">
      <c r="A486" t="inlineStr">
        <is>
          <t>A 1897-2023</t>
        </is>
      </c>
      <c r="B486" s="1" t="n">
        <v>44937</v>
      </c>
      <c r="C486" s="1" t="n">
        <v>45781</v>
      </c>
      <c r="D486" t="inlineStr">
        <is>
          <t>DALARNAS LÄN</t>
        </is>
      </c>
      <c r="E486" t="inlineStr">
        <is>
          <t>MORA</t>
        </is>
      </c>
      <c r="G486" t="n">
        <v>0.8</v>
      </c>
      <c r="H486" t="n">
        <v>0</v>
      </c>
      <c r="I486" t="n">
        <v>0</v>
      </c>
      <c r="J486" t="n">
        <v>0</v>
      </c>
      <c r="K486" t="n">
        <v>0</v>
      </c>
      <c r="L486" t="n">
        <v>0</v>
      </c>
      <c r="M486" t="n">
        <v>0</v>
      </c>
      <c r="N486" t="n">
        <v>0</v>
      </c>
      <c r="O486" t="n">
        <v>0</v>
      </c>
      <c r="P486" t="n">
        <v>0</v>
      </c>
      <c r="Q486" t="n">
        <v>0</v>
      </c>
      <c r="R486" s="2" t="inlineStr"/>
    </row>
    <row r="487" ht="15" customHeight="1">
      <c r="A487" t="inlineStr">
        <is>
          <t>A 2308-2023</t>
        </is>
      </c>
      <c r="B487" s="1" t="n">
        <v>44942</v>
      </c>
      <c r="C487" s="1" t="n">
        <v>45781</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2304-2023</t>
        </is>
      </c>
      <c r="B488" s="1" t="n">
        <v>44942</v>
      </c>
      <c r="C488" s="1" t="n">
        <v>45781</v>
      </c>
      <c r="D488" t="inlineStr">
        <is>
          <t>DALARNAS LÄN</t>
        </is>
      </c>
      <c r="E488" t="inlineStr">
        <is>
          <t>MORA</t>
        </is>
      </c>
      <c r="G488" t="n">
        <v>1.3</v>
      </c>
      <c r="H488" t="n">
        <v>0</v>
      </c>
      <c r="I488" t="n">
        <v>0</v>
      </c>
      <c r="J488" t="n">
        <v>0</v>
      </c>
      <c r="K488" t="n">
        <v>0</v>
      </c>
      <c r="L488" t="n">
        <v>0</v>
      </c>
      <c r="M488" t="n">
        <v>0</v>
      </c>
      <c r="N488" t="n">
        <v>0</v>
      </c>
      <c r="O488" t="n">
        <v>0</v>
      </c>
      <c r="P488" t="n">
        <v>0</v>
      </c>
      <c r="Q488" t="n">
        <v>0</v>
      </c>
      <c r="R488" s="2" t="inlineStr"/>
    </row>
    <row r="489" ht="15" customHeight="1">
      <c r="A489" t="inlineStr">
        <is>
          <t>A 2372-2023</t>
        </is>
      </c>
      <c r="B489" s="1" t="n">
        <v>44942</v>
      </c>
      <c r="C489" s="1" t="n">
        <v>45781</v>
      </c>
      <c r="D489" t="inlineStr">
        <is>
          <t>DALARNAS LÄN</t>
        </is>
      </c>
      <c r="E489" t="inlineStr">
        <is>
          <t>MORA</t>
        </is>
      </c>
      <c r="G489" t="n">
        <v>7.7</v>
      </c>
      <c r="H489" t="n">
        <v>0</v>
      </c>
      <c r="I489" t="n">
        <v>0</v>
      </c>
      <c r="J489" t="n">
        <v>0</v>
      </c>
      <c r="K489" t="n">
        <v>0</v>
      </c>
      <c r="L489" t="n">
        <v>0</v>
      </c>
      <c r="M489" t="n">
        <v>0</v>
      </c>
      <c r="N489" t="n">
        <v>0</v>
      </c>
      <c r="O489" t="n">
        <v>0</v>
      </c>
      <c r="P489" t="n">
        <v>0</v>
      </c>
      <c r="Q489" t="n">
        <v>0</v>
      </c>
      <c r="R489" s="2" t="inlineStr"/>
    </row>
    <row r="490" ht="15" customHeight="1">
      <c r="A490" t="inlineStr">
        <is>
          <t>A 2830-2023</t>
        </is>
      </c>
      <c r="B490" s="1" t="n">
        <v>44945</v>
      </c>
      <c r="C490" s="1" t="n">
        <v>45781</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3049-2023</t>
        </is>
      </c>
      <c r="B491" s="1" t="n">
        <v>44946</v>
      </c>
      <c r="C491" s="1" t="n">
        <v>45781</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3430-2023</t>
        </is>
      </c>
      <c r="B492" s="1" t="n">
        <v>44949</v>
      </c>
      <c r="C492" s="1" t="n">
        <v>45781</v>
      </c>
      <c r="D492" t="inlineStr">
        <is>
          <t>DALARNAS LÄN</t>
        </is>
      </c>
      <c r="E492" t="inlineStr">
        <is>
          <t>MORA</t>
        </is>
      </c>
      <c r="G492" t="n">
        <v>2.6</v>
      </c>
      <c r="H492" t="n">
        <v>0</v>
      </c>
      <c r="I492" t="n">
        <v>0</v>
      </c>
      <c r="J492" t="n">
        <v>0</v>
      </c>
      <c r="K492" t="n">
        <v>0</v>
      </c>
      <c r="L492" t="n">
        <v>0</v>
      </c>
      <c r="M492" t="n">
        <v>0</v>
      </c>
      <c r="N492" t="n">
        <v>0</v>
      </c>
      <c r="O492" t="n">
        <v>0</v>
      </c>
      <c r="P492" t="n">
        <v>0</v>
      </c>
      <c r="Q492" t="n">
        <v>0</v>
      </c>
      <c r="R492" s="2" t="inlineStr"/>
    </row>
    <row r="493" ht="15" customHeight="1">
      <c r="A493" t="inlineStr">
        <is>
          <t>A 4205-2023</t>
        </is>
      </c>
      <c r="B493" s="1" t="n">
        <v>44953</v>
      </c>
      <c r="C493" s="1" t="n">
        <v>45781</v>
      </c>
      <c r="D493" t="inlineStr">
        <is>
          <t>DALARNAS LÄN</t>
        </is>
      </c>
      <c r="E493" t="inlineStr">
        <is>
          <t>MORA</t>
        </is>
      </c>
      <c r="G493" t="n">
        <v>26.2</v>
      </c>
      <c r="H493" t="n">
        <v>0</v>
      </c>
      <c r="I493" t="n">
        <v>0</v>
      </c>
      <c r="J493" t="n">
        <v>0</v>
      </c>
      <c r="K493" t="n">
        <v>0</v>
      </c>
      <c r="L493" t="n">
        <v>0</v>
      </c>
      <c r="M493" t="n">
        <v>0</v>
      </c>
      <c r="N493" t="n">
        <v>0</v>
      </c>
      <c r="O493" t="n">
        <v>0</v>
      </c>
      <c r="P493" t="n">
        <v>0</v>
      </c>
      <c r="Q493" t="n">
        <v>0</v>
      </c>
      <c r="R493" s="2" t="inlineStr"/>
    </row>
    <row r="494" ht="15" customHeight="1">
      <c r="A494" t="inlineStr">
        <is>
          <t>A 4210-2023</t>
        </is>
      </c>
      <c r="B494" s="1" t="n">
        <v>44953</v>
      </c>
      <c r="C494" s="1" t="n">
        <v>45781</v>
      </c>
      <c r="D494" t="inlineStr">
        <is>
          <t>DALARNAS LÄN</t>
        </is>
      </c>
      <c r="E494" t="inlineStr">
        <is>
          <t>MORA</t>
        </is>
      </c>
      <c r="G494" t="n">
        <v>0.9</v>
      </c>
      <c r="H494" t="n">
        <v>0</v>
      </c>
      <c r="I494" t="n">
        <v>0</v>
      </c>
      <c r="J494" t="n">
        <v>0</v>
      </c>
      <c r="K494" t="n">
        <v>0</v>
      </c>
      <c r="L494" t="n">
        <v>0</v>
      </c>
      <c r="M494" t="n">
        <v>0</v>
      </c>
      <c r="N494" t="n">
        <v>0</v>
      </c>
      <c r="O494" t="n">
        <v>0</v>
      </c>
      <c r="P494" t="n">
        <v>0</v>
      </c>
      <c r="Q494" t="n">
        <v>0</v>
      </c>
      <c r="R494" s="2" t="inlineStr"/>
    </row>
    <row r="495" ht="15" customHeight="1">
      <c r="A495" t="inlineStr">
        <is>
          <t>A 4209-2023</t>
        </is>
      </c>
      <c r="B495" s="1" t="n">
        <v>44953</v>
      </c>
      <c r="C495" s="1" t="n">
        <v>45781</v>
      </c>
      <c r="D495" t="inlineStr">
        <is>
          <t>DALARNAS LÄN</t>
        </is>
      </c>
      <c r="E495" t="inlineStr">
        <is>
          <t>MORA</t>
        </is>
      </c>
      <c r="G495" t="n">
        <v>1</v>
      </c>
      <c r="H495" t="n">
        <v>0</v>
      </c>
      <c r="I495" t="n">
        <v>0</v>
      </c>
      <c r="J495" t="n">
        <v>0</v>
      </c>
      <c r="K495" t="n">
        <v>0</v>
      </c>
      <c r="L495" t="n">
        <v>0</v>
      </c>
      <c r="M495" t="n">
        <v>0</v>
      </c>
      <c r="N495" t="n">
        <v>0</v>
      </c>
      <c r="O495" t="n">
        <v>0</v>
      </c>
      <c r="P495" t="n">
        <v>0</v>
      </c>
      <c r="Q495" t="n">
        <v>0</v>
      </c>
      <c r="R495" s="2" t="inlineStr"/>
    </row>
    <row r="496" ht="15" customHeight="1">
      <c r="A496" t="inlineStr">
        <is>
          <t>A 4206-2023</t>
        </is>
      </c>
      <c r="B496" s="1" t="n">
        <v>44953</v>
      </c>
      <c r="C496" s="1" t="n">
        <v>45781</v>
      </c>
      <c r="D496" t="inlineStr">
        <is>
          <t>DALARNAS LÄN</t>
        </is>
      </c>
      <c r="E496" t="inlineStr">
        <is>
          <t>MORA</t>
        </is>
      </c>
      <c r="G496" t="n">
        <v>3.1</v>
      </c>
      <c r="H496" t="n">
        <v>0</v>
      </c>
      <c r="I496" t="n">
        <v>0</v>
      </c>
      <c r="J496" t="n">
        <v>0</v>
      </c>
      <c r="K496" t="n">
        <v>0</v>
      </c>
      <c r="L496" t="n">
        <v>0</v>
      </c>
      <c r="M496" t="n">
        <v>0</v>
      </c>
      <c r="N496" t="n">
        <v>0</v>
      </c>
      <c r="O496" t="n">
        <v>0</v>
      </c>
      <c r="P496" t="n">
        <v>0</v>
      </c>
      <c r="Q496" t="n">
        <v>0</v>
      </c>
      <c r="R496" s="2" t="inlineStr"/>
    </row>
    <row r="497" ht="15" customHeight="1">
      <c r="A497" t="inlineStr">
        <is>
          <t>A 4208-2023</t>
        </is>
      </c>
      <c r="B497" s="1" t="n">
        <v>44953</v>
      </c>
      <c r="C497" s="1" t="n">
        <v>45781</v>
      </c>
      <c r="D497" t="inlineStr">
        <is>
          <t>DALARNAS LÄN</t>
        </is>
      </c>
      <c r="E497" t="inlineStr">
        <is>
          <t>MORA</t>
        </is>
      </c>
      <c r="G497" t="n">
        <v>2.4</v>
      </c>
      <c r="H497" t="n">
        <v>0</v>
      </c>
      <c r="I497" t="n">
        <v>0</v>
      </c>
      <c r="J497" t="n">
        <v>0</v>
      </c>
      <c r="K497" t="n">
        <v>0</v>
      </c>
      <c r="L497" t="n">
        <v>0</v>
      </c>
      <c r="M497" t="n">
        <v>0</v>
      </c>
      <c r="N497" t="n">
        <v>0</v>
      </c>
      <c r="O497" t="n">
        <v>0</v>
      </c>
      <c r="P497" t="n">
        <v>0</v>
      </c>
      <c r="Q497" t="n">
        <v>0</v>
      </c>
      <c r="R497" s="2" t="inlineStr"/>
    </row>
    <row r="498" ht="15" customHeight="1">
      <c r="A498" t="inlineStr">
        <is>
          <t>A 4497-2023</t>
        </is>
      </c>
      <c r="B498" s="1" t="n">
        <v>44956</v>
      </c>
      <c r="C498" s="1" t="n">
        <v>45781</v>
      </c>
      <c r="D498" t="inlineStr">
        <is>
          <t>DALARNAS LÄN</t>
        </is>
      </c>
      <c r="E498" t="inlineStr">
        <is>
          <t>MORA</t>
        </is>
      </c>
      <c r="G498" t="n">
        <v>6.4</v>
      </c>
      <c r="H498" t="n">
        <v>0</v>
      </c>
      <c r="I498" t="n">
        <v>0</v>
      </c>
      <c r="J498" t="n">
        <v>0</v>
      </c>
      <c r="K498" t="n">
        <v>0</v>
      </c>
      <c r="L498" t="n">
        <v>0</v>
      </c>
      <c r="M498" t="n">
        <v>0</v>
      </c>
      <c r="N498" t="n">
        <v>0</v>
      </c>
      <c r="O498" t="n">
        <v>0</v>
      </c>
      <c r="P498" t="n">
        <v>0</v>
      </c>
      <c r="Q498" t="n">
        <v>0</v>
      </c>
      <c r="R498" s="2" t="inlineStr"/>
    </row>
    <row r="499" ht="15" customHeight="1">
      <c r="A499" t="inlineStr">
        <is>
          <t>A 4506-2023</t>
        </is>
      </c>
      <c r="B499" s="1" t="n">
        <v>44956</v>
      </c>
      <c r="C499" s="1" t="n">
        <v>45781</v>
      </c>
      <c r="D499" t="inlineStr">
        <is>
          <t>DALARNAS LÄN</t>
        </is>
      </c>
      <c r="E499" t="inlineStr">
        <is>
          <t>MORA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5309-2023</t>
        </is>
      </c>
      <c r="B500" s="1" t="n">
        <v>44956</v>
      </c>
      <c r="C500" s="1" t="n">
        <v>45781</v>
      </c>
      <c r="D500" t="inlineStr">
        <is>
          <t>DALARNAS LÄN</t>
        </is>
      </c>
      <c r="E500" t="inlineStr">
        <is>
          <t>MORA</t>
        </is>
      </c>
      <c r="G500" t="n">
        <v>1.1</v>
      </c>
      <c r="H500" t="n">
        <v>0</v>
      </c>
      <c r="I500" t="n">
        <v>0</v>
      </c>
      <c r="J500" t="n">
        <v>0</v>
      </c>
      <c r="K500" t="n">
        <v>0</v>
      </c>
      <c r="L500" t="n">
        <v>0</v>
      </c>
      <c r="M500" t="n">
        <v>0</v>
      </c>
      <c r="N500" t="n">
        <v>0</v>
      </c>
      <c r="O500" t="n">
        <v>0</v>
      </c>
      <c r="P500" t="n">
        <v>0</v>
      </c>
      <c r="Q500" t="n">
        <v>0</v>
      </c>
      <c r="R500" s="2" t="inlineStr"/>
    </row>
    <row r="501" ht="15" customHeight="1">
      <c r="A501" t="inlineStr">
        <is>
          <t>A 5486-2023</t>
        </is>
      </c>
      <c r="B501" s="1" t="n">
        <v>44957</v>
      </c>
      <c r="C501" s="1" t="n">
        <v>45781</v>
      </c>
      <c r="D501" t="inlineStr">
        <is>
          <t>DALARNAS LÄN</t>
        </is>
      </c>
      <c r="E501" t="inlineStr">
        <is>
          <t>MORA</t>
        </is>
      </c>
      <c r="G501" t="n">
        <v>3.2</v>
      </c>
      <c r="H501" t="n">
        <v>0</v>
      </c>
      <c r="I501" t="n">
        <v>0</v>
      </c>
      <c r="J501" t="n">
        <v>0</v>
      </c>
      <c r="K501" t="n">
        <v>0</v>
      </c>
      <c r="L501" t="n">
        <v>0</v>
      </c>
      <c r="M501" t="n">
        <v>0</v>
      </c>
      <c r="N501" t="n">
        <v>0</v>
      </c>
      <c r="O501" t="n">
        <v>0</v>
      </c>
      <c r="P501" t="n">
        <v>0</v>
      </c>
      <c r="Q501" t="n">
        <v>0</v>
      </c>
      <c r="R501" s="2" t="inlineStr"/>
    </row>
    <row r="502" ht="15" customHeight="1">
      <c r="A502" t="inlineStr">
        <is>
          <t>A 5493-2023</t>
        </is>
      </c>
      <c r="B502" s="1" t="n">
        <v>44957</v>
      </c>
      <c r="C502" s="1" t="n">
        <v>45781</v>
      </c>
      <c r="D502" t="inlineStr">
        <is>
          <t>DALARNAS LÄN</t>
        </is>
      </c>
      <c r="E502" t="inlineStr">
        <is>
          <t>MORA</t>
        </is>
      </c>
      <c r="F502" t="inlineStr">
        <is>
          <t>Allmännings- och besparingsskogar</t>
        </is>
      </c>
      <c r="G502" t="n">
        <v>14.9</v>
      </c>
      <c r="H502" t="n">
        <v>0</v>
      </c>
      <c r="I502" t="n">
        <v>0</v>
      </c>
      <c r="J502" t="n">
        <v>0</v>
      </c>
      <c r="K502" t="n">
        <v>0</v>
      </c>
      <c r="L502" t="n">
        <v>0</v>
      </c>
      <c r="M502" t="n">
        <v>0</v>
      </c>
      <c r="N502" t="n">
        <v>0</v>
      </c>
      <c r="O502" t="n">
        <v>0</v>
      </c>
      <c r="P502" t="n">
        <v>0</v>
      </c>
      <c r="Q502" t="n">
        <v>0</v>
      </c>
      <c r="R502" s="2" t="inlineStr"/>
    </row>
    <row r="503" ht="15" customHeight="1">
      <c r="A503" t="inlineStr">
        <is>
          <t>A 5491-2023</t>
        </is>
      </c>
      <c r="B503" s="1" t="n">
        <v>44957</v>
      </c>
      <c r="C503" s="1" t="n">
        <v>45781</v>
      </c>
      <c r="D503" t="inlineStr">
        <is>
          <t>DALARNAS LÄN</t>
        </is>
      </c>
      <c r="E503" t="inlineStr">
        <is>
          <t>MORA</t>
        </is>
      </c>
      <c r="G503" t="n">
        <v>3.5</v>
      </c>
      <c r="H503" t="n">
        <v>0</v>
      </c>
      <c r="I503" t="n">
        <v>0</v>
      </c>
      <c r="J503" t="n">
        <v>0</v>
      </c>
      <c r="K503" t="n">
        <v>0</v>
      </c>
      <c r="L503" t="n">
        <v>0</v>
      </c>
      <c r="M503" t="n">
        <v>0</v>
      </c>
      <c r="N503" t="n">
        <v>0</v>
      </c>
      <c r="O503" t="n">
        <v>0</v>
      </c>
      <c r="P503" t="n">
        <v>0</v>
      </c>
      <c r="Q503" t="n">
        <v>0</v>
      </c>
      <c r="R503" s="2" t="inlineStr"/>
    </row>
    <row r="504" ht="15" customHeight="1">
      <c r="A504" t="inlineStr">
        <is>
          <t>A 5028-2023</t>
        </is>
      </c>
      <c r="B504" s="1" t="n">
        <v>44958</v>
      </c>
      <c r="C504" s="1" t="n">
        <v>45781</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5031-2023</t>
        </is>
      </c>
      <c r="B505" s="1" t="n">
        <v>44958</v>
      </c>
      <c r="C505" s="1" t="n">
        <v>45781</v>
      </c>
      <c r="D505" t="inlineStr">
        <is>
          <t>DALARNAS LÄN</t>
        </is>
      </c>
      <c r="E505" t="inlineStr">
        <is>
          <t>MORA</t>
        </is>
      </c>
      <c r="G505" t="n">
        <v>0.5</v>
      </c>
      <c r="H505" t="n">
        <v>0</v>
      </c>
      <c r="I505" t="n">
        <v>0</v>
      </c>
      <c r="J505" t="n">
        <v>0</v>
      </c>
      <c r="K505" t="n">
        <v>0</v>
      </c>
      <c r="L505" t="n">
        <v>0</v>
      </c>
      <c r="M505" t="n">
        <v>0</v>
      </c>
      <c r="N505" t="n">
        <v>0</v>
      </c>
      <c r="O505" t="n">
        <v>0</v>
      </c>
      <c r="P505" t="n">
        <v>0</v>
      </c>
      <c r="Q505" t="n">
        <v>0</v>
      </c>
      <c r="R505" s="2" t="inlineStr"/>
    </row>
    <row r="506" ht="15" customHeight="1">
      <c r="A506" t="inlineStr">
        <is>
          <t>A 5298-2023</t>
        </is>
      </c>
      <c r="B506" s="1" t="n">
        <v>44959</v>
      </c>
      <c r="C506" s="1" t="n">
        <v>45781</v>
      </c>
      <c r="D506" t="inlineStr">
        <is>
          <t>DALARNAS LÄN</t>
        </is>
      </c>
      <c r="E506" t="inlineStr">
        <is>
          <t>MORA</t>
        </is>
      </c>
      <c r="F506" t="inlineStr">
        <is>
          <t>Bergvik skog väst AB</t>
        </is>
      </c>
      <c r="G506" t="n">
        <v>6.2</v>
      </c>
      <c r="H506" t="n">
        <v>0</v>
      </c>
      <c r="I506" t="n">
        <v>0</v>
      </c>
      <c r="J506" t="n">
        <v>0</v>
      </c>
      <c r="K506" t="n">
        <v>0</v>
      </c>
      <c r="L506" t="n">
        <v>0</v>
      </c>
      <c r="M506" t="n">
        <v>0</v>
      </c>
      <c r="N506" t="n">
        <v>0</v>
      </c>
      <c r="O506" t="n">
        <v>0</v>
      </c>
      <c r="P506" t="n">
        <v>0</v>
      </c>
      <c r="Q506" t="n">
        <v>0</v>
      </c>
      <c r="R506" s="2" t="inlineStr"/>
    </row>
    <row r="507" ht="15" customHeight="1">
      <c r="A507" t="inlineStr">
        <is>
          <t>A 6168-2023</t>
        </is>
      </c>
      <c r="B507" s="1" t="n">
        <v>44964</v>
      </c>
      <c r="C507" s="1" t="n">
        <v>45781</v>
      </c>
      <c r="D507" t="inlineStr">
        <is>
          <t>DALARNAS LÄN</t>
        </is>
      </c>
      <c r="E507" t="inlineStr">
        <is>
          <t>MORA</t>
        </is>
      </c>
      <c r="G507" t="n">
        <v>12.7</v>
      </c>
      <c r="H507" t="n">
        <v>0</v>
      </c>
      <c r="I507" t="n">
        <v>0</v>
      </c>
      <c r="J507" t="n">
        <v>0</v>
      </c>
      <c r="K507" t="n">
        <v>0</v>
      </c>
      <c r="L507" t="n">
        <v>0</v>
      </c>
      <c r="M507" t="n">
        <v>0</v>
      </c>
      <c r="N507" t="n">
        <v>0</v>
      </c>
      <c r="O507" t="n">
        <v>0</v>
      </c>
      <c r="P507" t="n">
        <v>0</v>
      </c>
      <c r="Q507" t="n">
        <v>0</v>
      </c>
      <c r="R507" s="2" t="inlineStr"/>
    </row>
    <row r="508" ht="15" customHeight="1">
      <c r="A508" t="inlineStr">
        <is>
          <t>A 7613-2023</t>
        </is>
      </c>
      <c r="B508" s="1" t="n">
        <v>44967</v>
      </c>
      <c r="C508" s="1" t="n">
        <v>45781</v>
      </c>
      <c r="D508" t="inlineStr">
        <is>
          <t>DALARNAS LÄN</t>
        </is>
      </c>
      <c r="E508" t="inlineStr">
        <is>
          <t>MORA</t>
        </is>
      </c>
      <c r="G508" t="n">
        <v>3.8</v>
      </c>
      <c r="H508" t="n">
        <v>0</v>
      </c>
      <c r="I508" t="n">
        <v>0</v>
      </c>
      <c r="J508" t="n">
        <v>0</v>
      </c>
      <c r="K508" t="n">
        <v>0</v>
      </c>
      <c r="L508" t="n">
        <v>0</v>
      </c>
      <c r="M508" t="n">
        <v>0</v>
      </c>
      <c r="N508" t="n">
        <v>0</v>
      </c>
      <c r="O508" t="n">
        <v>0</v>
      </c>
      <c r="P508" t="n">
        <v>0</v>
      </c>
      <c r="Q508" t="n">
        <v>0</v>
      </c>
      <c r="R508" s="2" t="inlineStr"/>
    </row>
    <row r="509" ht="15" customHeight="1">
      <c r="A509" t="inlineStr">
        <is>
          <t>A 7464-2023</t>
        </is>
      </c>
      <c r="B509" s="1" t="n">
        <v>44971</v>
      </c>
      <c r="C509" s="1" t="n">
        <v>45781</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8785-2023</t>
        </is>
      </c>
      <c r="B510" s="1" t="n">
        <v>44978</v>
      </c>
      <c r="C510" s="1" t="n">
        <v>45781</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9023-2023</t>
        </is>
      </c>
      <c r="B511" s="1" t="n">
        <v>44979</v>
      </c>
      <c r="C511" s="1" t="n">
        <v>45781</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9828-2023</t>
        </is>
      </c>
      <c r="B512" s="1" t="n">
        <v>44984</v>
      </c>
      <c r="C512" s="1" t="n">
        <v>45781</v>
      </c>
      <c r="D512" t="inlineStr">
        <is>
          <t>DALARNAS LÄN</t>
        </is>
      </c>
      <c r="E512" t="inlineStr">
        <is>
          <t>MORA</t>
        </is>
      </c>
      <c r="G512" t="n">
        <v>2.4</v>
      </c>
      <c r="H512" t="n">
        <v>0</v>
      </c>
      <c r="I512" t="n">
        <v>0</v>
      </c>
      <c r="J512" t="n">
        <v>0</v>
      </c>
      <c r="K512" t="n">
        <v>0</v>
      </c>
      <c r="L512" t="n">
        <v>0</v>
      </c>
      <c r="M512" t="n">
        <v>0</v>
      </c>
      <c r="N512" t="n">
        <v>0</v>
      </c>
      <c r="O512" t="n">
        <v>0</v>
      </c>
      <c r="P512" t="n">
        <v>0</v>
      </c>
      <c r="Q512" t="n">
        <v>0</v>
      </c>
      <c r="R512" s="2" t="inlineStr"/>
    </row>
    <row r="513" ht="15" customHeight="1">
      <c r="A513" t="inlineStr">
        <is>
          <t>A 10210-2023</t>
        </is>
      </c>
      <c r="B513" s="1" t="n">
        <v>44986</v>
      </c>
      <c r="C513" s="1" t="n">
        <v>45781</v>
      </c>
      <c r="D513" t="inlineStr">
        <is>
          <t>DALARNAS LÄN</t>
        </is>
      </c>
      <c r="E513" t="inlineStr">
        <is>
          <t>MORA</t>
        </is>
      </c>
      <c r="G513" t="n">
        <v>19.7</v>
      </c>
      <c r="H513" t="n">
        <v>0</v>
      </c>
      <c r="I513" t="n">
        <v>0</v>
      </c>
      <c r="J513" t="n">
        <v>0</v>
      </c>
      <c r="K513" t="n">
        <v>0</v>
      </c>
      <c r="L513" t="n">
        <v>0</v>
      </c>
      <c r="M513" t="n">
        <v>0</v>
      </c>
      <c r="N513" t="n">
        <v>0</v>
      </c>
      <c r="O513" t="n">
        <v>0</v>
      </c>
      <c r="P513" t="n">
        <v>0</v>
      </c>
      <c r="Q513" t="n">
        <v>0</v>
      </c>
      <c r="R513" s="2" t="inlineStr"/>
    </row>
    <row r="514" ht="15" customHeight="1">
      <c r="A514" t="inlineStr">
        <is>
          <t>A 11857-2023</t>
        </is>
      </c>
      <c r="B514" s="1" t="n">
        <v>44995</v>
      </c>
      <c r="C514" s="1" t="n">
        <v>45781</v>
      </c>
      <c r="D514" t="inlineStr">
        <is>
          <t>DALARNAS LÄN</t>
        </is>
      </c>
      <c r="E514" t="inlineStr">
        <is>
          <t>MORA</t>
        </is>
      </c>
      <c r="G514" t="n">
        <v>1</v>
      </c>
      <c r="H514" t="n">
        <v>0</v>
      </c>
      <c r="I514" t="n">
        <v>0</v>
      </c>
      <c r="J514" t="n">
        <v>0</v>
      </c>
      <c r="K514" t="n">
        <v>0</v>
      </c>
      <c r="L514" t="n">
        <v>0</v>
      </c>
      <c r="M514" t="n">
        <v>0</v>
      </c>
      <c r="N514" t="n">
        <v>0</v>
      </c>
      <c r="O514" t="n">
        <v>0</v>
      </c>
      <c r="P514" t="n">
        <v>0</v>
      </c>
      <c r="Q514" t="n">
        <v>0</v>
      </c>
      <c r="R514" s="2" t="inlineStr"/>
    </row>
    <row r="515" ht="15" customHeight="1">
      <c r="A515" t="inlineStr">
        <is>
          <t>A 12675-2023</t>
        </is>
      </c>
      <c r="B515" s="1" t="n">
        <v>45000</v>
      </c>
      <c r="C515" s="1" t="n">
        <v>45781</v>
      </c>
      <c r="D515" t="inlineStr">
        <is>
          <t>DALARNAS LÄN</t>
        </is>
      </c>
      <c r="E515" t="inlineStr">
        <is>
          <t>MORA</t>
        </is>
      </c>
      <c r="G515" t="n">
        <v>1.5</v>
      </c>
      <c r="H515" t="n">
        <v>0</v>
      </c>
      <c r="I515" t="n">
        <v>0</v>
      </c>
      <c r="J515" t="n">
        <v>0</v>
      </c>
      <c r="K515" t="n">
        <v>0</v>
      </c>
      <c r="L515" t="n">
        <v>0</v>
      </c>
      <c r="M515" t="n">
        <v>0</v>
      </c>
      <c r="N515" t="n">
        <v>0</v>
      </c>
      <c r="O515" t="n">
        <v>0</v>
      </c>
      <c r="P515" t="n">
        <v>0</v>
      </c>
      <c r="Q515" t="n">
        <v>0</v>
      </c>
      <c r="R515" s="2" t="inlineStr"/>
    </row>
    <row r="516" ht="15" customHeight="1">
      <c r="A516" t="inlineStr">
        <is>
          <t>A 12790-2023</t>
        </is>
      </c>
      <c r="B516" s="1" t="n">
        <v>45001</v>
      </c>
      <c r="C516" s="1" t="n">
        <v>45781</v>
      </c>
      <c r="D516" t="inlineStr">
        <is>
          <t>DALARNAS LÄN</t>
        </is>
      </c>
      <c r="E516" t="inlineStr">
        <is>
          <t>MORA</t>
        </is>
      </c>
      <c r="G516" t="n">
        <v>12.3</v>
      </c>
      <c r="H516" t="n">
        <v>0</v>
      </c>
      <c r="I516" t="n">
        <v>0</v>
      </c>
      <c r="J516" t="n">
        <v>0</v>
      </c>
      <c r="K516" t="n">
        <v>0</v>
      </c>
      <c r="L516" t="n">
        <v>0</v>
      </c>
      <c r="M516" t="n">
        <v>0</v>
      </c>
      <c r="N516" t="n">
        <v>0</v>
      </c>
      <c r="O516" t="n">
        <v>0</v>
      </c>
      <c r="P516" t="n">
        <v>0</v>
      </c>
      <c r="Q516" t="n">
        <v>0</v>
      </c>
      <c r="R516" s="2" t="inlineStr"/>
    </row>
    <row r="517" ht="15" customHeight="1">
      <c r="A517" t="inlineStr">
        <is>
          <t>A 12828-2023</t>
        </is>
      </c>
      <c r="B517" s="1" t="n">
        <v>45001</v>
      </c>
      <c r="C517" s="1" t="n">
        <v>45781</v>
      </c>
      <c r="D517" t="inlineStr">
        <is>
          <t>DALARNAS LÄN</t>
        </is>
      </c>
      <c r="E517" t="inlineStr">
        <is>
          <t>MORA</t>
        </is>
      </c>
      <c r="F517" t="inlineStr">
        <is>
          <t>Bergvik skog väst AB</t>
        </is>
      </c>
      <c r="G517" t="n">
        <v>5.4</v>
      </c>
      <c r="H517" t="n">
        <v>0</v>
      </c>
      <c r="I517" t="n">
        <v>0</v>
      </c>
      <c r="J517" t="n">
        <v>0</v>
      </c>
      <c r="K517" t="n">
        <v>0</v>
      </c>
      <c r="L517" t="n">
        <v>0</v>
      </c>
      <c r="M517" t="n">
        <v>0</v>
      </c>
      <c r="N517" t="n">
        <v>0</v>
      </c>
      <c r="O517" t="n">
        <v>0</v>
      </c>
      <c r="P517" t="n">
        <v>0</v>
      </c>
      <c r="Q517" t="n">
        <v>0</v>
      </c>
      <c r="R517" s="2" t="inlineStr"/>
    </row>
    <row r="518" ht="15" customHeight="1">
      <c r="A518" t="inlineStr">
        <is>
          <t>A 13177-2023</t>
        </is>
      </c>
      <c r="B518" s="1" t="n">
        <v>45002</v>
      </c>
      <c r="C518" s="1" t="n">
        <v>45781</v>
      </c>
      <c r="D518" t="inlineStr">
        <is>
          <t>DALARNAS LÄN</t>
        </is>
      </c>
      <c r="E518" t="inlineStr">
        <is>
          <t>MORA</t>
        </is>
      </c>
      <c r="G518" t="n">
        <v>17.5</v>
      </c>
      <c r="H518" t="n">
        <v>0</v>
      </c>
      <c r="I518" t="n">
        <v>0</v>
      </c>
      <c r="J518" t="n">
        <v>0</v>
      </c>
      <c r="K518" t="n">
        <v>0</v>
      </c>
      <c r="L518" t="n">
        <v>0</v>
      </c>
      <c r="M518" t="n">
        <v>0</v>
      </c>
      <c r="N518" t="n">
        <v>0</v>
      </c>
      <c r="O518" t="n">
        <v>0</v>
      </c>
      <c r="P518" t="n">
        <v>0</v>
      </c>
      <c r="Q518" t="n">
        <v>0</v>
      </c>
      <c r="R518" s="2" t="inlineStr"/>
    </row>
    <row r="519" ht="15" customHeight="1">
      <c r="A519" t="inlineStr">
        <is>
          <t>A 13717-2023</t>
        </is>
      </c>
      <c r="B519" s="1" t="n">
        <v>45007</v>
      </c>
      <c r="C519" s="1" t="n">
        <v>45781</v>
      </c>
      <c r="D519" t="inlineStr">
        <is>
          <t>DALARNAS LÄN</t>
        </is>
      </c>
      <c r="E519" t="inlineStr">
        <is>
          <t>MORA</t>
        </is>
      </c>
      <c r="G519" t="n">
        <v>5.6</v>
      </c>
      <c r="H519" t="n">
        <v>0</v>
      </c>
      <c r="I519" t="n">
        <v>0</v>
      </c>
      <c r="J519" t="n">
        <v>0</v>
      </c>
      <c r="K519" t="n">
        <v>0</v>
      </c>
      <c r="L519" t="n">
        <v>0</v>
      </c>
      <c r="M519" t="n">
        <v>0</v>
      </c>
      <c r="N519" t="n">
        <v>0</v>
      </c>
      <c r="O519" t="n">
        <v>0</v>
      </c>
      <c r="P519" t="n">
        <v>0</v>
      </c>
      <c r="Q519" t="n">
        <v>0</v>
      </c>
      <c r="R519" s="2" t="inlineStr"/>
      <c r="U519">
        <f>HYPERLINK("https://klasma.github.io/Logging_2062/knärot/A 13717-2023 karta knärot.png", "A 13717-2023")</f>
        <v/>
      </c>
      <c r="V519">
        <f>HYPERLINK("https://klasma.github.io/Logging_2062/klagomål/A 13717-2023 FSC-klagomål.docx", "A 13717-2023")</f>
        <v/>
      </c>
      <c r="W519">
        <f>HYPERLINK("https://klasma.github.io/Logging_2062/klagomålsmail/A 13717-2023 FSC-klagomål mail.docx", "A 13717-2023")</f>
        <v/>
      </c>
      <c r="X519">
        <f>HYPERLINK("https://klasma.github.io/Logging_2062/tillsyn/A 13717-2023 tillsynsbegäran.docx", "A 13717-2023")</f>
        <v/>
      </c>
      <c r="Y519">
        <f>HYPERLINK("https://klasma.github.io/Logging_2062/tillsynsmail/A 13717-2023 tillsynsbegäran mail.docx", "A 13717-2023")</f>
        <v/>
      </c>
    </row>
    <row r="520" ht="15" customHeight="1">
      <c r="A520" t="inlineStr">
        <is>
          <t>A 14040-2023</t>
        </is>
      </c>
      <c r="B520" s="1" t="n">
        <v>45008</v>
      </c>
      <c r="C520" s="1" t="n">
        <v>45781</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14641-2023</t>
        </is>
      </c>
      <c r="B521" s="1" t="n">
        <v>45013</v>
      </c>
      <c r="C521" s="1" t="n">
        <v>45781</v>
      </c>
      <c r="D521" t="inlineStr">
        <is>
          <t>DALARNAS LÄN</t>
        </is>
      </c>
      <c r="E521" t="inlineStr">
        <is>
          <t>MORA</t>
        </is>
      </c>
      <c r="G521" t="n">
        <v>1.5</v>
      </c>
      <c r="H521" t="n">
        <v>0</v>
      </c>
      <c r="I521" t="n">
        <v>0</v>
      </c>
      <c r="J521" t="n">
        <v>0</v>
      </c>
      <c r="K521" t="n">
        <v>0</v>
      </c>
      <c r="L521" t="n">
        <v>0</v>
      </c>
      <c r="M521" t="n">
        <v>0</v>
      </c>
      <c r="N521" t="n">
        <v>0</v>
      </c>
      <c r="O521" t="n">
        <v>0</v>
      </c>
      <c r="P521" t="n">
        <v>0</v>
      </c>
      <c r="Q521" t="n">
        <v>0</v>
      </c>
      <c r="R521" s="2" t="inlineStr"/>
    </row>
    <row r="522" ht="15" customHeight="1">
      <c r="A522" t="inlineStr">
        <is>
          <t>A 14981-2023</t>
        </is>
      </c>
      <c r="B522" s="1" t="n">
        <v>45015</v>
      </c>
      <c r="C522" s="1" t="n">
        <v>45781</v>
      </c>
      <c r="D522" t="inlineStr">
        <is>
          <t>DALARNAS LÄN</t>
        </is>
      </c>
      <c r="E522" t="inlineStr">
        <is>
          <t>MORA</t>
        </is>
      </c>
      <c r="G522" t="n">
        <v>11.7</v>
      </c>
      <c r="H522" t="n">
        <v>0</v>
      </c>
      <c r="I522" t="n">
        <v>0</v>
      </c>
      <c r="J522" t="n">
        <v>0</v>
      </c>
      <c r="K522" t="n">
        <v>0</v>
      </c>
      <c r="L522" t="n">
        <v>0</v>
      </c>
      <c r="M522" t="n">
        <v>0</v>
      </c>
      <c r="N522" t="n">
        <v>0</v>
      </c>
      <c r="O522" t="n">
        <v>0</v>
      </c>
      <c r="P522" t="n">
        <v>0</v>
      </c>
      <c r="Q522" t="n">
        <v>0</v>
      </c>
      <c r="R522" s="2" t="inlineStr"/>
    </row>
    <row r="523" ht="15" customHeight="1">
      <c r="A523" t="inlineStr">
        <is>
          <t>A 15416-2023</t>
        </is>
      </c>
      <c r="B523" s="1" t="n">
        <v>45019</v>
      </c>
      <c r="C523" s="1" t="n">
        <v>45781</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15415-2023</t>
        </is>
      </c>
      <c r="B524" s="1" t="n">
        <v>45019</v>
      </c>
      <c r="C524" s="1" t="n">
        <v>45781</v>
      </c>
      <c r="D524" t="inlineStr">
        <is>
          <t>DALARNAS LÄN</t>
        </is>
      </c>
      <c r="E524" t="inlineStr">
        <is>
          <t>MORA</t>
        </is>
      </c>
      <c r="G524" t="n">
        <v>7.2</v>
      </c>
      <c r="H524" t="n">
        <v>0</v>
      </c>
      <c r="I524" t="n">
        <v>0</v>
      </c>
      <c r="J524" t="n">
        <v>0</v>
      </c>
      <c r="K524" t="n">
        <v>0</v>
      </c>
      <c r="L524" t="n">
        <v>0</v>
      </c>
      <c r="M524" t="n">
        <v>0</v>
      </c>
      <c r="N524" t="n">
        <v>0</v>
      </c>
      <c r="O524" t="n">
        <v>0</v>
      </c>
      <c r="P524" t="n">
        <v>0</v>
      </c>
      <c r="Q524" t="n">
        <v>0</v>
      </c>
      <c r="R524" s="2" t="inlineStr"/>
    </row>
    <row r="525" ht="15" customHeight="1">
      <c r="A525" t="inlineStr">
        <is>
          <t>A 15671-2023</t>
        </is>
      </c>
      <c r="B525" s="1" t="n">
        <v>45021</v>
      </c>
      <c r="C525" s="1" t="n">
        <v>45781</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16407-2023</t>
        </is>
      </c>
      <c r="B526" s="1" t="n">
        <v>45029</v>
      </c>
      <c r="C526" s="1" t="n">
        <v>45781</v>
      </c>
      <c r="D526" t="inlineStr">
        <is>
          <t>DALARNAS LÄN</t>
        </is>
      </c>
      <c r="E526" t="inlineStr">
        <is>
          <t>MORA</t>
        </is>
      </c>
      <c r="G526" t="n">
        <v>0.8</v>
      </c>
      <c r="H526" t="n">
        <v>0</v>
      </c>
      <c r="I526" t="n">
        <v>0</v>
      </c>
      <c r="J526" t="n">
        <v>0</v>
      </c>
      <c r="K526" t="n">
        <v>0</v>
      </c>
      <c r="L526" t="n">
        <v>0</v>
      </c>
      <c r="M526" t="n">
        <v>0</v>
      </c>
      <c r="N526" t="n">
        <v>0</v>
      </c>
      <c r="O526" t="n">
        <v>0</v>
      </c>
      <c r="P526" t="n">
        <v>0</v>
      </c>
      <c r="Q526" t="n">
        <v>0</v>
      </c>
      <c r="R526" s="2" t="inlineStr"/>
    </row>
    <row r="527" ht="15" customHeight="1">
      <c r="A527" t="inlineStr">
        <is>
          <t>A 16852-2023</t>
        </is>
      </c>
      <c r="B527" s="1" t="n">
        <v>45033</v>
      </c>
      <c r="C527" s="1" t="n">
        <v>45781</v>
      </c>
      <c r="D527" t="inlineStr">
        <is>
          <t>DALARNAS LÄN</t>
        </is>
      </c>
      <c r="E527" t="inlineStr">
        <is>
          <t>MORA</t>
        </is>
      </c>
      <c r="G527" t="n">
        <v>2</v>
      </c>
      <c r="H527" t="n">
        <v>0</v>
      </c>
      <c r="I527" t="n">
        <v>0</v>
      </c>
      <c r="J527" t="n">
        <v>0</v>
      </c>
      <c r="K527" t="n">
        <v>0</v>
      </c>
      <c r="L527" t="n">
        <v>0</v>
      </c>
      <c r="M527" t="n">
        <v>0</v>
      </c>
      <c r="N527" t="n">
        <v>0</v>
      </c>
      <c r="O527" t="n">
        <v>0</v>
      </c>
      <c r="P527" t="n">
        <v>0</v>
      </c>
      <c r="Q527" t="n">
        <v>0</v>
      </c>
      <c r="R527" s="2" t="inlineStr"/>
    </row>
    <row r="528" ht="15" customHeight="1">
      <c r="A528" t="inlineStr">
        <is>
          <t>A 17529-2023</t>
        </is>
      </c>
      <c r="B528" s="1" t="n">
        <v>45036</v>
      </c>
      <c r="C528" s="1" t="n">
        <v>45781</v>
      </c>
      <c r="D528" t="inlineStr">
        <is>
          <t>DALARNAS LÄN</t>
        </is>
      </c>
      <c r="E528" t="inlineStr">
        <is>
          <t>MORA</t>
        </is>
      </c>
      <c r="G528" t="n">
        <v>6</v>
      </c>
      <c r="H528" t="n">
        <v>0</v>
      </c>
      <c r="I528" t="n">
        <v>0</v>
      </c>
      <c r="J528" t="n">
        <v>0</v>
      </c>
      <c r="K528" t="n">
        <v>0</v>
      </c>
      <c r="L528" t="n">
        <v>0</v>
      </c>
      <c r="M528" t="n">
        <v>0</v>
      </c>
      <c r="N528" t="n">
        <v>0</v>
      </c>
      <c r="O528" t="n">
        <v>0</v>
      </c>
      <c r="P528" t="n">
        <v>0</v>
      </c>
      <c r="Q528" t="n">
        <v>0</v>
      </c>
      <c r="R528" s="2" t="inlineStr"/>
    </row>
    <row r="529" ht="15" customHeight="1">
      <c r="A529" t="inlineStr">
        <is>
          <t>A 18433-2023</t>
        </is>
      </c>
      <c r="B529" s="1" t="n">
        <v>45042</v>
      </c>
      <c r="C529" s="1" t="n">
        <v>45781</v>
      </c>
      <c r="D529" t="inlineStr">
        <is>
          <t>DALARNAS LÄN</t>
        </is>
      </c>
      <c r="E529" t="inlineStr">
        <is>
          <t>MORA</t>
        </is>
      </c>
      <c r="G529" t="n">
        <v>2.4</v>
      </c>
      <c r="H529" t="n">
        <v>0</v>
      </c>
      <c r="I529" t="n">
        <v>0</v>
      </c>
      <c r="J529" t="n">
        <v>0</v>
      </c>
      <c r="K529" t="n">
        <v>0</v>
      </c>
      <c r="L529" t="n">
        <v>0</v>
      </c>
      <c r="M529" t="n">
        <v>0</v>
      </c>
      <c r="N529" t="n">
        <v>0</v>
      </c>
      <c r="O529" t="n">
        <v>0</v>
      </c>
      <c r="P529" t="n">
        <v>0</v>
      </c>
      <c r="Q529" t="n">
        <v>0</v>
      </c>
      <c r="R529" s="2" t="inlineStr"/>
    </row>
    <row r="530" ht="15" customHeight="1">
      <c r="A530" t="inlineStr">
        <is>
          <t>A 18725-2023</t>
        </is>
      </c>
      <c r="B530" s="1" t="n">
        <v>45043</v>
      </c>
      <c r="C530" s="1" t="n">
        <v>45781</v>
      </c>
      <c r="D530" t="inlineStr">
        <is>
          <t>DALARNAS LÄN</t>
        </is>
      </c>
      <c r="E530" t="inlineStr">
        <is>
          <t>MORA</t>
        </is>
      </c>
      <c r="G530" t="n">
        <v>14.3</v>
      </c>
      <c r="H530" t="n">
        <v>0</v>
      </c>
      <c r="I530" t="n">
        <v>0</v>
      </c>
      <c r="J530" t="n">
        <v>0</v>
      </c>
      <c r="K530" t="n">
        <v>0</v>
      </c>
      <c r="L530" t="n">
        <v>0</v>
      </c>
      <c r="M530" t="n">
        <v>0</v>
      </c>
      <c r="N530" t="n">
        <v>0</v>
      </c>
      <c r="O530" t="n">
        <v>0</v>
      </c>
      <c r="P530" t="n">
        <v>0</v>
      </c>
      <c r="Q530" t="n">
        <v>0</v>
      </c>
      <c r="R530" s="2" t="inlineStr"/>
    </row>
    <row r="531" ht="15" customHeight="1">
      <c r="A531" t="inlineStr">
        <is>
          <t>A 19191-2023</t>
        </is>
      </c>
      <c r="B531" s="1" t="n">
        <v>45044</v>
      </c>
      <c r="C531" s="1" t="n">
        <v>45781</v>
      </c>
      <c r="D531" t="inlineStr">
        <is>
          <t>DALARNAS LÄN</t>
        </is>
      </c>
      <c r="E531" t="inlineStr">
        <is>
          <t>MORA</t>
        </is>
      </c>
      <c r="G531" t="n">
        <v>12.5</v>
      </c>
      <c r="H531" t="n">
        <v>0</v>
      </c>
      <c r="I531" t="n">
        <v>0</v>
      </c>
      <c r="J531" t="n">
        <v>0</v>
      </c>
      <c r="K531" t="n">
        <v>0</v>
      </c>
      <c r="L531" t="n">
        <v>0</v>
      </c>
      <c r="M531" t="n">
        <v>0</v>
      </c>
      <c r="N531" t="n">
        <v>0</v>
      </c>
      <c r="O531" t="n">
        <v>0</v>
      </c>
      <c r="P531" t="n">
        <v>0</v>
      </c>
      <c r="Q531" t="n">
        <v>0</v>
      </c>
      <c r="R531" s="2" t="inlineStr"/>
    </row>
    <row r="532" ht="15" customHeight="1">
      <c r="A532" t="inlineStr">
        <is>
          <t>A 19202-2023</t>
        </is>
      </c>
      <c r="B532" s="1" t="n">
        <v>45044</v>
      </c>
      <c r="C532" s="1" t="n">
        <v>45781</v>
      </c>
      <c r="D532" t="inlineStr">
        <is>
          <t>DALARNAS LÄN</t>
        </is>
      </c>
      <c r="E532" t="inlineStr">
        <is>
          <t>MORA</t>
        </is>
      </c>
      <c r="G532" t="n">
        <v>28.5</v>
      </c>
      <c r="H532" t="n">
        <v>0</v>
      </c>
      <c r="I532" t="n">
        <v>0</v>
      </c>
      <c r="J532" t="n">
        <v>0</v>
      </c>
      <c r="K532" t="n">
        <v>0</v>
      </c>
      <c r="L532" t="n">
        <v>0</v>
      </c>
      <c r="M532" t="n">
        <v>0</v>
      </c>
      <c r="N532" t="n">
        <v>0</v>
      </c>
      <c r="O532" t="n">
        <v>0</v>
      </c>
      <c r="P532" t="n">
        <v>0</v>
      </c>
      <c r="Q532" t="n">
        <v>0</v>
      </c>
      <c r="R532" s="2" t="inlineStr"/>
    </row>
    <row r="533" ht="15" customHeight="1">
      <c r="A533" t="inlineStr">
        <is>
          <t>A 19286-2023</t>
        </is>
      </c>
      <c r="B533" s="1" t="n">
        <v>45049</v>
      </c>
      <c r="C533" s="1" t="n">
        <v>45781</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20297-2023</t>
        </is>
      </c>
      <c r="B534" s="1" t="n">
        <v>45056</v>
      </c>
      <c r="C534" s="1" t="n">
        <v>45781</v>
      </c>
      <c r="D534" t="inlineStr">
        <is>
          <t>DALARNAS LÄN</t>
        </is>
      </c>
      <c r="E534" t="inlineStr">
        <is>
          <t>MORA</t>
        </is>
      </c>
      <c r="G534" t="n">
        <v>0.9</v>
      </c>
      <c r="H534" t="n">
        <v>0</v>
      </c>
      <c r="I534" t="n">
        <v>0</v>
      </c>
      <c r="J534" t="n">
        <v>0</v>
      </c>
      <c r="K534" t="n">
        <v>0</v>
      </c>
      <c r="L534" t="n">
        <v>0</v>
      </c>
      <c r="M534" t="n">
        <v>0</v>
      </c>
      <c r="N534" t="n">
        <v>0</v>
      </c>
      <c r="O534" t="n">
        <v>0</v>
      </c>
      <c r="P534" t="n">
        <v>0</v>
      </c>
      <c r="Q534" t="n">
        <v>0</v>
      </c>
      <c r="R534" s="2" t="inlineStr"/>
    </row>
    <row r="535" ht="15" customHeight="1">
      <c r="A535" t="inlineStr">
        <is>
          <t>A 20299-2023</t>
        </is>
      </c>
      <c r="B535" s="1" t="n">
        <v>45056</v>
      </c>
      <c r="C535" s="1" t="n">
        <v>45781</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20300-2023</t>
        </is>
      </c>
      <c r="B536" s="1" t="n">
        <v>45056</v>
      </c>
      <c r="C536" s="1" t="n">
        <v>45781</v>
      </c>
      <c r="D536" t="inlineStr">
        <is>
          <t>DALARNAS LÄN</t>
        </is>
      </c>
      <c r="E536" t="inlineStr">
        <is>
          <t>MORA</t>
        </is>
      </c>
      <c r="G536" t="n">
        <v>14</v>
      </c>
      <c r="H536" t="n">
        <v>0</v>
      </c>
      <c r="I536" t="n">
        <v>0</v>
      </c>
      <c r="J536" t="n">
        <v>0</v>
      </c>
      <c r="K536" t="n">
        <v>0</v>
      </c>
      <c r="L536" t="n">
        <v>0</v>
      </c>
      <c r="M536" t="n">
        <v>0</v>
      </c>
      <c r="N536" t="n">
        <v>0</v>
      </c>
      <c r="O536" t="n">
        <v>0</v>
      </c>
      <c r="P536" t="n">
        <v>0</v>
      </c>
      <c r="Q536" t="n">
        <v>0</v>
      </c>
      <c r="R536" s="2" t="inlineStr"/>
    </row>
    <row r="537" ht="15" customHeight="1">
      <c r="A537" t="inlineStr">
        <is>
          <t>A 20504-2023</t>
        </is>
      </c>
      <c r="B537" s="1" t="n">
        <v>45057</v>
      </c>
      <c r="C537" s="1" t="n">
        <v>45781</v>
      </c>
      <c r="D537" t="inlineStr">
        <is>
          <t>DALARNAS LÄN</t>
        </is>
      </c>
      <c r="E537" t="inlineStr">
        <is>
          <t>MORA</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20563-2023</t>
        </is>
      </c>
      <c r="B538" s="1" t="n">
        <v>45057</v>
      </c>
      <c r="C538" s="1" t="n">
        <v>45781</v>
      </c>
      <c r="D538" t="inlineStr">
        <is>
          <t>DALARNAS LÄN</t>
        </is>
      </c>
      <c r="E538" t="inlineStr">
        <is>
          <t>MORA</t>
        </is>
      </c>
      <c r="F538" t="inlineStr">
        <is>
          <t>Bergvik skog öst AB</t>
        </is>
      </c>
      <c r="G538" t="n">
        <v>23.2</v>
      </c>
      <c r="H538" t="n">
        <v>0</v>
      </c>
      <c r="I538" t="n">
        <v>0</v>
      </c>
      <c r="J538" t="n">
        <v>0</v>
      </c>
      <c r="K538" t="n">
        <v>0</v>
      </c>
      <c r="L538" t="n">
        <v>0</v>
      </c>
      <c r="M538" t="n">
        <v>0</v>
      </c>
      <c r="N538" t="n">
        <v>0</v>
      </c>
      <c r="O538" t="n">
        <v>0</v>
      </c>
      <c r="P538" t="n">
        <v>0</v>
      </c>
      <c r="Q538" t="n">
        <v>0</v>
      </c>
      <c r="R538" s="2" t="inlineStr"/>
    </row>
    <row r="539" ht="15" customHeight="1">
      <c r="A539" t="inlineStr">
        <is>
          <t>A 21034-2023</t>
        </is>
      </c>
      <c r="B539" s="1" t="n">
        <v>45061</v>
      </c>
      <c r="C539" s="1" t="n">
        <v>45781</v>
      </c>
      <c r="D539" t="inlineStr">
        <is>
          <t>DALARNAS LÄN</t>
        </is>
      </c>
      <c r="E539" t="inlineStr">
        <is>
          <t>MORA</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21055-2023</t>
        </is>
      </c>
      <c r="B540" s="1" t="n">
        <v>45061</v>
      </c>
      <c r="C540" s="1" t="n">
        <v>45781</v>
      </c>
      <c r="D540" t="inlineStr">
        <is>
          <t>DALARNAS LÄN</t>
        </is>
      </c>
      <c r="E540" t="inlineStr">
        <is>
          <t>MORA</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21027-2023</t>
        </is>
      </c>
      <c r="B541" s="1" t="n">
        <v>45061</v>
      </c>
      <c r="C541" s="1" t="n">
        <v>45781</v>
      </c>
      <c r="D541" t="inlineStr">
        <is>
          <t>DALARNAS LÄN</t>
        </is>
      </c>
      <c r="E541" t="inlineStr">
        <is>
          <t>MORA</t>
        </is>
      </c>
      <c r="F541" t="inlineStr">
        <is>
          <t>Bergvik skog öst AB</t>
        </is>
      </c>
      <c r="G541" t="n">
        <v>5.1</v>
      </c>
      <c r="H541" t="n">
        <v>0</v>
      </c>
      <c r="I541" t="n">
        <v>0</v>
      </c>
      <c r="J541" t="n">
        <v>0</v>
      </c>
      <c r="K541" t="n">
        <v>0</v>
      </c>
      <c r="L541" t="n">
        <v>0</v>
      </c>
      <c r="M541" t="n">
        <v>0</v>
      </c>
      <c r="N541" t="n">
        <v>0</v>
      </c>
      <c r="O541" t="n">
        <v>0</v>
      </c>
      <c r="P541" t="n">
        <v>0</v>
      </c>
      <c r="Q541" t="n">
        <v>0</v>
      </c>
      <c r="R541" s="2" t="inlineStr"/>
    </row>
    <row r="542" ht="15" customHeight="1">
      <c r="A542" t="inlineStr">
        <is>
          <t>A 21410-2023</t>
        </is>
      </c>
      <c r="B542" s="1" t="n">
        <v>45063</v>
      </c>
      <c r="C542" s="1" t="n">
        <v>45781</v>
      </c>
      <c r="D542" t="inlineStr">
        <is>
          <t>DALARNAS LÄN</t>
        </is>
      </c>
      <c r="E542" t="inlineStr">
        <is>
          <t>MORA</t>
        </is>
      </c>
      <c r="G542" t="n">
        <v>7</v>
      </c>
      <c r="H542" t="n">
        <v>0</v>
      </c>
      <c r="I542" t="n">
        <v>0</v>
      </c>
      <c r="J542" t="n">
        <v>0</v>
      </c>
      <c r="K542" t="n">
        <v>0</v>
      </c>
      <c r="L542" t="n">
        <v>0</v>
      </c>
      <c r="M542" t="n">
        <v>0</v>
      </c>
      <c r="N542" t="n">
        <v>0</v>
      </c>
      <c r="O542" t="n">
        <v>0</v>
      </c>
      <c r="P542" t="n">
        <v>0</v>
      </c>
      <c r="Q542" t="n">
        <v>0</v>
      </c>
      <c r="R542" s="2" t="inlineStr"/>
    </row>
    <row r="543" ht="15" customHeight="1">
      <c r="A543" t="inlineStr">
        <is>
          <t>A 21898-2023</t>
        </is>
      </c>
      <c r="B543" s="1" t="n">
        <v>45068</v>
      </c>
      <c r="C543" s="1" t="n">
        <v>45781</v>
      </c>
      <c r="D543" t="inlineStr">
        <is>
          <t>DALARNAS LÄN</t>
        </is>
      </c>
      <c r="E543" t="inlineStr">
        <is>
          <t>MORA</t>
        </is>
      </c>
      <c r="G543" t="n">
        <v>2.7</v>
      </c>
      <c r="H543" t="n">
        <v>0</v>
      </c>
      <c r="I543" t="n">
        <v>0</v>
      </c>
      <c r="J543" t="n">
        <v>0</v>
      </c>
      <c r="K543" t="n">
        <v>0</v>
      </c>
      <c r="L543" t="n">
        <v>0</v>
      </c>
      <c r="M543" t="n">
        <v>0</v>
      </c>
      <c r="N543" t="n">
        <v>0</v>
      </c>
      <c r="O543" t="n">
        <v>0</v>
      </c>
      <c r="P543" t="n">
        <v>0</v>
      </c>
      <c r="Q543" t="n">
        <v>0</v>
      </c>
      <c r="R543" s="2" t="inlineStr"/>
    </row>
    <row r="544" ht="15" customHeight="1">
      <c r="A544" t="inlineStr">
        <is>
          <t>A 21834-2023</t>
        </is>
      </c>
      <c r="B544" s="1" t="n">
        <v>45068</v>
      </c>
      <c r="C544" s="1" t="n">
        <v>45781</v>
      </c>
      <c r="D544" t="inlineStr">
        <is>
          <t>DALARNAS LÄN</t>
        </is>
      </c>
      <c r="E544" t="inlineStr">
        <is>
          <t>MORA</t>
        </is>
      </c>
      <c r="G544" t="n">
        <v>3.2</v>
      </c>
      <c r="H544" t="n">
        <v>0</v>
      </c>
      <c r="I544" t="n">
        <v>0</v>
      </c>
      <c r="J544" t="n">
        <v>0</v>
      </c>
      <c r="K544" t="n">
        <v>0</v>
      </c>
      <c r="L544" t="n">
        <v>0</v>
      </c>
      <c r="M544" t="n">
        <v>0</v>
      </c>
      <c r="N544" t="n">
        <v>0</v>
      </c>
      <c r="O544" t="n">
        <v>0</v>
      </c>
      <c r="P544" t="n">
        <v>0</v>
      </c>
      <c r="Q544" t="n">
        <v>0</v>
      </c>
      <c r="R544" s="2" t="inlineStr"/>
    </row>
    <row r="545" ht="15" customHeight="1">
      <c r="A545" t="inlineStr">
        <is>
          <t>A 21896-2023</t>
        </is>
      </c>
      <c r="B545" s="1" t="n">
        <v>45068</v>
      </c>
      <c r="C545" s="1" t="n">
        <v>45781</v>
      </c>
      <c r="D545" t="inlineStr">
        <is>
          <t>DALARNAS LÄN</t>
        </is>
      </c>
      <c r="E545" t="inlineStr">
        <is>
          <t>MORA</t>
        </is>
      </c>
      <c r="G545" t="n">
        <v>0.9</v>
      </c>
      <c r="H545" t="n">
        <v>0</v>
      </c>
      <c r="I545" t="n">
        <v>0</v>
      </c>
      <c r="J545" t="n">
        <v>0</v>
      </c>
      <c r="K545" t="n">
        <v>0</v>
      </c>
      <c r="L545" t="n">
        <v>0</v>
      </c>
      <c r="M545" t="n">
        <v>0</v>
      </c>
      <c r="N545" t="n">
        <v>0</v>
      </c>
      <c r="O545" t="n">
        <v>0</v>
      </c>
      <c r="P545" t="n">
        <v>0</v>
      </c>
      <c r="Q545" t="n">
        <v>0</v>
      </c>
      <c r="R545" s="2" t="inlineStr"/>
    </row>
    <row r="546" ht="15" customHeight="1">
      <c r="A546" t="inlineStr">
        <is>
          <t>A 22449-2023</t>
        </is>
      </c>
      <c r="B546" s="1" t="n">
        <v>45070</v>
      </c>
      <c r="C546" s="1" t="n">
        <v>45781</v>
      </c>
      <c r="D546" t="inlineStr">
        <is>
          <t>DALARNAS LÄN</t>
        </is>
      </c>
      <c r="E546" t="inlineStr">
        <is>
          <t>MORA</t>
        </is>
      </c>
      <c r="F546" t="inlineStr">
        <is>
          <t>Kommuner</t>
        </is>
      </c>
      <c r="G546" t="n">
        <v>0.7</v>
      </c>
      <c r="H546" t="n">
        <v>0</v>
      </c>
      <c r="I546" t="n">
        <v>0</v>
      </c>
      <c r="J546" t="n">
        <v>0</v>
      </c>
      <c r="K546" t="n">
        <v>0</v>
      </c>
      <c r="L546" t="n">
        <v>0</v>
      </c>
      <c r="M546" t="n">
        <v>0</v>
      </c>
      <c r="N546" t="n">
        <v>0</v>
      </c>
      <c r="O546" t="n">
        <v>0</v>
      </c>
      <c r="P546" t="n">
        <v>0</v>
      </c>
      <c r="Q546" t="n">
        <v>0</v>
      </c>
      <c r="R546" s="2" t="inlineStr"/>
    </row>
    <row r="547" ht="15" customHeight="1">
      <c r="A547" t="inlineStr">
        <is>
          <t>A 22492-2023</t>
        </is>
      </c>
      <c r="B547" s="1" t="n">
        <v>45071</v>
      </c>
      <c r="C547" s="1" t="n">
        <v>45781</v>
      </c>
      <c r="D547" t="inlineStr">
        <is>
          <t>DALARNAS LÄN</t>
        </is>
      </c>
      <c r="E547" t="inlineStr">
        <is>
          <t>MORA</t>
        </is>
      </c>
      <c r="G547" t="n">
        <v>5.8</v>
      </c>
      <c r="H547" t="n">
        <v>0</v>
      </c>
      <c r="I547" t="n">
        <v>0</v>
      </c>
      <c r="J547" t="n">
        <v>0</v>
      </c>
      <c r="K547" t="n">
        <v>0</v>
      </c>
      <c r="L547" t="n">
        <v>0</v>
      </c>
      <c r="M547" t="n">
        <v>0</v>
      </c>
      <c r="N547" t="n">
        <v>0</v>
      </c>
      <c r="O547" t="n">
        <v>0</v>
      </c>
      <c r="P547" t="n">
        <v>0</v>
      </c>
      <c r="Q547" t="n">
        <v>0</v>
      </c>
      <c r="R547" s="2" t="inlineStr"/>
    </row>
    <row r="548" ht="15" customHeight="1">
      <c r="A548" t="inlineStr">
        <is>
          <t>A 22785-2023</t>
        </is>
      </c>
      <c r="B548" s="1" t="n">
        <v>45072</v>
      </c>
      <c r="C548" s="1" t="n">
        <v>45781</v>
      </c>
      <c r="D548" t="inlineStr">
        <is>
          <t>DALARNAS LÄN</t>
        </is>
      </c>
      <c r="E548" t="inlineStr">
        <is>
          <t>MORA</t>
        </is>
      </c>
      <c r="G548" t="n">
        <v>0.7</v>
      </c>
      <c r="H548" t="n">
        <v>0</v>
      </c>
      <c r="I548" t="n">
        <v>0</v>
      </c>
      <c r="J548" t="n">
        <v>0</v>
      </c>
      <c r="K548" t="n">
        <v>0</v>
      </c>
      <c r="L548" t="n">
        <v>0</v>
      </c>
      <c r="M548" t="n">
        <v>0</v>
      </c>
      <c r="N548" t="n">
        <v>0</v>
      </c>
      <c r="O548" t="n">
        <v>0</v>
      </c>
      <c r="P548" t="n">
        <v>0</v>
      </c>
      <c r="Q548" t="n">
        <v>0</v>
      </c>
      <c r="R548" s="2" t="inlineStr"/>
    </row>
    <row r="549" ht="15" customHeight="1">
      <c r="A549" t="inlineStr">
        <is>
          <t>A 22841-2023</t>
        </is>
      </c>
      <c r="B549" s="1" t="n">
        <v>45072</v>
      </c>
      <c r="C549" s="1" t="n">
        <v>45781</v>
      </c>
      <c r="D549" t="inlineStr">
        <is>
          <t>DALARNAS LÄN</t>
        </is>
      </c>
      <c r="E549" t="inlineStr">
        <is>
          <t>MORA</t>
        </is>
      </c>
      <c r="G549" t="n">
        <v>4</v>
      </c>
      <c r="H549" t="n">
        <v>0</v>
      </c>
      <c r="I549" t="n">
        <v>0</v>
      </c>
      <c r="J549" t="n">
        <v>0</v>
      </c>
      <c r="K549" t="n">
        <v>0</v>
      </c>
      <c r="L549" t="n">
        <v>0</v>
      </c>
      <c r="M549" t="n">
        <v>0</v>
      </c>
      <c r="N549" t="n">
        <v>0</v>
      </c>
      <c r="O549" t="n">
        <v>0</v>
      </c>
      <c r="P549" t="n">
        <v>0</v>
      </c>
      <c r="Q549" t="n">
        <v>0</v>
      </c>
      <c r="R549" s="2" t="inlineStr"/>
    </row>
    <row r="550" ht="15" customHeight="1">
      <c r="A550" t="inlineStr">
        <is>
          <t>A 22881-2023</t>
        </is>
      </c>
      <c r="B550" s="1" t="n">
        <v>45072</v>
      </c>
      <c r="C550" s="1" t="n">
        <v>45781</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22888-2023</t>
        </is>
      </c>
      <c r="B551" s="1" t="n">
        <v>45072</v>
      </c>
      <c r="C551" s="1" t="n">
        <v>45781</v>
      </c>
      <c r="D551" t="inlineStr">
        <is>
          <t>DALARNAS LÄN</t>
        </is>
      </c>
      <c r="E551" t="inlineStr">
        <is>
          <t>MORA</t>
        </is>
      </c>
      <c r="G551" t="n">
        <v>3.5</v>
      </c>
      <c r="H551" t="n">
        <v>0</v>
      </c>
      <c r="I551" t="n">
        <v>0</v>
      </c>
      <c r="J551" t="n">
        <v>0</v>
      </c>
      <c r="K551" t="n">
        <v>0</v>
      </c>
      <c r="L551" t="n">
        <v>0</v>
      </c>
      <c r="M551" t="n">
        <v>0</v>
      </c>
      <c r="N551" t="n">
        <v>0</v>
      </c>
      <c r="O551" t="n">
        <v>0</v>
      </c>
      <c r="P551" t="n">
        <v>0</v>
      </c>
      <c r="Q551" t="n">
        <v>0</v>
      </c>
      <c r="R551" s="2" t="inlineStr"/>
    </row>
    <row r="552" ht="15" customHeight="1">
      <c r="A552" t="inlineStr">
        <is>
          <t>A 22854-2023</t>
        </is>
      </c>
      <c r="B552" s="1" t="n">
        <v>45072</v>
      </c>
      <c r="C552" s="1" t="n">
        <v>45781</v>
      </c>
      <c r="D552" t="inlineStr">
        <is>
          <t>DALARNAS LÄN</t>
        </is>
      </c>
      <c r="E552" t="inlineStr">
        <is>
          <t>MORA</t>
        </is>
      </c>
      <c r="G552" t="n">
        <v>3.3</v>
      </c>
      <c r="H552" t="n">
        <v>0</v>
      </c>
      <c r="I552" t="n">
        <v>0</v>
      </c>
      <c r="J552" t="n">
        <v>0</v>
      </c>
      <c r="K552" t="n">
        <v>0</v>
      </c>
      <c r="L552" t="n">
        <v>0</v>
      </c>
      <c r="M552" t="n">
        <v>0</v>
      </c>
      <c r="N552" t="n">
        <v>0</v>
      </c>
      <c r="O552" t="n">
        <v>0</v>
      </c>
      <c r="P552" t="n">
        <v>0</v>
      </c>
      <c r="Q552" t="n">
        <v>0</v>
      </c>
      <c r="R552" s="2" t="inlineStr"/>
    </row>
    <row r="553" ht="15" customHeight="1">
      <c r="A553" t="inlineStr">
        <is>
          <t>A 22887-2023</t>
        </is>
      </c>
      <c r="B553" s="1" t="n">
        <v>45072</v>
      </c>
      <c r="C553" s="1" t="n">
        <v>45781</v>
      </c>
      <c r="D553" t="inlineStr">
        <is>
          <t>DALARNAS LÄN</t>
        </is>
      </c>
      <c r="E553" t="inlineStr">
        <is>
          <t>MORA</t>
        </is>
      </c>
      <c r="G553" t="n">
        <v>3.6</v>
      </c>
      <c r="H553" t="n">
        <v>0</v>
      </c>
      <c r="I553" t="n">
        <v>0</v>
      </c>
      <c r="J553" t="n">
        <v>0</v>
      </c>
      <c r="K553" t="n">
        <v>0</v>
      </c>
      <c r="L553" t="n">
        <v>0</v>
      </c>
      <c r="M553" t="n">
        <v>0</v>
      </c>
      <c r="N553" t="n">
        <v>0</v>
      </c>
      <c r="O553" t="n">
        <v>0</v>
      </c>
      <c r="P553" t="n">
        <v>0</v>
      </c>
      <c r="Q553" t="n">
        <v>0</v>
      </c>
      <c r="R553" s="2" t="inlineStr"/>
    </row>
    <row r="554" ht="15" customHeight="1">
      <c r="A554" t="inlineStr">
        <is>
          <t>A 23113-2023</t>
        </is>
      </c>
      <c r="B554" s="1" t="n">
        <v>45075</v>
      </c>
      <c r="C554" s="1" t="n">
        <v>45781</v>
      </c>
      <c r="D554" t="inlineStr">
        <is>
          <t>DALARNAS LÄN</t>
        </is>
      </c>
      <c r="E554" t="inlineStr">
        <is>
          <t>MORA</t>
        </is>
      </c>
      <c r="G554" t="n">
        <v>18.3</v>
      </c>
      <c r="H554" t="n">
        <v>0</v>
      </c>
      <c r="I554" t="n">
        <v>0</v>
      </c>
      <c r="J554" t="n">
        <v>0</v>
      </c>
      <c r="K554" t="n">
        <v>0</v>
      </c>
      <c r="L554" t="n">
        <v>0</v>
      </c>
      <c r="M554" t="n">
        <v>0</v>
      </c>
      <c r="N554" t="n">
        <v>0</v>
      </c>
      <c r="O554" t="n">
        <v>0</v>
      </c>
      <c r="P554" t="n">
        <v>0</v>
      </c>
      <c r="Q554" t="n">
        <v>0</v>
      </c>
      <c r="R554" s="2" t="inlineStr"/>
    </row>
    <row r="555" ht="15" customHeight="1">
      <c r="A555" t="inlineStr">
        <is>
          <t>A 23192-2023</t>
        </is>
      </c>
      <c r="B555" s="1" t="n">
        <v>45075</v>
      </c>
      <c r="C555" s="1" t="n">
        <v>45781</v>
      </c>
      <c r="D555" t="inlineStr">
        <is>
          <t>DALARNAS LÄN</t>
        </is>
      </c>
      <c r="E555" t="inlineStr">
        <is>
          <t>MORA</t>
        </is>
      </c>
      <c r="G555" t="n">
        <v>12.3</v>
      </c>
      <c r="H555" t="n">
        <v>0</v>
      </c>
      <c r="I555" t="n">
        <v>0</v>
      </c>
      <c r="J555" t="n">
        <v>0</v>
      </c>
      <c r="K555" t="n">
        <v>0</v>
      </c>
      <c r="L555" t="n">
        <v>0</v>
      </c>
      <c r="M555" t="n">
        <v>0</v>
      </c>
      <c r="N555" t="n">
        <v>0</v>
      </c>
      <c r="O555" t="n">
        <v>0</v>
      </c>
      <c r="P555" t="n">
        <v>0</v>
      </c>
      <c r="Q555" t="n">
        <v>0</v>
      </c>
      <c r="R555" s="2" t="inlineStr"/>
    </row>
    <row r="556" ht="15" customHeight="1">
      <c r="A556" t="inlineStr">
        <is>
          <t>A 23194-2023</t>
        </is>
      </c>
      <c r="B556" s="1" t="n">
        <v>45075</v>
      </c>
      <c r="C556" s="1" t="n">
        <v>45781</v>
      </c>
      <c r="D556" t="inlineStr">
        <is>
          <t>DALARNAS LÄN</t>
        </is>
      </c>
      <c r="E556" t="inlineStr">
        <is>
          <t>MORA</t>
        </is>
      </c>
      <c r="G556" t="n">
        <v>2.3</v>
      </c>
      <c r="H556" t="n">
        <v>0</v>
      </c>
      <c r="I556" t="n">
        <v>0</v>
      </c>
      <c r="J556" t="n">
        <v>0</v>
      </c>
      <c r="K556" t="n">
        <v>0</v>
      </c>
      <c r="L556" t="n">
        <v>0</v>
      </c>
      <c r="M556" t="n">
        <v>0</v>
      </c>
      <c r="N556" t="n">
        <v>0</v>
      </c>
      <c r="O556" t="n">
        <v>0</v>
      </c>
      <c r="P556" t="n">
        <v>0</v>
      </c>
      <c r="Q556" t="n">
        <v>0</v>
      </c>
      <c r="R556" s="2" t="inlineStr"/>
    </row>
    <row r="557" ht="15" customHeight="1">
      <c r="A557" t="inlineStr">
        <is>
          <t>A 23586-2023</t>
        </is>
      </c>
      <c r="B557" s="1" t="n">
        <v>45077</v>
      </c>
      <c r="C557" s="1" t="n">
        <v>45781</v>
      </c>
      <c r="D557" t="inlineStr">
        <is>
          <t>DALARNAS LÄN</t>
        </is>
      </c>
      <c r="E557" t="inlineStr">
        <is>
          <t>MORA</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23737-2023</t>
        </is>
      </c>
      <c r="B558" s="1" t="n">
        <v>45077</v>
      </c>
      <c r="C558" s="1" t="n">
        <v>45781</v>
      </c>
      <c r="D558" t="inlineStr">
        <is>
          <t>DALARNAS LÄN</t>
        </is>
      </c>
      <c r="E558" t="inlineStr">
        <is>
          <t>MORA</t>
        </is>
      </c>
      <c r="G558" t="n">
        <v>5.4</v>
      </c>
      <c r="H558" t="n">
        <v>0</v>
      </c>
      <c r="I558" t="n">
        <v>0</v>
      </c>
      <c r="J558" t="n">
        <v>0</v>
      </c>
      <c r="K558" t="n">
        <v>0</v>
      </c>
      <c r="L558" t="n">
        <v>0</v>
      </c>
      <c r="M558" t="n">
        <v>0</v>
      </c>
      <c r="N558" t="n">
        <v>0</v>
      </c>
      <c r="O558" t="n">
        <v>0</v>
      </c>
      <c r="P558" t="n">
        <v>0</v>
      </c>
      <c r="Q558" t="n">
        <v>0</v>
      </c>
      <c r="R558" s="2" t="inlineStr"/>
    </row>
    <row r="559" ht="15" customHeight="1">
      <c r="A559" t="inlineStr">
        <is>
          <t>A 23948-2023</t>
        </is>
      </c>
      <c r="B559" s="1" t="n">
        <v>45078</v>
      </c>
      <c r="C559" s="1" t="n">
        <v>45781</v>
      </c>
      <c r="D559" t="inlineStr">
        <is>
          <t>DALARNAS LÄN</t>
        </is>
      </c>
      <c r="E559" t="inlineStr">
        <is>
          <t>MORA</t>
        </is>
      </c>
      <c r="G559" t="n">
        <v>6.4</v>
      </c>
      <c r="H559" t="n">
        <v>0</v>
      </c>
      <c r="I559" t="n">
        <v>0</v>
      </c>
      <c r="J559" t="n">
        <v>0</v>
      </c>
      <c r="K559" t="n">
        <v>0</v>
      </c>
      <c r="L559" t="n">
        <v>0</v>
      </c>
      <c r="M559" t="n">
        <v>0</v>
      </c>
      <c r="N559" t="n">
        <v>0</v>
      </c>
      <c r="O559" t="n">
        <v>0</v>
      </c>
      <c r="P559" t="n">
        <v>0</v>
      </c>
      <c r="Q559" t="n">
        <v>0</v>
      </c>
      <c r="R559" s="2" t="inlineStr"/>
    </row>
    <row r="560" ht="15" customHeight="1">
      <c r="A560" t="inlineStr">
        <is>
          <t>A 24085-2023</t>
        </is>
      </c>
      <c r="B560" s="1" t="n">
        <v>45079</v>
      </c>
      <c r="C560" s="1" t="n">
        <v>45781</v>
      </c>
      <c r="D560" t="inlineStr">
        <is>
          <t>DALARNAS LÄN</t>
        </is>
      </c>
      <c r="E560" t="inlineStr">
        <is>
          <t>MORA</t>
        </is>
      </c>
      <c r="G560" t="n">
        <v>2.8</v>
      </c>
      <c r="H560" t="n">
        <v>0</v>
      </c>
      <c r="I560" t="n">
        <v>0</v>
      </c>
      <c r="J560" t="n">
        <v>0</v>
      </c>
      <c r="K560" t="n">
        <v>0</v>
      </c>
      <c r="L560" t="n">
        <v>0</v>
      </c>
      <c r="M560" t="n">
        <v>0</v>
      </c>
      <c r="N560" t="n">
        <v>0</v>
      </c>
      <c r="O560" t="n">
        <v>0</v>
      </c>
      <c r="P560" t="n">
        <v>0</v>
      </c>
      <c r="Q560" t="n">
        <v>0</v>
      </c>
      <c r="R560" s="2" t="inlineStr"/>
    </row>
    <row r="561" ht="15" customHeight="1">
      <c r="A561" t="inlineStr">
        <is>
          <t>A 25200-2023</t>
        </is>
      </c>
      <c r="B561" s="1" t="n">
        <v>45079</v>
      </c>
      <c r="C561" s="1" t="n">
        <v>45781</v>
      </c>
      <c r="D561" t="inlineStr">
        <is>
          <t>DALARNAS LÄN</t>
        </is>
      </c>
      <c r="E561" t="inlineStr">
        <is>
          <t>MORA</t>
        </is>
      </c>
      <c r="G561" t="n">
        <v>11.2</v>
      </c>
      <c r="H561" t="n">
        <v>0</v>
      </c>
      <c r="I561" t="n">
        <v>0</v>
      </c>
      <c r="J561" t="n">
        <v>0</v>
      </c>
      <c r="K561" t="n">
        <v>0</v>
      </c>
      <c r="L561" t="n">
        <v>0</v>
      </c>
      <c r="M561" t="n">
        <v>0</v>
      </c>
      <c r="N561" t="n">
        <v>0</v>
      </c>
      <c r="O561" t="n">
        <v>0</v>
      </c>
      <c r="P561" t="n">
        <v>0</v>
      </c>
      <c r="Q561" t="n">
        <v>0</v>
      </c>
      <c r="R561" s="2" t="inlineStr"/>
    </row>
    <row r="562" ht="15" customHeight="1">
      <c r="A562" t="inlineStr">
        <is>
          <t>A 24634-2023</t>
        </is>
      </c>
      <c r="B562" s="1" t="n">
        <v>45084</v>
      </c>
      <c r="C562" s="1" t="n">
        <v>45781</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24664-2023</t>
        </is>
      </c>
      <c r="B563" s="1" t="n">
        <v>45084</v>
      </c>
      <c r="C563" s="1" t="n">
        <v>45781</v>
      </c>
      <c r="D563" t="inlineStr">
        <is>
          <t>DALARNAS LÄN</t>
        </is>
      </c>
      <c r="E563" t="inlineStr">
        <is>
          <t>MORA</t>
        </is>
      </c>
      <c r="G563" t="n">
        <v>1.8</v>
      </c>
      <c r="H563" t="n">
        <v>0</v>
      </c>
      <c r="I563" t="n">
        <v>0</v>
      </c>
      <c r="J563" t="n">
        <v>0</v>
      </c>
      <c r="K563" t="n">
        <v>0</v>
      </c>
      <c r="L563" t="n">
        <v>0</v>
      </c>
      <c r="M563" t="n">
        <v>0</v>
      </c>
      <c r="N563" t="n">
        <v>0</v>
      </c>
      <c r="O563" t="n">
        <v>0</v>
      </c>
      <c r="P563" t="n">
        <v>0</v>
      </c>
      <c r="Q563" t="n">
        <v>0</v>
      </c>
      <c r="R563" s="2" t="inlineStr"/>
    </row>
    <row r="564" ht="15" customHeight="1">
      <c r="A564" t="inlineStr">
        <is>
          <t>A 24657-2023</t>
        </is>
      </c>
      <c r="B564" s="1" t="n">
        <v>45084</v>
      </c>
      <c r="C564" s="1" t="n">
        <v>45781</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26273-2023</t>
        </is>
      </c>
      <c r="B565" s="1" t="n">
        <v>45086</v>
      </c>
      <c r="C565" s="1" t="n">
        <v>45781</v>
      </c>
      <c r="D565" t="inlineStr">
        <is>
          <t>DALARNAS LÄN</t>
        </is>
      </c>
      <c r="E565" t="inlineStr">
        <is>
          <t>MORA</t>
        </is>
      </c>
      <c r="G565" t="n">
        <v>3.9</v>
      </c>
      <c r="H565" t="n">
        <v>0</v>
      </c>
      <c r="I565" t="n">
        <v>0</v>
      </c>
      <c r="J565" t="n">
        <v>0</v>
      </c>
      <c r="K565" t="n">
        <v>0</v>
      </c>
      <c r="L565" t="n">
        <v>0</v>
      </c>
      <c r="M565" t="n">
        <v>0</v>
      </c>
      <c r="N565" t="n">
        <v>0</v>
      </c>
      <c r="O565" t="n">
        <v>0</v>
      </c>
      <c r="P565" t="n">
        <v>0</v>
      </c>
      <c r="Q565" t="n">
        <v>0</v>
      </c>
      <c r="R565" s="2" t="inlineStr"/>
    </row>
    <row r="566" ht="15" customHeight="1">
      <c r="A566" t="inlineStr">
        <is>
          <t>A 25629-2023</t>
        </is>
      </c>
      <c r="B566" s="1" t="n">
        <v>45089</v>
      </c>
      <c r="C566" s="1" t="n">
        <v>45781</v>
      </c>
      <c r="D566" t="inlineStr">
        <is>
          <t>DALARNAS LÄN</t>
        </is>
      </c>
      <c r="E566" t="inlineStr">
        <is>
          <t>MORA</t>
        </is>
      </c>
      <c r="F566" t="inlineStr">
        <is>
          <t>Bergvik skog väst AB</t>
        </is>
      </c>
      <c r="G566" t="n">
        <v>4.1</v>
      </c>
      <c r="H566" t="n">
        <v>0</v>
      </c>
      <c r="I566" t="n">
        <v>0</v>
      </c>
      <c r="J566" t="n">
        <v>0</v>
      </c>
      <c r="K566" t="n">
        <v>0</v>
      </c>
      <c r="L566" t="n">
        <v>0</v>
      </c>
      <c r="M566" t="n">
        <v>0</v>
      </c>
      <c r="N566" t="n">
        <v>0</v>
      </c>
      <c r="O566" t="n">
        <v>0</v>
      </c>
      <c r="P566" t="n">
        <v>0</v>
      </c>
      <c r="Q566" t="n">
        <v>0</v>
      </c>
      <c r="R566" s="2" t="inlineStr"/>
    </row>
    <row r="567" ht="15" customHeight="1">
      <c r="A567" t="inlineStr">
        <is>
          <t>A 25749-2023</t>
        </is>
      </c>
      <c r="B567" s="1" t="n">
        <v>45090</v>
      </c>
      <c r="C567" s="1" t="n">
        <v>45781</v>
      </c>
      <c r="D567" t="inlineStr">
        <is>
          <t>DALARNAS LÄN</t>
        </is>
      </c>
      <c r="E567" t="inlineStr">
        <is>
          <t>MORA</t>
        </is>
      </c>
      <c r="G567" t="n">
        <v>2.4</v>
      </c>
      <c r="H567" t="n">
        <v>0</v>
      </c>
      <c r="I567" t="n">
        <v>0</v>
      </c>
      <c r="J567" t="n">
        <v>0</v>
      </c>
      <c r="K567" t="n">
        <v>0</v>
      </c>
      <c r="L567" t="n">
        <v>0</v>
      </c>
      <c r="M567" t="n">
        <v>0</v>
      </c>
      <c r="N567" t="n">
        <v>0</v>
      </c>
      <c r="O567" t="n">
        <v>0</v>
      </c>
      <c r="P567" t="n">
        <v>0</v>
      </c>
      <c r="Q567" t="n">
        <v>0</v>
      </c>
      <c r="R567" s="2" t="inlineStr"/>
    </row>
    <row r="568" ht="15" customHeight="1">
      <c r="A568" t="inlineStr">
        <is>
          <t>A 25865-2023</t>
        </is>
      </c>
      <c r="B568" s="1" t="n">
        <v>45090</v>
      </c>
      <c r="C568" s="1" t="n">
        <v>45781</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25906-2023</t>
        </is>
      </c>
      <c r="B569" s="1" t="n">
        <v>45090</v>
      </c>
      <c r="C569" s="1" t="n">
        <v>45781</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25935-2023</t>
        </is>
      </c>
      <c r="B570" s="1" t="n">
        <v>45090</v>
      </c>
      <c r="C570" s="1" t="n">
        <v>45781</v>
      </c>
      <c r="D570" t="inlineStr">
        <is>
          <t>DALARNAS LÄN</t>
        </is>
      </c>
      <c r="E570" t="inlineStr">
        <is>
          <t>MORA</t>
        </is>
      </c>
      <c r="G570" t="n">
        <v>1.4</v>
      </c>
      <c r="H570" t="n">
        <v>0</v>
      </c>
      <c r="I570" t="n">
        <v>0</v>
      </c>
      <c r="J570" t="n">
        <v>0</v>
      </c>
      <c r="K570" t="n">
        <v>0</v>
      </c>
      <c r="L570" t="n">
        <v>0</v>
      </c>
      <c r="M570" t="n">
        <v>0</v>
      </c>
      <c r="N570" t="n">
        <v>0</v>
      </c>
      <c r="O570" t="n">
        <v>0</v>
      </c>
      <c r="P570" t="n">
        <v>0</v>
      </c>
      <c r="Q570" t="n">
        <v>0</v>
      </c>
      <c r="R570" s="2" t="inlineStr"/>
    </row>
    <row r="571" ht="15" customHeight="1">
      <c r="A571" t="inlineStr">
        <is>
          <t>A 25869-2023</t>
        </is>
      </c>
      <c r="B571" s="1" t="n">
        <v>45090</v>
      </c>
      <c r="C571" s="1" t="n">
        <v>45781</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25874-2023</t>
        </is>
      </c>
      <c r="B572" s="1" t="n">
        <v>45090</v>
      </c>
      <c r="C572" s="1" t="n">
        <v>45781</v>
      </c>
      <c r="D572" t="inlineStr">
        <is>
          <t>DALARNAS LÄN</t>
        </is>
      </c>
      <c r="E572" t="inlineStr">
        <is>
          <t>MORA</t>
        </is>
      </c>
      <c r="G572" t="n">
        <v>4.6</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45781</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45781</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45781</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45781</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45781</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45781</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45781</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45781</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45781</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45781</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45781</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45781</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45781</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45781</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45781</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45781</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45781</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45781</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45781</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45781</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45781</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45781</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45781</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45781</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45781</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45781</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45781</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45781</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45781</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45781</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45781</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45781</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45781</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45781</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45781</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45781</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45781</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45781</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45781</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45781</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45781</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45781</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45781</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45781</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45781</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45781</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45781</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45781</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45781</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45781</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45781</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45781</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45781</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45781</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45781</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45781</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45781</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45781</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45781</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45781</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45781</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45781</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45781</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45781</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45781</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45781</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45781</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45781</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45781</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45781</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45781</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45781</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45781</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45781</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45781</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45781</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45781</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45781</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45781</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45781</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45781</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45781</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45781</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45781</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45781</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45781</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45781</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45781</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45781</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45781</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45781</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45781</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45781</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45781</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45781</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45781</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45781</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45781</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45781</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45781</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45781</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45781</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45781</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45781</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45781</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45781</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45781</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45781</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45781</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45781</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45781</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45781</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45781</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45781</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45781</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45781</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45781</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45781</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45781</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45781</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45781</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45781</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45781</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45781</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45781</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45781</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45781</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45781</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45781</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45781</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45781</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45781</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45781</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45781</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45781</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45781</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45781</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45781</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45781</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45781</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45781</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45781</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45781</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45781</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45781</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45781</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45781</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45781</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45781</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45781</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45781</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45781</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45781</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45781</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45781</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45781</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45781</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45781</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45781</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45781</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45781</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45781</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45781</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45781</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45781</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45781</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45781</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45781</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45781</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45781</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45781</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45781</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45781</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45781</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45781</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45781</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45781</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45781</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45781</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45781</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45781</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45781</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45781</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45781</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45781</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45781</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45781</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45781</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45781</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45781</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45781</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45781</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45781</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45781</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45781</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45781</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45781</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45781</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45781</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45781</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45781</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45781</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45781</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45781</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45781</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45781</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45781</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45781</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45781</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45781</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45781</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45781</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45781</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45781</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45781</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45781</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45781</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45781</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45781</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45781</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45781</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45781</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45781</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45781</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45781</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45781</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45781</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45781</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45781</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45781</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45781</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45781</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45781</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45781</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45781</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45781</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45781</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45781</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45781</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45781</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45781</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45781</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45781</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45781</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45781</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45781</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45781</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45781</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45781</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45781</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45781</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45781</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45781</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45781</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45781</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45781</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45781</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45781</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45781</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45781</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45781</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45781</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45781</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45781</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45781</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45781</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45781</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45781</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45781</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45781</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45781</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45781</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45781</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45781</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45781</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45781</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45781</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45781</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45781</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45781</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45781</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45781</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45781</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45781</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45781</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45781</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45781</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45781</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45781</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45781</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45781</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45781</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45781</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45781</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45781</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45781</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45781</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45781</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45781</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45781</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45781</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45781</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45781</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45781</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45781</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45781</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45781</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45781</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45781</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45781</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45781</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45781</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45781</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45781</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45781</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45781</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45781</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45781</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45781</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45781</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45781</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45781</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45781</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45781</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45781</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45781</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45781</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45781</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45781</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45781</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45781</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45781</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45781</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45781</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45781</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45781</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45781</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45781</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45781</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45781</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45781</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45781</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45781</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45781</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45781</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45781</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45781</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45781</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45781</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45781</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45781</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45781</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45781</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45781</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45781</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45781</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45781</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45781</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45781</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45781</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45781</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45781</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45781</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45781</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45781</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45781</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45781</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45781</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45781</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45781</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45781</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45781</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45781</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45781</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45781</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45781</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45781</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45781</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45781</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45781</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45781</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45781</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45781</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45781</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45781</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45781</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45781</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45781</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45781</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45781</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45781</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45781</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45781</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45781</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45781</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45781</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45781</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45781</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45781</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45781</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45781</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45781</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45781</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45781</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45781</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45781</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45781</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45781</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45781</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45781</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45781</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45781</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45781</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45781</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45781</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45781</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45781</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45781</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45781</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45781</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45781</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45781</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45781</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45781</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45781</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45781</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45781</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45781</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45781</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45781</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45781</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45781</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45781</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45781</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45781</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45781</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45781</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45781</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45781</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45781</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45781</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45781</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45781</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45781</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45781</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45781</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45781</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45781</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45781</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45781</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45781</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45781</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45781</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45781</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45781</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45781</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45781</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45781</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45781</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45781</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45781</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45781</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45781</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45781</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45781</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45781</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45781</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45781</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45781</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45781</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45781</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45781</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45781</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45781</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45781</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45781</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45781</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45781</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45781</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45781</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45781</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45781</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45781</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45781</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45781</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45781</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45781</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45781</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45781</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45781</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45781</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45781</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45781</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45781</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45781</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45781</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45781</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45781</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45781</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45781</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45781</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45781</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45781</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45781</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45781</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45781</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45781</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45781</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45781</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45781</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45781</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45781</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45781</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45781</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45781</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45781</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45781</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45781</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45781</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45781</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45781</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45781</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45781</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45781</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45781</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45781</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45781</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45781</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45781</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45781</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45781</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45781</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45781</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45781</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45781</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45781</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45781</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45781</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45781</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45781</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45781</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45781</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45781</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45781</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45781</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45781</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45781</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45781</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45781</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45781</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45781</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45781</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45781</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45781</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45781</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45781</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45781</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45781</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45781</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45781</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45781</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45781</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45781</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45781</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45781</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45781</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45781</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45781</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45781</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45781</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45781</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45781</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45781</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45781</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45781</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45781</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45781</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45781</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45781</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45781</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45781</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45781</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45781</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45781</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45781</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45781</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45781</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45781</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45781</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45781</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45781</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45781</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45781</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45781</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45781</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45781</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45781</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45781</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45781</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45781</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45781</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45781</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45781</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45781</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45781</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45781</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45781</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45781</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45781</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45781</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45781</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45781</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45781</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45781</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45781</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45781</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45781</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45781</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45781</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45781</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45781</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45781</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45781</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45781</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45781</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45781</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45781</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45781</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45781</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45781</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45781</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45781</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45781</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45781</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45781</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16967-2025</t>
        </is>
      </c>
      <c r="B1208" s="1" t="n">
        <v>45755</v>
      </c>
      <c r="C1208" s="1" t="n">
        <v>45781</v>
      </c>
      <c r="D1208" t="inlineStr">
        <is>
          <t>DALARNAS LÄN</t>
        </is>
      </c>
      <c r="E1208" t="inlineStr">
        <is>
          <t>MORA</t>
        </is>
      </c>
      <c r="F1208" t="inlineStr">
        <is>
          <t>Bergvik skog öst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45781</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16961-2025</t>
        </is>
      </c>
      <c r="B1210" s="1" t="n">
        <v>45755</v>
      </c>
      <c r="C1210" s="1" t="n">
        <v>45781</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17278-2025</t>
        </is>
      </c>
      <c r="B1211" s="1" t="n">
        <v>45756</v>
      </c>
      <c r="C1211" s="1" t="n">
        <v>45781</v>
      </c>
      <c r="D1211" t="inlineStr">
        <is>
          <t>DALARNAS LÄN</t>
        </is>
      </c>
      <c r="E1211" t="inlineStr">
        <is>
          <t>MORA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17176-2025</t>
        </is>
      </c>
      <c r="B1212" s="1" t="n">
        <v>45756</v>
      </c>
      <c r="C1212" s="1" t="n">
        <v>45781</v>
      </c>
      <c r="D1212" t="inlineStr">
        <is>
          <t>DALARNAS LÄN</t>
        </is>
      </c>
      <c r="E1212" t="inlineStr">
        <is>
          <t>MORA</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17268-2025</t>
        </is>
      </c>
      <c r="B1213" s="1" t="n">
        <v>45756</v>
      </c>
      <c r="C1213" s="1" t="n">
        <v>45781</v>
      </c>
      <c r="D1213" t="inlineStr">
        <is>
          <t>DALARNAS LÄN</t>
        </is>
      </c>
      <c r="E1213" t="inlineStr">
        <is>
          <t>MORA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17280-2025</t>
        </is>
      </c>
      <c r="B1214" s="1" t="n">
        <v>45756</v>
      </c>
      <c r="C1214" s="1" t="n">
        <v>45781</v>
      </c>
      <c r="D1214" t="inlineStr">
        <is>
          <t>DALARNAS LÄN</t>
        </is>
      </c>
      <c r="E1214" t="inlineStr">
        <is>
          <t>MORA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17288-2025</t>
        </is>
      </c>
      <c r="B1215" s="1" t="n">
        <v>45756</v>
      </c>
      <c r="C1215" s="1" t="n">
        <v>45781</v>
      </c>
      <c r="D1215" t="inlineStr">
        <is>
          <t>DALARNAS LÄN</t>
        </is>
      </c>
      <c r="E1215" t="inlineStr">
        <is>
          <t>MORA</t>
        </is>
      </c>
      <c r="F1215" t="inlineStr">
        <is>
          <t>Kyrkan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17164-2025</t>
        </is>
      </c>
      <c r="B1216" s="1" t="n">
        <v>45756</v>
      </c>
      <c r="C1216" s="1" t="n">
        <v>45781</v>
      </c>
      <c r="D1216" t="inlineStr">
        <is>
          <t>DALARNAS LÄN</t>
        </is>
      </c>
      <c r="E1216" t="inlineStr">
        <is>
          <t>MORA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17172-2025</t>
        </is>
      </c>
      <c r="B1217" s="1" t="n">
        <v>45756</v>
      </c>
      <c r="C1217" s="1" t="n">
        <v>45781</v>
      </c>
      <c r="D1217" t="inlineStr">
        <is>
          <t>DALARNAS LÄN</t>
        </is>
      </c>
      <c r="E1217" t="inlineStr">
        <is>
          <t>MORA</t>
        </is>
      </c>
      <c r="F1217" t="inlineStr">
        <is>
          <t>Bergvik skog öst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17163-2025</t>
        </is>
      </c>
      <c r="B1218" s="1" t="n">
        <v>45756</v>
      </c>
      <c r="C1218" s="1" t="n">
        <v>45781</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45781</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45781</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45781</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17865-2025</t>
        </is>
      </c>
      <c r="B1222" s="1" t="n">
        <v>45758</v>
      </c>
      <c r="C1222" s="1" t="n">
        <v>45781</v>
      </c>
      <c r="D1222" t="inlineStr">
        <is>
          <t>DALARNAS LÄN</t>
        </is>
      </c>
      <c r="E1222" t="inlineStr">
        <is>
          <t>MORA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17737-2025</t>
        </is>
      </c>
      <c r="B1223" s="1" t="n">
        <v>45758</v>
      </c>
      <c r="C1223" s="1" t="n">
        <v>45781</v>
      </c>
      <c r="D1223" t="inlineStr">
        <is>
          <t>DALARNAS LÄN</t>
        </is>
      </c>
      <c r="E1223" t="inlineStr">
        <is>
          <t>MORA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17674-2025</t>
        </is>
      </c>
      <c r="B1224" s="1" t="n">
        <v>45758</v>
      </c>
      <c r="C1224" s="1" t="n">
        <v>45781</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18122-2025</t>
        </is>
      </c>
      <c r="B1225" s="1" t="n">
        <v>45761</v>
      </c>
      <c r="C1225" s="1" t="n">
        <v>45781</v>
      </c>
      <c r="D1225" t="inlineStr">
        <is>
          <t>DALARNAS LÄN</t>
        </is>
      </c>
      <c r="E1225" t="inlineStr">
        <is>
          <t>MORA</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18134-2025</t>
        </is>
      </c>
      <c r="B1226" s="1" t="n">
        <v>45761</v>
      </c>
      <c r="C1226" s="1" t="n">
        <v>45781</v>
      </c>
      <c r="D1226" t="inlineStr">
        <is>
          <t>DALARNAS LÄN</t>
        </is>
      </c>
      <c r="E1226" t="inlineStr">
        <is>
          <t>MORA</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18139-2025</t>
        </is>
      </c>
      <c r="B1227" s="1" t="n">
        <v>45761</v>
      </c>
      <c r="C1227" s="1" t="n">
        <v>45781</v>
      </c>
      <c r="D1227" t="inlineStr">
        <is>
          <t>DALARNAS LÄN</t>
        </is>
      </c>
      <c r="E1227" t="inlineStr">
        <is>
          <t>MORA</t>
        </is>
      </c>
      <c r="F1227" t="inlineStr">
        <is>
          <t>Bergvik skog öst AB</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18127-2025</t>
        </is>
      </c>
      <c r="B1228" s="1" t="n">
        <v>45761</v>
      </c>
      <c r="C1228" s="1" t="n">
        <v>45781</v>
      </c>
      <c r="D1228" t="inlineStr">
        <is>
          <t>DALARNAS LÄN</t>
        </is>
      </c>
      <c r="E1228" t="inlineStr">
        <is>
          <t>MORA</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18527-2025</t>
        </is>
      </c>
      <c r="B1229" s="1" t="n">
        <v>45763</v>
      </c>
      <c r="C1229" s="1" t="n">
        <v>45781</v>
      </c>
      <c r="D1229" t="inlineStr">
        <is>
          <t>DALARNAS LÄN</t>
        </is>
      </c>
      <c r="E1229" t="inlineStr">
        <is>
          <t>MORA</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18580-2025</t>
        </is>
      </c>
      <c r="B1230" s="1" t="n">
        <v>45763</v>
      </c>
      <c r="C1230" s="1" t="n">
        <v>45781</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18702-2025</t>
        </is>
      </c>
      <c r="B1231" s="1" t="n">
        <v>45763</v>
      </c>
      <c r="C1231" s="1" t="n">
        <v>45781</v>
      </c>
      <c r="D1231" t="inlineStr">
        <is>
          <t>DALARNAS LÄN</t>
        </is>
      </c>
      <c r="E1231" t="inlineStr">
        <is>
          <t>MORA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45781</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19193-2025</t>
        </is>
      </c>
      <c r="B1233" s="1" t="n">
        <v>45769</v>
      </c>
      <c r="C1233" s="1" t="n">
        <v>45781</v>
      </c>
      <c r="D1233" t="inlineStr">
        <is>
          <t>DALARNAS LÄN</t>
        </is>
      </c>
      <c r="E1233" t="inlineStr">
        <is>
          <t>MORA</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19183-2025</t>
        </is>
      </c>
      <c r="B1234" s="1" t="n">
        <v>45769</v>
      </c>
      <c r="C1234" s="1" t="n">
        <v>45781</v>
      </c>
      <c r="D1234" t="inlineStr">
        <is>
          <t>DALARNAS LÄN</t>
        </is>
      </c>
      <c r="E1234" t="inlineStr">
        <is>
          <t>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19842-2025</t>
        </is>
      </c>
      <c r="B1235" s="1" t="n">
        <v>45771</v>
      </c>
      <c r="C1235" s="1" t="n">
        <v>45781</v>
      </c>
      <c r="D1235" t="inlineStr">
        <is>
          <t>DALARNAS LÄN</t>
        </is>
      </c>
      <c r="E1235" t="inlineStr">
        <is>
          <t>MORA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19814-2025</t>
        </is>
      </c>
      <c r="B1236" s="1" t="n">
        <v>45771</v>
      </c>
      <c r="C1236" s="1" t="n">
        <v>45781</v>
      </c>
      <c r="D1236" t="inlineStr">
        <is>
          <t>DALARNAS LÄN</t>
        </is>
      </c>
      <c r="E1236" t="inlineStr">
        <is>
          <t>MORA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19906-2025</t>
        </is>
      </c>
      <c r="B1237" s="1" t="n">
        <v>45771</v>
      </c>
      <c r="C1237" s="1" t="n">
        <v>45781</v>
      </c>
      <c r="D1237" t="inlineStr">
        <is>
          <t>DALARNAS LÄN</t>
        </is>
      </c>
      <c r="E1237" t="inlineStr">
        <is>
          <t>MORA</t>
        </is>
      </c>
      <c r="F1237" t="inlineStr">
        <is>
          <t>Bergvik skog öst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20067-2025</t>
        </is>
      </c>
      <c r="B1238" s="1" t="n">
        <v>45772</v>
      </c>
      <c r="C1238" s="1" t="n">
        <v>45781</v>
      </c>
      <c r="D1238" t="inlineStr">
        <is>
          <t>DALARNAS LÄN</t>
        </is>
      </c>
      <c r="E1238" t="inlineStr">
        <is>
          <t>MORA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20126-2025</t>
        </is>
      </c>
      <c r="B1239" s="1" t="n">
        <v>45772</v>
      </c>
      <c r="C1239" s="1" t="n">
        <v>45781</v>
      </c>
      <c r="D1239" t="inlineStr">
        <is>
          <t>DALARNAS LÄN</t>
        </is>
      </c>
      <c r="E1239" t="inlineStr">
        <is>
          <t>MORA</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20544-2025</t>
        </is>
      </c>
      <c r="B1240" s="1" t="n">
        <v>45775</v>
      </c>
      <c r="C1240" s="1" t="n">
        <v>45781</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20594-2025</t>
        </is>
      </c>
      <c r="B1241" s="1" t="n">
        <v>45775</v>
      </c>
      <c r="C1241" s="1" t="n">
        <v>45781</v>
      </c>
      <c r="D1241" t="inlineStr">
        <is>
          <t>DALARNAS LÄN</t>
        </is>
      </c>
      <c r="E1241" t="inlineStr">
        <is>
          <t>MORA</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20549-2025</t>
        </is>
      </c>
      <c r="B1242" s="1" t="n">
        <v>45775</v>
      </c>
      <c r="C1242" s="1" t="n">
        <v>45781</v>
      </c>
      <c r="D1242" t="inlineStr">
        <is>
          <t>DALARNAS LÄN</t>
        </is>
      </c>
      <c r="E1242" t="inlineStr">
        <is>
          <t>MORA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20377-2025</t>
        </is>
      </c>
      <c r="B1243" s="1" t="n">
        <v>45775</v>
      </c>
      <c r="C1243" s="1" t="n">
        <v>45781</v>
      </c>
      <c r="D1243" t="inlineStr">
        <is>
          <t>DALARNAS LÄN</t>
        </is>
      </c>
      <c r="E1243" t="inlineStr">
        <is>
          <t>MORA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20538-2025</t>
        </is>
      </c>
      <c r="B1244" s="1" t="n">
        <v>45775</v>
      </c>
      <c r="C1244" s="1" t="n">
        <v>45781</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c r="A1245" t="inlineStr">
        <is>
          <t>A 20531-2025</t>
        </is>
      </c>
      <c r="B1245" s="1" t="n">
        <v>45775</v>
      </c>
      <c r="C1245" s="1" t="n">
        <v>45781</v>
      </c>
      <c r="D1245" t="inlineStr">
        <is>
          <t>DALARNAS LÄN</t>
        </is>
      </c>
      <c r="E1245" t="inlineStr">
        <is>
          <t>MORA</t>
        </is>
      </c>
      <c r="G1245" t="n">
        <v>3</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2025-05-04T21:28:56Z</dcterms:created>
  <dcterms:modified xmlns:dcterms="http://purl.org/dc/terms/" xmlns:xsi="http://www.w3.org/2001/XMLSchema-instance" xsi:type="dcterms:W3CDTF">2025-05-04T21:28:57Z</dcterms:modified>
</cp:coreProperties>
</file>