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45710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45710</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45710</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45710</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45710</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45710</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45710</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45710</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45710</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45710</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45710</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45710</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45710</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45710</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45710</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45710</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45710</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45710</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45710</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45710</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45710</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45710</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29386-2019</t>
        </is>
      </c>
      <c r="B24" s="1" t="n">
        <v>43629</v>
      </c>
      <c r="C24" s="1" t="n">
        <v>45710</v>
      </c>
      <c r="D24" t="inlineStr">
        <is>
          <t>DALARNAS LÄN</t>
        </is>
      </c>
      <c r="E24" t="inlineStr">
        <is>
          <t>MORA</t>
        </is>
      </c>
      <c r="G24" t="n">
        <v>1.8</v>
      </c>
      <c r="H24" t="n">
        <v>1</v>
      </c>
      <c r="I24" t="n">
        <v>1</v>
      </c>
      <c r="J24" t="n">
        <v>2</v>
      </c>
      <c r="K24" t="n">
        <v>0</v>
      </c>
      <c r="L24" t="n">
        <v>0</v>
      </c>
      <c r="M24" t="n">
        <v>0</v>
      </c>
      <c r="N24" t="n">
        <v>0</v>
      </c>
      <c r="O24" t="n">
        <v>2</v>
      </c>
      <c r="P24" t="n">
        <v>0</v>
      </c>
      <c r="Q24" t="n">
        <v>4</v>
      </c>
      <c r="R24" s="2" t="inlineStr">
        <is>
          <t>Garnlav
Mörk kolflarnlav
Mindre märgborre
Kungsfågel</t>
        </is>
      </c>
      <c r="S24">
        <f>HYPERLINK("https://klasma.github.io/Logging_2062/artfynd/A 29386-2019 artfynd.xlsx", "A 29386-2019")</f>
        <v/>
      </c>
      <c r="T24">
        <f>HYPERLINK("https://klasma.github.io/Logging_2062/kartor/A 29386-2019 karta.png", "A 29386-2019")</f>
        <v/>
      </c>
      <c r="V24">
        <f>HYPERLINK("https://klasma.github.io/Logging_2062/klagomål/A 29386-2019 FSC-klagomål.docx", "A 29386-2019")</f>
        <v/>
      </c>
      <c r="W24">
        <f>HYPERLINK("https://klasma.github.io/Logging_2062/klagomålsmail/A 29386-2019 FSC-klagomål mail.docx", "A 29386-2019")</f>
        <v/>
      </c>
      <c r="X24">
        <f>HYPERLINK("https://klasma.github.io/Logging_2062/tillsyn/A 29386-2019 tillsynsbegäran.docx", "A 29386-2019")</f>
        <v/>
      </c>
      <c r="Y24">
        <f>HYPERLINK("https://klasma.github.io/Logging_2062/tillsynsmail/A 29386-2019 tillsynsbegäran mail.docx", "A 29386-2019")</f>
        <v/>
      </c>
      <c r="Z24">
        <f>HYPERLINK("https://klasma.github.io/Logging_2062/fåglar/A 29386-2019 prioriterade fågelarter.docx", "A 29386-2019")</f>
        <v/>
      </c>
    </row>
    <row r="25" ht="15" customHeight="1">
      <c r="A25" t="inlineStr">
        <is>
          <t>A 60365-2023</t>
        </is>
      </c>
      <c r="B25" s="1" t="n">
        <v>45259</v>
      </c>
      <c r="C25" s="1" t="n">
        <v>45710</v>
      </c>
      <c r="D25" t="inlineStr">
        <is>
          <t>DALARNAS LÄN</t>
        </is>
      </c>
      <c r="E25" t="inlineStr">
        <is>
          <t>MORA</t>
        </is>
      </c>
      <c r="G25" t="n">
        <v>7.5</v>
      </c>
      <c r="H25" t="n">
        <v>4</v>
      </c>
      <c r="I25" t="n">
        <v>0</v>
      </c>
      <c r="J25" t="n">
        <v>3</v>
      </c>
      <c r="K25" t="n">
        <v>0</v>
      </c>
      <c r="L25" t="n">
        <v>0</v>
      </c>
      <c r="M25" t="n">
        <v>0</v>
      </c>
      <c r="N25" t="n">
        <v>0</v>
      </c>
      <c r="O25" t="n">
        <v>3</v>
      </c>
      <c r="P25" t="n">
        <v>0</v>
      </c>
      <c r="Q25" t="n">
        <v>4</v>
      </c>
      <c r="R25" s="2" t="inlineStr">
        <is>
          <t>Grönsångare
Rödvingetrast
Slaguggla
Nattviol</t>
        </is>
      </c>
      <c r="S25">
        <f>HYPERLINK("https://klasma.github.io/Logging_2062/artfynd/A 60365-2023 artfynd.xlsx", "A 60365-2023")</f>
        <v/>
      </c>
      <c r="T25">
        <f>HYPERLINK("https://klasma.github.io/Logging_2062/kartor/A 60365-2023 karta.png", "A 60365-2023")</f>
        <v/>
      </c>
      <c r="V25">
        <f>HYPERLINK("https://klasma.github.io/Logging_2062/klagomål/A 60365-2023 FSC-klagomål.docx", "A 60365-2023")</f>
        <v/>
      </c>
      <c r="W25">
        <f>HYPERLINK("https://klasma.github.io/Logging_2062/klagomålsmail/A 60365-2023 FSC-klagomål mail.docx", "A 60365-2023")</f>
        <v/>
      </c>
      <c r="X25">
        <f>HYPERLINK("https://klasma.github.io/Logging_2062/tillsyn/A 60365-2023 tillsynsbegäran.docx", "A 60365-2023")</f>
        <v/>
      </c>
      <c r="Y25">
        <f>HYPERLINK("https://klasma.github.io/Logging_2062/tillsynsmail/A 60365-2023 tillsynsbegäran mail.docx", "A 60365-2023")</f>
        <v/>
      </c>
      <c r="Z25">
        <f>HYPERLINK("https://klasma.github.io/Logging_2062/fåglar/A 60365-2023 prioriterade fågelarter.docx", "A 60365-2023")</f>
        <v/>
      </c>
    </row>
    <row r="26" ht="15" customHeight="1">
      <c r="A26" t="inlineStr">
        <is>
          <t>A 14293-2024</t>
        </is>
      </c>
      <c r="B26" s="1" t="n">
        <v>45393</v>
      </c>
      <c r="C26" s="1" t="n">
        <v>45710</v>
      </c>
      <c r="D26" t="inlineStr">
        <is>
          <t>DALARNAS LÄN</t>
        </is>
      </c>
      <c r="E26" t="inlineStr">
        <is>
          <t>MORA</t>
        </is>
      </c>
      <c r="G26" t="n">
        <v>7.4</v>
      </c>
      <c r="H26" t="n">
        <v>2</v>
      </c>
      <c r="I26" t="n">
        <v>1</v>
      </c>
      <c r="J26" t="n">
        <v>2</v>
      </c>
      <c r="K26" t="n">
        <v>0</v>
      </c>
      <c r="L26" t="n">
        <v>0</v>
      </c>
      <c r="M26" t="n">
        <v>0</v>
      </c>
      <c r="N26" t="n">
        <v>0</v>
      </c>
      <c r="O26" t="n">
        <v>2</v>
      </c>
      <c r="P26" t="n">
        <v>0</v>
      </c>
      <c r="Q26" t="n">
        <v>4</v>
      </c>
      <c r="R26" s="2" t="inlineStr">
        <is>
          <t>Garnlav
Talltita
Dropptaggsvamp
Tjäder</t>
        </is>
      </c>
      <c r="S26">
        <f>HYPERLINK("https://klasma.github.io/Logging_2062/artfynd/A 14293-2024 artfynd.xlsx", "A 14293-2024")</f>
        <v/>
      </c>
      <c r="T26">
        <f>HYPERLINK("https://klasma.github.io/Logging_2062/kartor/A 14293-2024 karta.png", "A 14293-2024")</f>
        <v/>
      </c>
      <c r="V26">
        <f>HYPERLINK("https://klasma.github.io/Logging_2062/klagomål/A 14293-2024 FSC-klagomål.docx", "A 14293-2024")</f>
        <v/>
      </c>
      <c r="W26">
        <f>HYPERLINK("https://klasma.github.io/Logging_2062/klagomålsmail/A 14293-2024 FSC-klagomål mail.docx", "A 14293-2024")</f>
        <v/>
      </c>
      <c r="X26">
        <f>HYPERLINK("https://klasma.github.io/Logging_2062/tillsyn/A 14293-2024 tillsynsbegäran.docx", "A 14293-2024")</f>
        <v/>
      </c>
      <c r="Y26">
        <f>HYPERLINK("https://klasma.github.io/Logging_2062/tillsynsmail/A 14293-2024 tillsynsbegäran mail.docx", "A 14293-2024")</f>
        <v/>
      </c>
      <c r="Z26">
        <f>HYPERLINK("https://klasma.github.io/Logging_2062/fåglar/A 14293-2024 prioriterade fågelarter.docx", "A 14293-2024")</f>
        <v/>
      </c>
    </row>
    <row r="27" ht="15" customHeight="1">
      <c r="A27" t="inlineStr">
        <is>
          <t>A 17648-2024</t>
        </is>
      </c>
      <c r="B27" s="1" t="n">
        <v>45418</v>
      </c>
      <c r="C27" s="1" t="n">
        <v>45710</v>
      </c>
      <c r="D27" t="inlineStr">
        <is>
          <t>DALARNAS LÄN</t>
        </is>
      </c>
      <c r="E27" t="inlineStr">
        <is>
          <t>MORA</t>
        </is>
      </c>
      <c r="G27" t="n">
        <v>1.7</v>
      </c>
      <c r="H27" t="n">
        <v>4</v>
      </c>
      <c r="I27" t="n">
        <v>0</v>
      </c>
      <c r="J27" t="n">
        <v>2</v>
      </c>
      <c r="K27" t="n">
        <v>0</v>
      </c>
      <c r="L27" t="n">
        <v>0</v>
      </c>
      <c r="M27" t="n">
        <v>0</v>
      </c>
      <c r="N27" t="n">
        <v>0</v>
      </c>
      <c r="O27" t="n">
        <v>2</v>
      </c>
      <c r="P27" t="n">
        <v>0</v>
      </c>
      <c r="Q27" t="n">
        <v>4</v>
      </c>
      <c r="R27" s="2" t="inlineStr">
        <is>
          <t>Brunlångöra
Nordfladdermus
Dvärgpipistrell
Vattenfladdermus</t>
        </is>
      </c>
      <c r="S27">
        <f>HYPERLINK("https://klasma.github.io/Logging_2062/artfynd/A 17648-2024 artfynd.xlsx", "A 17648-2024")</f>
        <v/>
      </c>
      <c r="T27">
        <f>HYPERLINK("https://klasma.github.io/Logging_2062/kartor/A 17648-2024 karta.png", "A 17648-2024")</f>
        <v/>
      </c>
      <c r="V27">
        <f>HYPERLINK("https://klasma.github.io/Logging_2062/klagomål/A 17648-2024 FSC-klagomål.docx", "A 17648-2024")</f>
        <v/>
      </c>
      <c r="W27">
        <f>HYPERLINK("https://klasma.github.io/Logging_2062/klagomålsmail/A 17648-2024 FSC-klagomål mail.docx", "A 17648-2024")</f>
        <v/>
      </c>
      <c r="X27">
        <f>HYPERLINK("https://klasma.github.io/Logging_2062/tillsyn/A 17648-2024 tillsynsbegäran.docx", "A 17648-2024")</f>
        <v/>
      </c>
      <c r="Y27">
        <f>HYPERLINK("https://klasma.github.io/Logging_2062/tillsynsmail/A 17648-2024 tillsynsbegäran mail.docx", "A 17648-2024")</f>
        <v/>
      </c>
    </row>
    <row r="28" ht="15" customHeight="1">
      <c r="A28" t="inlineStr">
        <is>
          <t>A 18954-2024</t>
        </is>
      </c>
      <c r="B28" s="1" t="n">
        <v>45427</v>
      </c>
      <c r="C28" s="1" t="n">
        <v>45710</v>
      </c>
      <c r="D28" t="inlineStr">
        <is>
          <t>DALARNAS LÄN</t>
        </is>
      </c>
      <c r="E28" t="inlineStr">
        <is>
          <t>MORA</t>
        </is>
      </c>
      <c r="G28" t="n">
        <v>17.5</v>
      </c>
      <c r="H28" t="n">
        <v>0</v>
      </c>
      <c r="I28" t="n">
        <v>1</v>
      </c>
      <c r="J28" t="n">
        <v>3</v>
      </c>
      <c r="K28" t="n">
        <v>0</v>
      </c>
      <c r="L28" t="n">
        <v>0</v>
      </c>
      <c r="M28" t="n">
        <v>0</v>
      </c>
      <c r="N28" t="n">
        <v>0</v>
      </c>
      <c r="O28" t="n">
        <v>3</v>
      </c>
      <c r="P28" t="n">
        <v>0</v>
      </c>
      <c r="Q28" t="n">
        <v>4</v>
      </c>
      <c r="R28" s="2" t="inlineStr">
        <is>
          <t>Furustumpbagge
Mörksömmad barksvartbagge
Tallstumpbagge
Mindre märgborre</t>
        </is>
      </c>
      <c r="S28">
        <f>HYPERLINK("https://klasma.github.io/Logging_2062/artfynd/A 18954-2024 artfynd.xlsx", "A 18954-2024")</f>
        <v/>
      </c>
      <c r="T28">
        <f>HYPERLINK("https://klasma.github.io/Logging_2062/kartor/A 18954-2024 karta.png", "A 18954-2024")</f>
        <v/>
      </c>
      <c r="V28">
        <f>HYPERLINK("https://klasma.github.io/Logging_2062/klagomål/A 18954-2024 FSC-klagomål.docx", "A 18954-2024")</f>
        <v/>
      </c>
      <c r="W28">
        <f>HYPERLINK("https://klasma.github.io/Logging_2062/klagomålsmail/A 18954-2024 FSC-klagomål mail.docx", "A 18954-2024")</f>
        <v/>
      </c>
      <c r="X28">
        <f>HYPERLINK("https://klasma.github.io/Logging_2062/tillsyn/A 18954-2024 tillsynsbegäran.docx", "A 18954-2024")</f>
        <v/>
      </c>
      <c r="Y28">
        <f>HYPERLINK("https://klasma.github.io/Logging_2062/tillsynsmail/A 18954-2024 tillsynsbegäran mail.docx", "A 18954-2024")</f>
        <v/>
      </c>
    </row>
    <row r="29" ht="15" customHeight="1">
      <c r="A29" t="inlineStr">
        <is>
          <t>A 20098-2024</t>
        </is>
      </c>
      <c r="B29" s="1" t="n">
        <v>45434</v>
      </c>
      <c r="C29" s="1" t="n">
        <v>45710</v>
      </c>
      <c r="D29" t="inlineStr">
        <is>
          <t>DALARNAS LÄN</t>
        </is>
      </c>
      <c r="E29" t="inlineStr">
        <is>
          <t>MORA</t>
        </is>
      </c>
      <c r="F29" t="inlineStr">
        <is>
          <t>Allmännings- och besparingsskogar</t>
        </is>
      </c>
      <c r="G29" t="n">
        <v>7.3</v>
      </c>
      <c r="H29" t="n">
        <v>0</v>
      </c>
      <c r="I29" t="n">
        <v>0</v>
      </c>
      <c r="J29" t="n">
        <v>4</v>
      </c>
      <c r="K29" t="n">
        <v>0</v>
      </c>
      <c r="L29" t="n">
        <v>0</v>
      </c>
      <c r="M29" t="n">
        <v>0</v>
      </c>
      <c r="N29" t="n">
        <v>0</v>
      </c>
      <c r="O29" t="n">
        <v>4</v>
      </c>
      <c r="P29" t="n">
        <v>0</v>
      </c>
      <c r="Q29" t="n">
        <v>4</v>
      </c>
      <c r="R29" s="2" t="inlineStr">
        <is>
          <t>Dvärgbägarlav
Garnlav
Ullticka
Vedflamlav</t>
        </is>
      </c>
      <c r="S29">
        <f>HYPERLINK("https://klasma.github.io/Logging_2062/artfynd/A 20098-2024 artfynd.xlsx", "A 20098-2024")</f>
        <v/>
      </c>
      <c r="T29">
        <f>HYPERLINK("https://klasma.github.io/Logging_2062/kartor/A 20098-2024 karta.png", "A 20098-2024")</f>
        <v/>
      </c>
      <c r="V29">
        <f>HYPERLINK("https://klasma.github.io/Logging_2062/klagomål/A 20098-2024 FSC-klagomål.docx", "A 20098-2024")</f>
        <v/>
      </c>
      <c r="W29">
        <f>HYPERLINK("https://klasma.github.io/Logging_2062/klagomålsmail/A 20098-2024 FSC-klagomål mail.docx", "A 20098-2024")</f>
        <v/>
      </c>
      <c r="X29">
        <f>HYPERLINK("https://klasma.github.io/Logging_2062/tillsyn/A 20098-2024 tillsynsbegäran.docx", "A 20098-2024")</f>
        <v/>
      </c>
      <c r="Y29">
        <f>HYPERLINK("https://klasma.github.io/Logging_2062/tillsynsmail/A 20098-2024 tillsynsbegäran mail.docx", "A 20098-2024")</f>
        <v/>
      </c>
    </row>
    <row r="30" ht="15" customHeight="1">
      <c r="A30" t="inlineStr">
        <is>
          <t>A 55418-2024</t>
        </is>
      </c>
      <c r="B30" s="1" t="n">
        <v>45622</v>
      </c>
      <c r="C30" s="1" t="n">
        <v>45710</v>
      </c>
      <c r="D30" t="inlineStr">
        <is>
          <t>DALARNAS LÄN</t>
        </is>
      </c>
      <c r="E30" t="inlineStr">
        <is>
          <t>MORA</t>
        </is>
      </c>
      <c r="G30" t="n">
        <v>1</v>
      </c>
      <c r="H30" t="n">
        <v>0</v>
      </c>
      <c r="I30" t="n">
        <v>2</v>
      </c>
      <c r="J30" t="n">
        <v>1</v>
      </c>
      <c r="K30" t="n">
        <v>1</v>
      </c>
      <c r="L30" t="n">
        <v>0</v>
      </c>
      <c r="M30" t="n">
        <v>0</v>
      </c>
      <c r="N30" t="n">
        <v>0</v>
      </c>
      <c r="O30" t="n">
        <v>2</v>
      </c>
      <c r="P30" t="n">
        <v>1</v>
      </c>
      <c r="Q30" t="n">
        <v>4</v>
      </c>
      <c r="R30" s="2" t="inlineStr">
        <is>
          <t>Rotfingersvamp
Druvfingersvamp
Dropptaggsvamp
Tallfingersvamp</t>
        </is>
      </c>
      <c r="S30">
        <f>HYPERLINK("https://klasma.github.io/Logging_2062/artfynd/A 55418-2024 artfynd.xlsx", "A 55418-2024")</f>
        <v/>
      </c>
      <c r="T30">
        <f>HYPERLINK("https://klasma.github.io/Logging_2062/kartor/A 55418-2024 karta.png", "A 55418-2024")</f>
        <v/>
      </c>
      <c r="V30">
        <f>HYPERLINK("https://klasma.github.io/Logging_2062/klagomål/A 55418-2024 FSC-klagomål.docx", "A 55418-2024")</f>
        <v/>
      </c>
      <c r="W30">
        <f>HYPERLINK("https://klasma.github.io/Logging_2062/klagomålsmail/A 55418-2024 FSC-klagomål mail.docx", "A 55418-2024")</f>
        <v/>
      </c>
      <c r="X30">
        <f>HYPERLINK("https://klasma.github.io/Logging_2062/tillsyn/A 55418-2024 tillsynsbegäran.docx", "A 55418-2024")</f>
        <v/>
      </c>
      <c r="Y30">
        <f>HYPERLINK("https://klasma.github.io/Logging_2062/tillsynsmail/A 55418-2024 tillsynsbegäran mail.docx", "A 55418-2024")</f>
        <v/>
      </c>
    </row>
    <row r="31" ht="15" customHeight="1">
      <c r="A31" t="inlineStr">
        <is>
          <t>A 55467-2024</t>
        </is>
      </c>
      <c r="B31" s="1" t="n">
        <v>45622</v>
      </c>
      <c r="C31" s="1" t="n">
        <v>45710</v>
      </c>
      <c r="D31" t="inlineStr">
        <is>
          <t>DALARNAS LÄN</t>
        </is>
      </c>
      <c r="E31" t="inlineStr">
        <is>
          <t>MORA</t>
        </is>
      </c>
      <c r="G31" t="n">
        <v>1.8</v>
      </c>
      <c r="H31" t="n">
        <v>0</v>
      </c>
      <c r="I31" t="n">
        <v>2</v>
      </c>
      <c r="J31" t="n">
        <v>1</v>
      </c>
      <c r="K31" t="n">
        <v>1</v>
      </c>
      <c r="L31" t="n">
        <v>0</v>
      </c>
      <c r="M31" t="n">
        <v>0</v>
      </c>
      <c r="N31" t="n">
        <v>0</v>
      </c>
      <c r="O31" t="n">
        <v>2</v>
      </c>
      <c r="P31" t="n">
        <v>1</v>
      </c>
      <c r="Q31" t="n">
        <v>4</v>
      </c>
      <c r="R31" s="2" t="inlineStr">
        <is>
          <t>Rotfingersvamp
Skrovlig taggsvamp
Dropptaggsvamp
Tallfingersvamp</t>
        </is>
      </c>
      <c r="S31">
        <f>HYPERLINK("https://klasma.github.io/Logging_2062/artfynd/A 55467-2024 artfynd.xlsx", "A 55467-2024")</f>
        <v/>
      </c>
      <c r="T31">
        <f>HYPERLINK("https://klasma.github.io/Logging_2062/kartor/A 55467-2024 karta.png", "A 55467-2024")</f>
        <v/>
      </c>
      <c r="V31">
        <f>HYPERLINK("https://klasma.github.io/Logging_2062/klagomål/A 55467-2024 FSC-klagomål.docx", "A 55467-2024")</f>
        <v/>
      </c>
      <c r="W31">
        <f>HYPERLINK("https://klasma.github.io/Logging_2062/klagomålsmail/A 55467-2024 FSC-klagomål mail.docx", "A 55467-2024")</f>
        <v/>
      </c>
      <c r="X31">
        <f>HYPERLINK("https://klasma.github.io/Logging_2062/tillsyn/A 55467-2024 tillsynsbegäran.docx", "A 55467-2024")</f>
        <v/>
      </c>
      <c r="Y31">
        <f>HYPERLINK("https://klasma.github.io/Logging_2062/tillsynsmail/A 55467-2024 tillsynsbegäran mail.docx", "A 55467-2024")</f>
        <v/>
      </c>
    </row>
    <row r="32" ht="15" customHeight="1">
      <c r="A32" t="inlineStr">
        <is>
          <t>A 61224-2024</t>
        </is>
      </c>
      <c r="B32" s="1" t="n">
        <v>45645</v>
      </c>
      <c r="C32" s="1" t="n">
        <v>45710</v>
      </c>
      <c r="D32" t="inlineStr">
        <is>
          <t>DALARNAS LÄN</t>
        </is>
      </c>
      <c r="E32" t="inlineStr">
        <is>
          <t>MORA</t>
        </is>
      </c>
      <c r="F32" t="inlineStr">
        <is>
          <t>Allmännings- och besparingsskogar</t>
        </is>
      </c>
      <c r="G32" t="n">
        <v>3.7</v>
      </c>
      <c r="H32" t="n">
        <v>0</v>
      </c>
      <c r="I32" t="n">
        <v>0</v>
      </c>
      <c r="J32" t="n">
        <v>4</v>
      </c>
      <c r="K32" t="n">
        <v>0</v>
      </c>
      <c r="L32" t="n">
        <v>0</v>
      </c>
      <c r="M32" t="n">
        <v>0</v>
      </c>
      <c r="N32" t="n">
        <v>0</v>
      </c>
      <c r="O32" t="n">
        <v>4</v>
      </c>
      <c r="P32" t="n">
        <v>0</v>
      </c>
      <c r="Q32" t="n">
        <v>4</v>
      </c>
      <c r="R32" s="2" t="inlineStr">
        <is>
          <t>Garnlav
Mörk kolflarnlav
Vedskivlav
Violettgrå tagellav</t>
        </is>
      </c>
      <c r="S32">
        <f>HYPERLINK("https://klasma.github.io/Logging_2062/artfynd/A 61224-2024 artfynd.xlsx", "A 61224-2024")</f>
        <v/>
      </c>
      <c r="T32">
        <f>HYPERLINK("https://klasma.github.io/Logging_2062/kartor/A 61224-2024 karta.png", "A 61224-2024")</f>
        <v/>
      </c>
      <c r="V32">
        <f>HYPERLINK("https://klasma.github.io/Logging_2062/klagomål/A 61224-2024 FSC-klagomål.docx", "A 61224-2024")</f>
        <v/>
      </c>
      <c r="W32">
        <f>HYPERLINK("https://klasma.github.io/Logging_2062/klagomålsmail/A 61224-2024 FSC-klagomål mail.docx", "A 61224-2024")</f>
        <v/>
      </c>
      <c r="X32">
        <f>HYPERLINK("https://klasma.github.io/Logging_2062/tillsyn/A 61224-2024 tillsynsbegäran.docx", "A 61224-2024")</f>
        <v/>
      </c>
      <c r="Y32">
        <f>HYPERLINK("https://klasma.github.io/Logging_2062/tillsynsmail/A 61224-2024 tillsynsbegäran mail.docx", "A 61224-2024")</f>
        <v/>
      </c>
    </row>
    <row r="33" ht="15" customHeight="1">
      <c r="A33" t="inlineStr">
        <is>
          <t>A 894-2025</t>
        </is>
      </c>
      <c r="B33" s="1" t="n">
        <v>45665</v>
      </c>
      <c r="C33" s="1" t="n">
        <v>45710</v>
      </c>
      <c r="D33" t="inlineStr">
        <is>
          <t>DALARNAS LÄN</t>
        </is>
      </c>
      <c r="E33" t="inlineStr">
        <is>
          <t>MORA</t>
        </is>
      </c>
      <c r="G33" t="n">
        <v>8.1</v>
      </c>
      <c r="H33" t="n">
        <v>2</v>
      </c>
      <c r="I33" t="n">
        <v>0</v>
      </c>
      <c r="J33" t="n">
        <v>3</v>
      </c>
      <c r="K33" t="n">
        <v>0</v>
      </c>
      <c r="L33" t="n">
        <v>0</v>
      </c>
      <c r="M33" t="n">
        <v>0</v>
      </c>
      <c r="N33" t="n">
        <v>0</v>
      </c>
      <c r="O33" t="n">
        <v>3</v>
      </c>
      <c r="P33" t="n">
        <v>0</v>
      </c>
      <c r="Q33" t="n">
        <v>4</v>
      </c>
      <c r="R33" s="2" t="inlineStr">
        <is>
          <t>Garnlav
Lunglav
Tretåig hackspett
Tjäder</t>
        </is>
      </c>
      <c r="S33">
        <f>HYPERLINK("https://klasma.github.io/Logging_2062/artfynd/A 894-2025 artfynd.xlsx", "A 894-2025")</f>
        <v/>
      </c>
      <c r="T33">
        <f>HYPERLINK("https://klasma.github.io/Logging_2062/kartor/A 894-2025 karta.png", "A 894-2025")</f>
        <v/>
      </c>
      <c r="V33">
        <f>HYPERLINK("https://klasma.github.io/Logging_2062/klagomål/A 894-2025 FSC-klagomål.docx", "A 894-2025")</f>
        <v/>
      </c>
      <c r="W33">
        <f>HYPERLINK("https://klasma.github.io/Logging_2062/klagomålsmail/A 894-2025 FSC-klagomål mail.docx", "A 894-2025")</f>
        <v/>
      </c>
      <c r="X33">
        <f>HYPERLINK("https://klasma.github.io/Logging_2062/tillsyn/A 894-2025 tillsynsbegäran.docx", "A 894-2025")</f>
        <v/>
      </c>
      <c r="Y33">
        <f>HYPERLINK("https://klasma.github.io/Logging_2062/tillsynsmail/A 894-2025 tillsynsbegäran mail.docx", "A 894-2025")</f>
        <v/>
      </c>
      <c r="Z33">
        <f>HYPERLINK("https://klasma.github.io/Logging_2062/fåglar/A 894-2025 prioriterade fågelarter.docx", "A 894-2025")</f>
        <v/>
      </c>
    </row>
    <row r="34" ht="15" customHeight="1">
      <c r="A34" t="inlineStr">
        <is>
          <t>A 5484-2023</t>
        </is>
      </c>
      <c r="B34" s="1" t="n">
        <v>44957</v>
      </c>
      <c r="C34" s="1" t="n">
        <v>45710</v>
      </c>
      <c r="D34" t="inlineStr">
        <is>
          <t>DALARNAS LÄN</t>
        </is>
      </c>
      <c r="E34" t="inlineStr">
        <is>
          <t>MORA</t>
        </is>
      </c>
      <c r="F34" t="inlineStr">
        <is>
          <t>Allmännings- och besparingsskogar</t>
        </is>
      </c>
      <c r="G34" t="n">
        <v>14.9</v>
      </c>
      <c r="H34" t="n">
        <v>0</v>
      </c>
      <c r="I34" t="n">
        <v>1</v>
      </c>
      <c r="J34" t="n">
        <v>0</v>
      </c>
      <c r="K34" t="n">
        <v>2</v>
      </c>
      <c r="L34" t="n">
        <v>0</v>
      </c>
      <c r="M34" t="n">
        <v>0</v>
      </c>
      <c r="N34" t="n">
        <v>0</v>
      </c>
      <c r="O34" t="n">
        <v>2</v>
      </c>
      <c r="P34" t="n">
        <v>2</v>
      </c>
      <c r="Q34" t="n">
        <v>3</v>
      </c>
      <c r="R34" s="2" t="inlineStr">
        <is>
          <t>Raggbock
Tallbarksvartbagge
Mindre märgborre</t>
        </is>
      </c>
      <c r="S34">
        <f>HYPERLINK("https://klasma.github.io/Logging_2062/artfynd/A 5484-2023 artfynd.xlsx", "A 5484-2023")</f>
        <v/>
      </c>
      <c r="T34">
        <f>HYPERLINK("https://klasma.github.io/Logging_2062/kartor/A 5484-2023 karta.png", "A 5484-2023")</f>
        <v/>
      </c>
      <c r="V34">
        <f>HYPERLINK("https://klasma.github.io/Logging_2062/klagomål/A 5484-2023 FSC-klagomål.docx", "A 5484-2023")</f>
        <v/>
      </c>
      <c r="W34">
        <f>HYPERLINK("https://klasma.github.io/Logging_2062/klagomålsmail/A 5484-2023 FSC-klagomål mail.docx", "A 5484-2023")</f>
        <v/>
      </c>
      <c r="X34">
        <f>HYPERLINK("https://klasma.github.io/Logging_2062/tillsyn/A 5484-2023 tillsynsbegäran.docx", "A 5484-2023")</f>
        <v/>
      </c>
      <c r="Y34">
        <f>HYPERLINK("https://klasma.github.io/Logging_2062/tillsynsmail/A 5484-2023 tillsynsbegäran mail.docx", "A 5484-2023")</f>
        <v/>
      </c>
    </row>
    <row r="35" ht="15" customHeight="1">
      <c r="A35" t="inlineStr">
        <is>
          <t>A 33185-2019</t>
        </is>
      </c>
      <c r="B35" s="1" t="n">
        <v>43649</v>
      </c>
      <c r="C35" s="1" t="n">
        <v>45710</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45710</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45710</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45710</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45710</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45710</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45710</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45710</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45710</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45710</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45710</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45710</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45710</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45710</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45710</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45710</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45710</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45710</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45710</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45710</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26808-2024</t>
        </is>
      </c>
      <c r="B55" s="1" t="n">
        <v>45470</v>
      </c>
      <c r="C55" s="1" t="n">
        <v>45710</v>
      </c>
      <c r="D55" t="inlineStr">
        <is>
          <t>DALARNAS LÄN</t>
        </is>
      </c>
      <c r="E55" t="inlineStr">
        <is>
          <t>MORA</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HYPERLINK("https://klasma.github.io/Logging_2062/artfynd/A 26808-2024 artfynd.xlsx", "A 26808-2024")</f>
        <v/>
      </c>
      <c r="T55">
        <f>HYPERLINK("https://klasma.github.io/Logging_2062/kartor/A 26808-2024 karta.png", "A 26808-2024")</f>
        <v/>
      </c>
      <c r="V55">
        <f>HYPERLINK("https://klasma.github.io/Logging_2062/klagomål/A 26808-2024 FSC-klagomål.docx", "A 26808-2024")</f>
        <v/>
      </c>
      <c r="W55">
        <f>HYPERLINK("https://klasma.github.io/Logging_2062/klagomålsmail/A 26808-2024 FSC-klagomål mail.docx", "A 26808-2024")</f>
        <v/>
      </c>
      <c r="X55">
        <f>HYPERLINK("https://klasma.github.io/Logging_2062/tillsyn/A 26808-2024 tillsynsbegäran.docx", "A 26808-2024")</f>
        <v/>
      </c>
      <c r="Y55">
        <f>HYPERLINK("https://klasma.github.io/Logging_2062/tillsynsmail/A 26808-2024 tillsynsbegäran mail.docx", "A 26808-2024")</f>
        <v/>
      </c>
    </row>
    <row r="56" ht="15" customHeight="1">
      <c r="A56" t="inlineStr">
        <is>
          <t>A 27113-2024</t>
        </is>
      </c>
      <c r="B56" s="1" t="n">
        <v>45471</v>
      </c>
      <c r="C56" s="1" t="n">
        <v>45710</v>
      </c>
      <c r="D56" t="inlineStr">
        <is>
          <t>DALARNAS LÄN</t>
        </is>
      </c>
      <c r="E56" t="inlineStr">
        <is>
          <t>MORA</t>
        </is>
      </c>
      <c r="G56" t="n">
        <v>10.3</v>
      </c>
      <c r="H56" t="n">
        <v>0</v>
      </c>
      <c r="I56" t="n">
        <v>1</v>
      </c>
      <c r="J56" t="n">
        <v>0</v>
      </c>
      <c r="K56" t="n">
        <v>0</v>
      </c>
      <c r="L56" t="n">
        <v>0</v>
      </c>
      <c r="M56" t="n">
        <v>0</v>
      </c>
      <c r="N56" t="n">
        <v>0</v>
      </c>
      <c r="O56" t="n">
        <v>0</v>
      </c>
      <c r="P56" t="n">
        <v>0</v>
      </c>
      <c r="Q56" t="n">
        <v>1</v>
      </c>
      <c r="R56" s="2" t="inlineStr">
        <is>
          <t>Stor aspticka</t>
        </is>
      </c>
      <c r="S56">
        <f>HYPERLINK("https://klasma.github.io/Logging_2062/artfynd/A 27113-2024 artfynd.xlsx", "A 27113-2024")</f>
        <v/>
      </c>
      <c r="T56">
        <f>HYPERLINK("https://klasma.github.io/Logging_2062/kartor/A 27113-2024 karta.png", "A 27113-2024")</f>
        <v/>
      </c>
      <c r="V56">
        <f>HYPERLINK("https://klasma.github.io/Logging_2062/klagomål/A 27113-2024 FSC-klagomål.docx", "A 27113-2024")</f>
        <v/>
      </c>
      <c r="W56">
        <f>HYPERLINK("https://klasma.github.io/Logging_2062/klagomålsmail/A 27113-2024 FSC-klagomål mail.docx", "A 27113-2024")</f>
        <v/>
      </c>
      <c r="X56">
        <f>HYPERLINK("https://klasma.github.io/Logging_2062/tillsyn/A 27113-2024 tillsynsbegäran.docx", "A 27113-2024")</f>
        <v/>
      </c>
      <c r="Y56">
        <f>HYPERLINK("https://klasma.github.io/Logging_2062/tillsynsmail/A 27113-2024 tillsynsbegäran mail.docx", "A 27113-2024")</f>
        <v/>
      </c>
    </row>
    <row r="57" ht="15" customHeight="1">
      <c r="A57" t="inlineStr">
        <is>
          <t>A 45410-2024</t>
        </is>
      </c>
      <c r="B57" s="1" t="n">
        <v>45576</v>
      </c>
      <c r="C57" s="1" t="n">
        <v>45710</v>
      </c>
      <c r="D57" t="inlineStr">
        <is>
          <t>DALARNAS LÄN</t>
        </is>
      </c>
      <c r="E57" t="inlineStr">
        <is>
          <t>MORA</t>
        </is>
      </c>
      <c r="G57" t="n">
        <v>1.1</v>
      </c>
      <c r="H57" t="n">
        <v>0</v>
      </c>
      <c r="I57" t="n">
        <v>0</v>
      </c>
      <c r="J57" t="n">
        <v>1</v>
      </c>
      <c r="K57" t="n">
        <v>0</v>
      </c>
      <c r="L57" t="n">
        <v>0</v>
      </c>
      <c r="M57" t="n">
        <v>0</v>
      </c>
      <c r="N57" t="n">
        <v>0</v>
      </c>
      <c r="O57" t="n">
        <v>1</v>
      </c>
      <c r="P57" t="n">
        <v>0</v>
      </c>
      <c r="Q57" t="n">
        <v>1</v>
      </c>
      <c r="R57" s="2" t="inlineStr">
        <is>
          <t>Tallticka</t>
        </is>
      </c>
      <c r="S57">
        <f>HYPERLINK("https://klasma.github.io/Logging_2062/artfynd/A 45410-2024 artfynd.xlsx", "A 45410-2024")</f>
        <v/>
      </c>
      <c r="T57">
        <f>HYPERLINK("https://klasma.github.io/Logging_2062/kartor/A 45410-2024 karta.png", "A 45410-2024")</f>
        <v/>
      </c>
      <c r="V57">
        <f>HYPERLINK("https://klasma.github.io/Logging_2062/klagomål/A 45410-2024 FSC-klagomål.docx", "A 45410-2024")</f>
        <v/>
      </c>
      <c r="W57">
        <f>HYPERLINK("https://klasma.github.io/Logging_2062/klagomålsmail/A 45410-2024 FSC-klagomål mail.docx", "A 45410-2024")</f>
        <v/>
      </c>
      <c r="X57">
        <f>HYPERLINK("https://klasma.github.io/Logging_2062/tillsyn/A 45410-2024 tillsynsbegäran.docx", "A 45410-2024")</f>
        <v/>
      </c>
      <c r="Y57">
        <f>HYPERLINK("https://klasma.github.io/Logging_2062/tillsynsmail/A 45410-2024 tillsynsbegäran mail.docx", "A 45410-2024")</f>
        <v/>
      </c>
    </row>
    <row r="58" ht="15" customHeight="1">
      <c r="A58" t="inlineStr">
        <is>
          <t>A 45344-2024</t>
        </is>
      </c>
      <c r="B58" s="1" t="n">
        <v>45576</v>
      </c>
      <c r="C58" s="1" t="n">
        <v>45710</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51213-2024</t>
        </is>
      </c>
      <c r="B59" s="1" t="n">
        <v>45603</v>
      </c>
      <c r="C59" s="1" t="n">
        <v>45710</v>
      </c>
      <c r="D59" t="inlineStr">
        <is>
          <t>DALARNAS LÄN</t>
        </is>
      </c>
      <c r="E59" t="inlineStr">
        <is>
          <t>MORA</t>
        </is>
      </c>
      <c r="G59" t="n">
        <v>0.5</v>
      </c>
      <c r="H59" t="n">
        <v>1</v>
      </c>
      <c r="I59" t="n">
        <v>0</v>
      </c>
      <c r="J59" t="n">
        <v>0</v>
      </c>
      <c r="K59" t="n">
        <v>1</v>
      </c>
      <c r="L59" t="n">
        <v>0</v>
      </c>
      <c r="M59" t="n">
        <v>0</v>
      </c>
      <c r="N59" t="n">
        <v>0</v>
      </c>
      <c r="O59" t="n">
        <v>1</v>
      </c>
      <c r="P59" t="n">
        <v>1</v>
      </c>
      <c r="Q59" t="n">
        <v>1</v>
      </c>
      <c r="R59" s="2" t="inlineStr">
        <is>
          <t>Knärot</t>
        </is>
      </c>
      <c r="S59">
        <f>HYPERLINK("https://klasma.github.io/Logging_2062/artfynd/A 51213-2024 artfynd.xlsx", "A 51213-2024")</f>
        <v/>
      </c>
      <c r="T59">
        <f>HYPERLINK("https://klasma.github.io/Logging_2062/kartor/A 51213-2024 karta.png", "A 51213-2024")</f>
        <v/>
      </c>
      <c r="U59">
        <f>HYPERLINK("https://klasma.github.io/Logging_2062/knärot/A 51213-2024 karta knärot.png", "A 51213-2024")</f>
        <v/>
      </c>
      <c r="V59">
        <f>HYPERLINK("https://klasma.github.io/Logging_2062/klagomål/A 51213-2024 FSC-klagomål.docx", "A 51213-2024")</f>
        <v/>
      </c>
      <c r="W59">
        <f>HYPERLINK("https://klasma.github.io/Logging_2062/klagomålsmail/A 51213-2024 FSC-klagomål mail.docx", "A 51213-2024")</f>
        <v/>
      </c>
      <c r="X59">
        <f>HYPERLINK("https://klasma.github.io/Logging_2062/tillsyn/A 51213-2024 tillsynsbegäran.docx", "A 51213-2024")</f>
        <v/>
      </c>
      <c r="Y59">
        <f>HYPERLINK("https://klasma.github.io/Logging_2062/tillsynsmail/A 51213-2024 tillsynsbegäran mail.docx", "A 51213-2024")</f>
        <v/>
      </c>
    </row>
    <row r="60" ht="15" customHeight="1">
      <c r="A60" t="inlineStr">
        <is>
          <t>A 831-2025</t>
        </is>
      </c>
      <c r="B60" s="1" t="n">
        <v>45665</v>
      </c>
      <c r="C60" s="1" t="n">
        <v>45710</v>
      </c>
      <c r="D60" t="inlineStr">
        <is>
          <t>DALARNAS LÄN</t>
        </is>
      </c>
      <c r="E60" t="inlineStr">
        <is>
          <t>MORA</t>
        </is>
      </c>
      <c r="G60" t="n">
        <v>2.5</v>
      </c>
      <c r="H60" t="n">
        <v>0</v>
      </c>
      <c r="I60" t="n">
        <v>1</v>
      </c>
      <c r="J60" t="n">
        <v>0</v>
      </c>
      <c r="K60" t="n">
        <v>0</v>
      </c>
      <c r="L60" t="n">
        <v>0</v>
      </c>
      <c r="M60" t="n">
        <v>0</v>
      </c>
      <c r="N60" t="n">
        <v>0</v>
      </c>
      <c r="O60" t="n">
        <v>0</v>
      </c>
      <c r="P60" t="n">
        <v>0</v>
      </c>
      <c r="Q60" t="n">
        <v>1</v>
      </c>
      <c r="R60" s="2" t="inlineStr">
        <is>
          <t>Stekelbock</t>
        </is>
      </c>
      <c r="S60">
        <f>HYPERLINK("https://klasma.github.io/Logging_2062/artfynd/A 831-2025 artfynd.xlsx", "A 831-2025")</f>
        <v/>
      </c>
      <c r="T60">
        <f>HYPERLINK("https://klasma.github.io/Logging_2062/kartor/A 831-2025 karta.png", "A 831-2025")</f>
        <v/>
      </c>
      <c r="V60">
        <f>HYPERLINK("https://klasma.github.io/Logging_2062/klagomål/A 831-2025 FSC-klagomål.docx", "A 831-2025")</f>
        <v/>
      </c>
      <c r="W60">
        <f>HYPERLINK("https://klasma.github.io/Logging_2062/klagomålsmail/A 831-2025 FSC-klagomål mail.docx", "A 831-2025")</f>
        <v/>
      </c>
      <c r="X60">
        <f>HYPERLINK("https://klasma.github.io/Logging_2062/tillsyn/A 831-2025 tillsynsbegäran.docx", "A 831-2025")</f>
        <v/>
      </c>
      <c r="Y60">
        <f>HYPERLINK("https://klasma.github.io/Logging_2062/tillsynsmail/A 831-2025 tillsynsbegäran mail.docx", "A 831-2025")</f>
        <v/>
      </c>
    </row>
    <row r="61" ht="15" customHeight="1">
      <c r="A61" t="inlineStr">
        <is>
          <t>A 20226-2019</t>
        </is>
      </c>
      <c r="B61" s="1" t="n">
        <v>43570</v>
      </c>
      <c r="C61" s="1" t="n">
        <v>45710</v>
      </c>
      <c r="D61" t="inlineStr">
        <is>
          <t>DALARNAS LÄN</t>
        </is>
      </c>
      <c r="E61" t="inlineStr">
        <is>
          <t>MORA</t>
        </is>
      </c>
      <c r="G61" t="n">
        <v>4.2</v>
      </c>
      <c r="H61" t="n">
        <v>0</v>
      </c>
      <c r="I61" t="n">
        <v>0</v>
      </c>
      <c r="J61" t="n">
        <v>0</v>
      </c>
      <c r="K61" t="n">
        <v>0</v>
      </c>
      <c r="L61" t="n">
        <v>0</v>
      </c>
      <c r="M61" t="n">
        <v>0</v>
      </c>
      <c r="N61" t="n">
        <v>0</v>
      </c>
      <c r="O61" t="n">
        <v>0</v>
      </c>
      <c r="P61" t="n">
        <v>0</v>
      </c>
      <c r="Q61" t="n">
        <v>0</v>
      </c>
      <c r="R61" s="2" t="inlineStr"/>
    </row>
    <row r="62" ht="15" customHeight="1">
      <c r="A62" t="inlineStr">
        <is>
          <t>A 20464-2019</t>
        </is>
      </c>
      <c r="B62" s="1" t="n">
        <v>43572</v>
      </c>
      <c r="C62" s="1" t="n">
        <v>45710</v>
      </c>
      <c r="D62" t="inlineStr">
        <is>
          <t>DALARNAS LÄN</t>
        </is>
      </c>
      <c r="E62" t="inlineStr">
        <is>
          <t>MORA</t>
        </is>
      </c>
      <c r="G62" t="n">
        <v>12.1</v>
      </c>
      <c r="H62" t="n">
        <v>0</v>
      </c>
      <c r="I62" t="n">
        <v>0</v>
      </c>
      <c r="J62" t="n">
        <v>0</v>
      </c>
      <c r="K62" t="n">
        <v>0</v>
      </c>
      <c r="L62" t="n">
        <v>0</v>
      </c>
      <c r="M62" t="n">
        <v>0</v>
      </c>
      <c r="N62" t="n">
        <v>0</v>
      </c>
      <c r="O62" t="n">
        <v>0</v>
      </c>
      <c r="P62" t="n">
        <v>0</v>
      </c>
      <c r="Q62" t="n">
        <v>0</v>
      </c>
      <c r="R62" s="2" t="inlineStr"/>
    </row>
    <row r="63" ht="15" customHeight="1">
      <c r="A63" t="inlineStr">
        <is>
          <t>A 22970-2019</t>
        </is>
      </c>
      <c r="B63" s="1" t="n">
        <v>43591</v>
      </c>
      <c r="C63" s="1" t="n">
        <v>45710</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23665-2019</t>
        </is>
      </c>
      <c r="B64" s="1" t="n">
        <v>43594</v>
      </c>
      <c r="C64" s="1" t="n">
        <v>45710</v>
      </c>
      <c r="D64" t="inlineStr">
        <is>
          <t>DALARNAS LÄN</t>
        </is>
      </c>
      <c r="E64" t="inlineStr">
        <is>
          <t>MORA</t>
        </is>
      </c>
      <c r="G64" t="n">
        <v>1.1</v>
      </c>
      <c r="H64" t="n">
        <v>0</v>
      </c>
      <c r="I64" t="n">
        <v>0</v>
      </c>
      <c r="J64" t="n">
        <v>0</v>
      </c>
      <c r="K64" t="n">
        <v>0</v>
      </c>
      <c r="L64" t="n">
        <v>0</v>
      </c>
      <c r="M64" t="n">
        <v>0</v>
      </c>
      <c r="N64" t="n">
        <v>0</v>
      </c>
      <c r="O64" t="n">
        <v>0</v>
      </c>
      <c r="P64" t="n">
        <v>0</v>
      </c>
      <c r="Q64" t="n">
        <v>0</v>
      </c>
      <c r="R64" s="2" t="inlineStr"/>
    </row>
    <row r="65" ht="15" customHeight="1">
      <c r="A65" t="inlineStr">
        <is>
          <t>A 23636-2019</t>
        </is>
      </c>
      <c r="B65" s="1" t="n">
        <v>43594</v>
      </c>
      <c r="C65" s="1" t="n">
        <v>45710</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24630-2019</t>
        </is>
      </c>
      <c r="B66" s="1" t="n">
        <v>43601</v>
      </c>
      <c r="C66" s="1" t="n">
        <v>45710</v>
      </c>
      <c r="D66" t="inlineStr">
        <is>
          <t>DALARNAS LÄN</t>
        </is>
      </c>
      <c r="E66" t="inlineStr">
        <is>
          <t>MORA</t>
        </is>
      </c>
      <c r="G66" t="n">
        <v>5.8</v>
      </c>
      <c r="H66" t="n">
        <v>0</v>
      </c>
      <c r="I66" t="n">
        <v>0</v>
      </c>
      <c r="J66" t="n">
        <v>0</v>
      </c>
      <c r="K66" t="n">
        <v>0</v>
      </c>
      <c r="L66" t="n">
        <v>0</v>
      </c>
      <c r="M66" t="n">
        <v>0</v>
      </c>
      <c r="N66" t="n">
        <v>0</v>
      </c>
      <c r="O66" t="n">
        <v>0</v>
      </c>
      <c r="P66" t="n">
        <v>0</v>
      </c>
      <c r="Q66" t="n">
        <v>0</v>
      </c>
      <c r="R66" s="2" t="inlineStr"/>
    </row>
    <row r="67" ht="15" customHeight="1">
      <c r="A67" t="inlineStr">
        <is>
          <t>A 25235-2019</t>
        </is>
      </c>
      <c r="B67" s="1" t="n">
        <v>43601</v>
      </c>
      <c r="C67" s="1" t="n">
        <v>45710</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24960-2019</t>
        </is>
      </c>
      <c r="B68" s="1" t="n">
        <v>43602</v>
      </c>
      <c r="C68" s="1" t="n">
        <v>45710</v>
      </c>
      <c r="D68" t="inlineStr">
        <is>
          <t>DALARNAS LÄN</t>
        </is>
      </c>
      <c r="E68" t="inlineStr">
        <is>
          <t>MORA</t>
        </is>
      </c>
      <c r="G68" t="n">
        <v>2.7</v>
      </c>
      <c r="H68" t="n">
        <v>0</v>
      </c>
      <c r="I68" t="n">
        <v>0</v>
      </c>
      <c r="J68" t="n">
        <v>0</v>
      </c>
      <c r="K68" t="n">
        <v>0</v>
      </c>
      <c r="L68" t="n">
        <v>0</v>
      </c>
      <c r="M68" t="n">
        <v>0</v>
      </c>
      <c r="N68" t="n">
        <v>0</v>
      </c>
      <c r="O68" t="n">
        <v>0</v>
      </c>
      <c r="P68" t="n">
        <v>0</v>
      </c>
      <c r="Q68" t="n">
        <v>0</v>
      </c>
      <c r="R68" s="2" t="inlineStr"/>
    </row>
    <row r="69" ht="15" customHeight="1">
      <c r="A69" t="inlineStr">
        <is>
          <t>A 28917-2019</t>
        </is>
      </c>
      <c r="B69" s="1" t="n">
        <v>43612</v>
      </c>
      <c r="C69" s="1" t="n">
        <v>45710</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26405-2019</t>
        </is>
      </c>
      <c r="B70" s="1" t="n">
        <v>43612</v>
      </c>
      <c r="C70" s="1" t="n">
        <v>45710</v>
      </c>
      <c r="D70" t="inlineStr">
        <is>
          <t>DALARNAS LÄN</t>
        </is>
      </c>
      <c r="E70" t="inlineStr">
        <is>
          <t>MORA</t>
        </is>
      </c>
      <c r="G70" t="n">
        <v>3.2</v>
      </c>
      <c r="H70" t="n">
        <v>0</v>
      </c>
      <c r="I70" t="n">
        <v>0</v>
      </c>
      <c r="J70" t="n">
        <v>0</v>
      </c>
      <c r="K70" t="n">
        <v>0</v>
      </c>
      <c r="L70" t="n">
        <v>0</v>
      </c>
      <c r="M70" t="n">
        <v>0</v>
      </c>
      <c r="N70" t="n">
        <v>0</v>
      </c>
      <c r="O70" t="n">
        <v>0</v>
      </c>
      <c r="P70" t="n">
        <v>0</v>
      </c>
      <c r="Q70" t="n">
        <v>0</v>
      </c>
      <c r="R70" s="2" t="inlineStr"/>
    </row>
    <row r="71" ht="15" customHeight="1">
      <c r="A71" t="inlineStr">
        <is>
          <t>A 29231-2019</t>
        </is>
      </c>
      <c r="B71" s="1" t="n">
        <v>43623</v>
      </c>
      <c r="C71" s="1" t="n">
        <v>45710</v>
      </c>
      <c r="D71" t="inlineStr">
        <is>
          <t>DALARNAS LÄN</t>
        </is>
      </c>
      <c r="E71" t="inlineStr">
        <is>
          <t>MORA</t>
        </is>
      </c>
      <c r="G71" t="n">
        <v>24.2</v>
      </c>
      <c r="H71" t="n">
        <v>0</v>
      </c>
      <c r="I71" t="n">
        <v>0</v>
      </c>
      <c r="J71" t="n">
        <v>0</v>
      </c>
      <c r="K71" t="n">
        <v>0</v>
      </c>
      <c r="L71" t="n">
        <v>0</v>
      </c>
      <c r="M71" t="n">
        <v>0</v>
      </c>
      <c r="N71" t="n">
        <v>0</v>
      </c>
      <c r="O71" t="n">
        <v>0</v>
      </c>
      <c r="P71" t="n">
        <v>0</v>
      </c>
      <c r="Q71" t="n">
        <v>0</v>
      </c>
      <c r="R71" s="2" t="inlineStr"/>
    </row>
    <row r="72" ht="15" customHeight="1">
      <c r="A72" t="inlineStr">
        <is>
          <t>A 29370-2019</t>
        </is>
      </c>
      <c r="B72" s="1" t="n">
        <v>43629</v>
      </c>
      <c r="C72" s="1" t="n">
        <v>45710</v>
      </c>
      <c r="D72" t="inlineStr">
        <is>
          <t>DALARNAS LÄN</t>
        </is>
      </c>
      <c r="E72" t="inlineStr">
        <is>
          <t>MORA</t>
        </is>
      </c>
      <c r="G72" t="n">
        <v>2.4</v>
      </c>
      <c r="H72" t="n">
        <v>0</v>
      </c>
      <c r="I72" t="n">
        <v>0</v>
      </c>
      <c r="J72" t="n">
        <v>0</v>
      </c>
      <c r="K72" t="n">
        <v>0</v>
      </c>
      <c r="L72" t="n">
        <v>0</v>
      </c>
      <c r="M72" t="n">
        <v>0</v>
      </c>
      <c r="N72" t="n">
        <v>0</v>
      </c>
      <c r="O72" t="n">
        <v>0</v>
      </c>
      <c r="P72" t="n">
        <v>0</v>
      </c>
      <c r="Q72" t="n">
        <v>0</v>
      </c>
      <c r="R72" s="2" t="inlineStr"/>
    </row>
    <row r="73" ht="15" customHeight="1">
      <c r="A73" t="inlineStr">
        <is>
          <t>A 29395-2019</t>
        </is>
      </c>
      <c r="B73" s="1" t="n">
        <v>43629</v>
      </c>
      <c r="C73" s="1" t="n">
        <v>45710</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30487-2019</t>
        </is>
      </c>
      <c r="B74" s="1" t="n">
        <v>43635</v>
      </c>
      <c r="C74" s="1" t="n">
        <v>45710</v>
      </c>
      <c r="D74" t="inlineStr">
        <is>
          <t>DALARNAS LÄN</t>
        </is>
      </c>
      <c r="E74" t="inlineStr">
        <is>
          <t>MORA</t>
        </is>
      </c>
      <c r="G74" t="n">
        <v>11.5</v>
      </c>
      <c r="H74" t="n">
        <v>0</v>
      </c>
      <c r="I74" t="n">
        <v>0</v>
      </c>
      <c r="J74" t="n">
        <v>0</v>
      </c>
      <c r="K74" t="n">
        <v>0</v>
      </c>
      <c r="L74" t="n">
        <v>0</v>
      </c>
      <c r="M74" t="n">
        <v>0</v>
      </c>
      <c r="N74" t="n">
        <v>0</v>
      </c>
      <c r="O74" t="n">
        <v>0</v>
      </c>
      <c r="P74" t="n">
        <v>0</v>
      </c>
      <c r="Q74" t="n">
        <v>0</v>
      </c>
      <c r="R74" s="2" t="inlineStr"/>
    </row>
    <row r="75" ht="15" customHeight="1">
      <c r="A75" t="inlineStr">
        <is>
          <t>A 30558-2019</t>
        </is>
      </c>
      <c r="B75" s="1" t="n">
        <v>43635</v>
      </c>
      <c r="C75" s="1" t="n">
        <v>45710</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30585-2019</t>
        </is>
      </c>
      <c r="B76" s="1" t="n">
        <v>43635</v>
      </c>
      <c r="C76" s="1" t="n">
        <v>45710</v>
      </c>
      <c r="D76" t="inlineStr">
        <is>
          <t>DALARNAS LÄN</t>
        </is>
      </c>
      <c r="E76" t="inlineStr">
        <is>
          <t>MORA</t>
        </is>
      </c>
      <c r="G76" t="n">
        <v>1.2</v>
      </c>
      <c r="H76" t="n">
        <v>0</v>
      </c>
      <c r="I76" t="n">
        <v>0</v>
      </c>
      <c r="J76" t="n">
        <v>0</v>
      </c>
      <c r="K76" t="n">
        <v>0</v>
      </c>
      <c r="L76" t="n">
        <v>0</v>
      </c>
      <c r="M76" t="n">
        <v>0</v>
      </c>
      <c r="N76" t="n">
        <v>0</v>
      </c>
      <c r="O76" t="n">
        <v>0</v>
      </c>
      <c r="P76" t="n">
        <v>0</v>
      </c>
      <c r="Q76" t="n">
        <v>0</v>
      </c>
      <c r="R76" s="2" t="inlineStr"/>
    </row>
    <row r="77" ht="15" customHeight="1">
      <c r="A77" t="inlineStr">
        <is>
          <t>A 30665-2019</t>
        </is>
      </c>
      <c r="B77" s="1" t="n">
        <v>43636</v>
      </c>
      <c r="C77" s="1" t="n">
        <v>45710</v>
      </c>
      <c r="D77" t="inlineStr">
        <is>
          <t>DALARNAS LÄN</t>
        </is>
      </c>
      <c r="E77" t="inlineStr">
        <is>
          <t>MORA</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30674-2019</t>
        </is>
      </c>
      <c r="B78" s="1" t="n">
        <v>43636</v>
      </c>
      <c r="C78" s="1" t="n">
        <v>45710</v>
      </c>
      <c r="D78" t="inlineStr">
        <is>
          <t>DALARNAS LÄN</t>
        </is>
      </c>
      <c r="E78" t="inlineStr">
        <is>
          <t>MORA</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31007-2019</t>
        </is>
      </c>
      <c r="B79" s="1" t="n">
        <v>43640</v>
      </c>
      <c r="C79" s="1" t="n">
        <v>45710</v>
      </c>
      <c r="D79" t="inlineStr">
        <is>
          <t>DALARNAS LÄN</t>
        </is>
      </c>
      <c r="E79" t="inlineStr">
        <is>
          <t>MORA</t>
        </is>
      </c>
      <c r="G79" t="n">
        <v>15.2</v>
      </c>
      <c r="H79" t="n">
        <v>0</v>
      </c>
      <c r="I79" t="n">
        <v>0</v>
      </c>
      <c r="J79" t="n">
        <v>0</v>
      </c>
      <c r="K79" t="n">
        <v>0</v>
      </c>
      <c r="L79" t="n">
        <v>0</v>
      </c>
      <c r="M79" t="n">
        <v>0</v>
      </c>
      <c r="N79" t="n">
        <v>0</v>
      </c>
      <c r="O79" t="n">
        <v>0</v>
      </c>
      <c r="P79" t="n">
        <v>0</v>
      </c>
      <c r="Q79" t="n">
        <v>0</v>
      </c>
      <c r="R79" s="2" t="inlineStr"/>
    </row>
    <row r="80" ht="15" customHeight="1">
      <c r="A80" t="inlineStr">
        <is>
          <t>A 31786-2019</t>
        </is>
      </c>
      <c r="B80" s="1" t="n">
        <v>43642</v>
      </c>
      <c r="C80" s="1" t="n">
        <v>45710</v>
      </c>
      <c r="D80" t="inlineStr">
        <is>
          <t>DALARNAS LÄN</t>
        </is>
      </c>
      <c r="E80" t="inlineStr">
        <is>
          <t>MORA</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32085-2019</t>
        </is>
      </c>
      <c r="B81" s="1" t="n">
        <v>43643</v>
      </c>
      <c r="C81" s="1" t="n">
        <v>45710</v>
      </c>
      <c r="D81" t="inlineStr">
        <is>
          <t>DALARNAS LÄN</t>
        </is>
      </c>
      <c r="E81" t="inlineStr">
        <is>
          <t>MORA</t>
        </is>
      </c>
      <c r="G81" t="n">
        <v>4.6</v>
      </c>
      <c r="H81" t="n">
        <v>0</v>
      </c>
      <c r="I81" t="n">
        <v>0</v>
      </c>
      <c r="J81" t="n">
        <v>0</v>
      </c>
      <c r="K81" t="n">
        <v>0</v>
      </c>
      <c r="L81" t="n">
        <v>0</v>
      </c>
      <c r="M81" t="n">
        <v>0</v>
      </c>
      <c r="N81" t="n">
        <v>0</v>
      </c>
      <c r="O81" t="n">
        <v>0</v>
      </c>
      <c r="P81" t="n">
        <v>0</v>
      </c>
      <c r="Q81" t="n">
        <v>0</v>
      </c>
      <c r="R81" s="2" t="inlineStr"/>
    </row>
    <row r="82" ht="15" customHeight="1">
      <c r="A82" t="inlineStr">
        <is>
          <t>A 33184-2019</t>
        </is>
      </c>
      <c r="B82" s="1" t="n">
        <v>43649</v>
      </c>
      <c r="C82" s="1" t="n">
        <v>45710</v>
      </c>
      <c r="D82" t="inlineStr">
        <is>
          <t>DALARNAS LÄN</t>
        </is>
      </c>
      <c r="E82" t="inlineStr">
        <is>
          <t>MORA</t>
        </is>
      </c>
      <c r="G82" t="n">
        <v>8.1</v>
      </c>
      <c r="H82" t="n">
        <v>0</v>
      </c>
      <c r="I82" t="n">
        <v>0</v>
      </c>
      <c r="J82" t="n">
        <v>0</v>
      </c>
      <c r="K82" t="n">
        <v>0</v>
      </c>
      <c r="L82" t="n">
        <v>0</v>
      </c>
      <c r="M82" t="n">
        <v>0</v>
      </c>
      <c r="N82" t="n">
        <v>0</v>
      </c>
      <c r="O82" t="n">
        <v>0</v>
      </c>
      <c r="P82" t="n">
        <v>0</v>
      </c>
      <c r="Q82" t="n">
        <v>0</v>
      </c>
      <c r="R82" s="2" t="inlineStr"/>
    </row>
    <row r="83" ht="15" customHeight="1">
      <c r="A83" t="inlineStr">
        <is>
          <t>A 33187-2019</t>
        </is>
      </c>
      <c r="B83" s="1" t="n">
        <v>43649</v>
      </c>
      <c r="C83" s="1" t="n">
        <v>45710</v>
      </c>
      <c r="D83" t="inlineStr">
        <is>
          <t>DALARNAS LÄN</t>
        </is>
      </c>
      <c r="E83" t="inlineStr">
        <is>
          <t>MORA</t>
        </is>
      </c>
      <c r="G83" t="n">
        <v>7.1</v>
      </c>
      <c r="H83" t="n">
        <v>0</v>
      </c>
      <c r="I83" t="n">
        <v>0</v>
      </c>
      <c r="J83" t="n">
        <v>0</v>
      </c>
      <c r="K83" t="n">
        <v>0</v>
      </c>
      <c r="L83" t="n">
        <v>0</v>
      </c>
      <c r="M83" t="n">
        <v>0</v>
      </c>
      <c r="N83" t="n">
        <v>0</v>
      </c>
      <c r="O83" t="n">
        <v>0</v>
      </c>
      <c r="P83" t="n">
        <v>0</v>
      </c>
      <c r="Q83" t="n">
        <v>0</v>
      </c>
      <c r="R83" s="2" t="inlineStr"/>
    </row>
    <row r="84" ht="15" customHeight="1">
      <c r="A84" t="inlineStr">
        <is>
          <t>A 33188-2019</t>
        </is>
      </c>
      <c r="B84" s="1" t="n">
        <v>43649</v>
      </c>
      <c r="C84" s="1" t="n">
        <v>45710</v>
      </c>
      <c r="D84" t="inlineStr">
        <is>
          <t>DALARNAS LÄN</t>
        </is>
      </c>
      <c r="E84" t="inlineStr">
        <is>
          <t>MORA</t>
        </is>
      </c>
      <c r="G84" t="n">
        <v>3.9</v>
      </c>
      <c r="H84" t="n">
        <v>0</v>
      </c>
      <c r="I84" t="n">
        <v>0</v>
      </c>
      <c r="J84" t="n">
        <v>0</v>
      </c>
      <c r="K84" t="n">
        <v>0</v>
      </c>
      <c r="L84" t="n">
        <v>0</v>
      </c>
      <c r="M84" t="n">
        <v>0</v>
      </c>
      <c r="N84" t="n">
        <v>0</v>
      </c>
      <c r="O84" t="n">
        <v>0</v>
      </c>
      <c r="P84" t="n">
        <v>0</v>
      </c>
      <c r="Q84" t="n">
        <v>0</v>
      </c>
      <c r="R84" s="2" t="inlineStr"/>
    </row>
    <row r="85" ht="15" customHeight="1">
      <c r="A85" t="inlineStr">
        <is>
          <t>A 33183-2019</t>
        </is>
      </c>
      <c r="B85" s="1" t="n">
        <v>43649</v>
      </c>
      <c r="C85" s="1" t="n">
        <v>45710</v>
      </c>
      <c r="D85" t="inlineStr">
        <is>
          <t>DALARNAS LÄN</t>
        </is>
      </c>
      <c r="E85" t="inlineStr">
        <is>
          <t>MORA</t>
        </is>
      </c>
      <c r="G85" t="n">
        <v>20.1</v>
      </c>
      <c r="H85" t="n">
        <v>0</v>
      </c>
      <c r="I85" t="n">
        <v>0</v>
      </c>
      <c r="J85" t="n">
        <v>0</v>
      </c>
      <c r="K85" t="n">
        <v>0</v>
      </c>
      <c r="L85" t="n">
        <v>0</v>
      </c>
      <c r="M85" t="n">
        <v>0</v>
      </c>
      <c r="N85" t="n">
        <v>0</v>
      </c>
      <c r="O85" t="n">
        <v>0</v>
      </c>
      <c r="P85" t="n">
        <v>0</v>
      </c>
      <c r="Q85" t="n">
        <v>0</v>
      </c>
      <c r="R85" s="2" t="inlineStr"/>
    </row>
    <row r="86" ht="15" customHeight="1">
      <c r="A86" t="inlineStr">
        <is>
          <t>A 33318-2019</t>
        </is>
      </c>
      <c r="B86" s="1" t="n">
        <v>43650</v>
      </c>
      <c r="C86" s="1" t="n">
        <v>45710</v>
      </c>
      <c r="D86" t="inlineStr">
        <is>
          <t>DALARNAS LÄN</t>
        </is>
      </c>
      <c r="E86" t="inlineStr">
        <is>
          <t>MORA</t>
        </is>
      </c>
      <c r="G86" t="n">
        <v>11.8</v>
      </c>
      <c r="H86" t="n">
        <v>0</v>
      </c>
      <c r="I86" t="n">
        <v>0</v>
      </c>
      <c r="J86" t="n">
        <v>0</v>
      </c>
      <c r="K86" t="n">
        <v>0</v>
      </c>
      <c r="L86" t="n">
        <v>0</v>
      </c>
      <c r="M86" t="n">
        <v>0</v>
      </c>
      <c r="N86" t="n">
        <v>0</v>
      </c>
      <c r="O86" t="n">
        <v>0</v>
      </c>
      <c r="P86" t="n">
        <v>0</v>
      </c>
      <c r="Q86" t="n">
        <v>0</v>
      </c>
      <c r="R86" s="2" t="inlineStr"/>
    </row>
    <row r="87" ht="15" customHeight="1">
      <c r="A87" t="inlineStr">
        <is>
          <t>A 35360-2019</t>
        </is>
      </c>
      <c r="B87" s="1" t="n">
        <v>43651</v>
      </c>
      <c r="C87" s="1" t="n">
        <v>45710</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34330-2019</t>
        </is>
      </c>
      <c r="B88" s="1" t="n">
        <v>43656</v>
      </c>
      <c r="C88" s="1" t="n">
        <v>45710</v>
      </c>
      <c r="D88" t="inlineStr">
        <is>
          <t>DALARNAS LÄN</t>
        </is>
      </c>
      <c r="E88" t="inlineStr">
        <is>
          <t>MORA</t>
        </is>
      </c>
      <c r="G88" t="n">
        <v>2.6</v>
      </c>
      <c r="H88" t="n">
        <v>0</v>
      </c>
      <c r="I88" t="n">
        <v>0</v>
      </c>
      <c r="J88" t="n">
        <v>0</v>
      </c>
      <c r="K88" t="n">
        <v>0</v>
      </c>
      <c r="L88" t="n">
        <v>0</v>
      </c>
      <c r="M88" t="n">
        <v>0</v>
      </c>
      <c r="N88" t="n">
        <v>0</v>
      </c>
      <c r="O88" t="n">
        <v>0</v>
      </c>
      <c r="P88" t="n">
        <v>0</v>
      </c>
      <c r="Q88" t="n">
        <v>0</v>
      </c>
      <c r="R88" s="2" t="inlineStr"/>
    </row>
    <row r="89" ht="15" customHeight="1">
      <c r="A89" t="inlineStr">
        <is>
          <t>A 36275-2019</t>
        </is>
      </c>
      <c r="B89" s="1" t="n">
        <v>43661</v>
      </c>
      <c r="C89" s="1" t="n">
        <v>45710</v>
      </c>
      <c r="D89" t="inlineStr">
        <is>
          <t>DALARNAS LÄN</t>
        </is>
      </c>
      <c r="E89" t="inlineStr">
        <is>
          <t>MORA</t>
        </is>
      </c>
      <c r="G89" t="n">
        <v>7.3</v>
      </c>
      <c r="H89" t="n">
        <v>0</v>
      </c>
      <c r="I89" t="n">
        <v>0</v>
      </c>
      <c r="J89" t="n">
        <v>0</v>
      </c>
      <c r="K89" t="n">
        <v>0</v>
      </c>
      <c r="L89" t="n">
        <v>0</v>
      </c>
      <c r="M89" t="n">
        <v>0</v>
      </c>
      <c r="N89" t="n">
        <v>0</v>
      </c>
      <c r="O89" t="n">
        <v>0</v>
      </c>
      <c r="P89" t="n">
        <v>0</v>
      </c>
      <c r="Q89" t="n">
        <v>0</v>
      </c>
      <c r="R89" s="2" t="inlineStr"/>
    </row>
    <row r="90" ht="15" customHeight="1">
      <c r="A90" t="inlineStr">
        <is>
          <t>A 36440-2019</t>
        </is>
      </c>
      <c r="B90" s="1" t="n">
        <v>43664</v>
      </c>
      <c r="C90" s="1" t="n">
        <v>45710</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37801-2019</t>
        </is>
      </c>
      <c r="B91" s="1" t="n">
        <v>43675</v>
      </c>
      <c r="C91" s="1" t="n">
        <v>45710</v>
      </c>
      <c r="D91" t="inlineStr">
        <is>
          <t>DALARNAS LÄN</t>
        </is>
      </c>
      <c r="E91" t="inlineStr">
        <is>
          <t>MORA</t>
        </is>
      </c>
      <c r="F91" t="inlineStr">
        <is>
          <t>Allmännings- och besparingsskogar</t>
        </is>
      </c>
      <c r="G91" t="n">
        <v>6.2</v>
      </c>
      <c r="H91" t="n">
        <v>0</v>
      </c>
      <c r="I91" t="n">
        <v>0</v>
      </c>
      <c r="J91" t="n">
        <v>0</v>
      </c>
      <c r="K91" t="n">
        <v>0</v>
      </c>
      <c r="L91" t="n">
        <v>0</v>
      </c>
      <c r="M91" t="n">
        <v>0</v>
      </c>
      <c r="N91" t="n">
        <v>0</v>
      </c>
      <c r="O91" t="n">
        <v>0</v>
      </c>
      <c r="P91" t="n">
        <v>0</v>
      </c>
      <c r="Q91" t="n">
        <v>0</v>
      </c>
      <c r="R91" s="2" t="inlineStr"/>
    </row>
    <row r="92" ht="15" customHeight="1">
      <c r="A92" t="inlineStr">
        <is>
          <t>A 37816-2019</t>
        </is>
      </c>
      <c r="B92" s="1" t="n">
        <v>43675</v>
      </c>
      <c r="C92" s="1" t="n">
        <v>45710</v>
      </c>
      <c r="D92" t="inlineStr">
        <is>
          <t>DALARNAS LÄN</t>
        </is>
      </c>
      <c r="E92" t="inlineStr">
        <is>
          <t>MORA</t>
        </is>
      </c>
      <c r="F92" t="inlineStr">
        <is>
          <t>Allmännings- och besparingsskogar</t>
        </is>
      </c>
      <c r="G92" t="n">
        <v>29.9</v>
      </c>
      <c r="H92" t="n">
        <v>0</v>
      </c>
      <c r="I92" t="n">
        <v>0</v>
      </c>
      <c r="J92" t="n">
        <v>0</v>
      </c>
      <c r="K92" t="n">
        <v>0</v>
      </c>
      <c r="L92" t="n">
        <v>0</v>
      </c>
      <c r="M92" t="n">
        <v>0</v>
      </c>
      <c r="N92" t="n">
        <v>0</v>
      </c>
      <c r="O92" t="n">
        <v>0</v>
      </c>
      <c r="P92" t="n">
        <v>0</v>
      </c>
      <c r="Q92" t="n">
        <v>0</v>
      </c>
      <c r="R92" s="2" t="inlineStr"/>
    </row>
    <row r="93" ht="15" customHeight="1">
      <c r="A93" t="inlineStr">
        <is>
          <t>A 36991-2019</t>
        </is>
      </c>
      <c r="B93" s="1" t="n">
        <v>43676</v>
      </c>
      <c r="C93" s="1" t="n">
        <v>45710</v>
      </c>
      <c r="D93" t="inlineStr">
        <is>
          <t>DALARNAS LÄN</t>
        </is>
      </c>
      <c r="E93" t="inlineStr">
        <is>
          <t>MORA</t>
        </is>
      </c>
      <c r="G93" t="n">
        <v>2.7</v>
      </c>
      <c r="H93" t="n">
        <v>0</v>
      </c>
      <c r="I93" t="n">
        <v>0</v>
      </c>
      <c r="J93" t="n">
        <v>0</v>
      </c>
      <c r="K93" t="n">
        <v>0</v>
      </c>
      <c r="L93" t="n">
        <v>0</v>
      </c>
      <c r="M93" t="n">
        <v>0</v>
      </c>
      <c r="N93" t="n">
        <v>0</v>
      </c>
      <c r="O93" t="n">
        <v>0</v>
      </c>
      <c r="P93" t="n">
        <v>0</v>
      </c>
      <c r="Q93" t="n">
        <v>0</v>
      </c>
      <c r="R93" s="2" t="inlineStr"/>
    </row>
    <row r="94" ht="15" customHeight="1">
      <c r="A94" t="inlineStr">
        <is>
          <t>A 38821-2019</t>
        </is>
      </c>
      <c r="B94" s="1" t="n">
        <v>43682</v>
      </c>
      <c r="C94" s="1" t="n">
        <v>45710</v>
      </c>
      <c r="D94" t="inlineStr">
        <is>
          <t>DALARNAS LÄN</t>
        </is>
      </c>
      <c r="E94" t="inlineStr">
        <is>
          <t>MORA</t>
        </is>
      </c>
      <c r="F94" t="inlineStr">
        <is>
          <t>Allmännings- och besparingsskogar</t>
        </is>
      </c>
      <c r="G94" t="n">
        <v>7.1</v>
      </c>
      <c r="H94" t="n">
        <v>0</v>
      </c>
      <c r="I94" t="n">
        <v>0</v>
      </c>
      <c r="J94" t="n">
        <v>0</v>
      </c>
      <c r="K94" t="n">
        <v>0</v>
      </c>
      <c r="L94" t="n">
        <v>0</v>
      </c>
      <c r="M94" t="n">
        <v>0</v>
      </c>
      <c r="N94" t="n">
        <v>0</v>
      </c>
      <c r="O94" t="n">
        <v>0</v>
      </c>
      <c r="P94" t="n">
        <v>0</v>
      </c>
      <c r="Q94" t="n">
        <v>0</v>
      </c>
      <c r="R94" s="2" t="inlineStr"/>
    </row>
    <row r="95" ht="15" customHeight="1">
      <c r="A95" t="inlineStr">
        <is>
          <t>A 38514-2019</t>
        </is>
      </c>
      <c r="B95" s="1" t="n">
        <v>43685</v>
      </c>
      <c r="C95" s="1" t="n">
        <v>45710</v>
      </c>
      <c r="D95" t="inlineStr">
        <is>
          <t>DALARNAS LÄN</t>
        </is>
      </c>
      <c r="E95" t="inlineStr">
        <is>
          <t>MORA</t>
        </is>
      </c>
      <c r="F95" t="inlineStr">
        <is>
          <t>Bergvik skog öst AB</t>
        </is>
      </c>
      <c r="G95" t="n">
        <v>7.4</v>
      </c>
      <c r="H95" t="n">
        <v>0</v>
      </c>
      <c r="I95" t="n">
        <v>0</v>
      </c>
      <c r="J95" t="n">
        <v>0</v>
      </c>
      <c r="K95" t="n">
        <v>0</v>
      </c>
      <c r="L95" t="n">
        <v>0</v>
      </c>
      <c r="M95" t="n">
        <v>0</v>
      </c>
      <c r="N95" t="n">
        <v>0</v>
      </c>
      <c r="O95" t="n">
        <v>0</v>
      </c>
      <c r="P95" t="n">
        <v>0</v>
      </c>
      <c r="Q95" t="n">
        <v>0</v>
      </c>
      <c r="R95" s="2" t="inlineStr"/>
    </row>
    <row r="96" ht="15" customHeight="1">
      <c r="A96" t="inlineStr">
        <is>
          <t>A 39809-2019</t>
        </is>
      </c>
      <c r="B96" s="1" t="n">
        <v>43692</v>
      </c>
      <c r="C96" s="1" t="n">
        <v>45710</v>
      </c>
      <c r="D96" t="inlineStr">
        <is>
          <t>DALARNAS LÄN</t>
        </is>
      </c>
      <c r="E96" t="inlineStr">
        <is>
          <t>MORA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39811-2019</t>
        </is>
      </c>
      <c r="B97" s="1" t="n">
        <v>43692</v>
      </c>
      <c r="C97" s="1" t="n">
        <v>45710</v>
      </c>
      <c r="D97" t="inlineStr">
        <is>
          <t>DALARNAS LÄN</t>
        </is>
      </c>
      <c r="E97" t="inlineStr">
        <is>
          <t>MORA</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40910-2019</t>
        </is>
      </c>
      <c r="B98" s="1" t="n">
        <v>43693</v>
      </c>
      <c r="C98" s="1" t="n">
        <v>45710</v>
      </c>
      <c r="D98" t="inlineStr">
        <is>
          <t>DALARNAS LÄN</t>
        </is>
      </c>
      <c r="E98" t="inlineStr">
        <is>
          <t>MORA</t>
        </is>
      </c>
      <c r="G98" t="n">
        <v>4.2</v>
      </c>
      <c r="H98" t="n">
        <v>0</v>
      </c>
      <c r="I98" t="n">
        <v>0</v>
      </c>
      <c r="J98" t="n">
        <v>0</v>
      </c>
      <c r="K98" t="n">
        <v>0</v>
      </c>
      <c r="L98" t="n">
        <v>0</v>
      </c>
      <c r="M98" t="n">
        <v>0</v>
      </c>
      <c r="N98" t="n">
        <v>0</v>
      </c>
      <c r="O98" t="n">
        <v>0</v>
      </c>
      <c r="P98" t="n">
        <v>0</v>
      </c>
      <c r="Q98" t="n">
        <v>0</v>
      </c>
      <c r="R98" s="2" t="inlineStr"/>
    </row>
    <row r="99" ht="15" customHeight="1">
      <c r="A99" t="inlineStr">
        <is>
          <t>A 42530-2019</t>
        </is>
      </c>
      <c r="B99" s="1" t="n">
        <v>43698</v>
      </c>
      <c r="C99" s="1" t="n">
        <v>45710</v>
      </c>
      <c r="D99" t="inlineStr">
        <is>
          <t>DALARNAS LÄN</t>
        </is>
      </c>
      <c r="E99" t="inlineStr">
        <is>
          <t>MORA</t>
        </is>
      </c>
      <c r="G99" t="n">
        <v>4.7</v>
      </c>
      <c r="H99" t="n">
        <v>0</v>
      </c>
      <c r="I99" t="n">
        <v>0</v>
      </c>
      <c r="J99" t="n">
        <v>0</v>
      </c>
      <c r="K99" t="n">
        <v>0</v>
      </c>
      <c r="L99" t="n">
        <v>0</v>
      </c>
      <c r="M99" t="n">
        <v>0</v>
      </c>
      <c r="N99" t="n">
        <v>0</v>
      </c>
      <c r="O99" t="n">
        <v>0</v>
      </c>
      <c r="P99" t="n">
        <v>0</v>
      </c>
      <c r="Q99" t="n">
        <v>0</v>
      </c>
      <c r="R99" s="2" t="inlineStr"/>
    </row>
    <row r="100" ht="15" customHeight="1">
      <c r="A100" t="inlineStr">
        <is>
          <t>A 43396-2019</t>
        </is>
      </c>
      <c r="B100" s="1" t="n">
        <v>43703</v>
      </c>
      <c r="C100" s="1" t="n">
        <v>45710</v>
      </c>
      <c r="D100" t="inlineStr">
        <is>
          <t>DALARNAS LÄN</t>
        </is>
      </c>
      <c r="E100" t="inlineStr">
        <is>
          <t>MORA</t>
        </is>
      </c>
      <c r="G100" t="n">
        <v>1.1</v>
      </c>
      <c r="H100" t="n">
        <v>0</v>
      </c>
      <c r="I100" t="n">
        <v>0</v>
      </c>
      <c r="J100" t="n">
        <v>0</v>
      </c>
      <c r="K100" t="n">
        <v>0</v>
      </c>
      <c r="L100" t="n">
        <v>0</v>
      </c>
      <c r="M100" t="n">
        <v>0</v>
      </c>
      <c r="N100" t="n">
        <v>0</v>
      </c>
      <c r="O100" t="n">
        <v>0</v>
      </c>
      <c r="P100" t="n">
        <v>0</v>
      </c>
      <c r="Q100" t="n">
        <v>0</v>
      </c>
      <c r="R100" s="2" t="inlineStr"/>
    </row>
    <row r="101" ht="15" customHeight="1">
      <c r="A101" t="inlineStr">
        <is>
          <t>A 43744-2019</t>
        </is>
      </c>
      <c r="B101" s="1" t="n">
        <v>43707</v>
      </c>
      <c r="C101" s="1" t="n">
        <v>45710</v>
      </c>
      <c r="D101" t="inlineStr">
        <is>
          <t>DALARNAS LÄN</t>
        </is>
      </c>
      <c r="E101" t="inlineStr">
        <is>
          <t>MORA</t>
        </is>
      </c>
      <c r="G101" t="n">
        <v>1.3</v>
      </c>
      <c r="H101" t="n">
        <v>0</v>
      </c>
      <c r="I101" t="n">
        <v>0</v>
      </c>
      <c r="J101" t="n">
        <v>0</v>
      </c>
      <c r="K101" t="n">
        <v>0</v>
      </c>
      <c r="L101" t="n">
        <v>0</v>
      </c>
      <c r="M101" t="n">
        <v>0</v>
      </c>
      <c r="N101" t="n">
        <v>0</v>
      </c>
      <c r="O101" t="n">
        <v>0</v>
      </c>
      <c r="P101" t="n">
        <v>0</v>
      </c>
      <c r="Q101" t="n">
        <v>0</v>
      </c>
      <c r="R101" s="2" t="inlineStr"/>
    </row>
    <row r="102" ht="15" customHeight="1">
      <c r="A102" t="inlineStr">
        <is>
          <t>A 43718-2019</t>
        </is>
      </c>
      <c r="B102" s="1" t="n">
        <v>43707</v>
      </c>
      <c r="C102" s="1" t="n">
        <v>45710</v>
      </c>
      <c r="D102" t="inlineStr">
        <is>
          <t>DALARNAS LÄN</t>
        </is>
      </c>
      <c r="E102" t="inlineStr">
        <is>
          <t>MORA</t>
        </is>
      </c>
      <c r="G102" t="n">
        <v>10.7</v>
      </c>
      <c r="H102" t="n">
        <v>0</v>
      </c>
      <c r="I102" t="n">
        <v>0</v>
      </c>
      <c r="J102" t="n">
        <v>0</v>
      </c>
      <c r="K102" t="n">
        <v>0</v>
      </c>
      <c r="L102" t="n">
        <v>0</v>
      </c>
      <c r="M102" t="n">
        <v>0</v>
      </c>
      <c r="N102" t="n">
        <v>0</v>
      </c>
      <c r="O102" t="n">
        <v>0</v>
      </c>
      <c r="P102" t="n">
        <v>0</v>
      </c>
      <c r="Q102" t="n">
        <v>0</v>
      </c>
      <c r="R102" s="2" t="inlineStr"/>
    </row>
    <row r="103" ht="15" customHeight="1">
      <c r="A103" t="inlineStr">
        <is>
          <t>A 44759-2019</t>
        </is>
      </c>
      <c r="B103" s="1" t="n">
        <v>43707</v>
      </c>
      <c r="C103" s="1" t="n">
        <v>45710</v>
      </c>
      <c r="D103" t="inlineStr">
        <is>
          <t>DALARNAS LÄN</t>
        </is>
      </c>
      <c r="E103" t="inlineStr">
        <is>
          <t>MORA</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44766-2019</t>
        </is>
      </c>
      <c r="B104" s="1" t="n">
        <v>43707</v>
      </c>
      <c r="C104" s="1" t="n">
        <v>45710</v>
      </c>
      <c r="D104" t="inlineStr">
        <is>
          <t>DALARNAS LÄN</t>
        </is>
      </c>
      <c r="E104" t="inlineStr">
        <is>
          <t>MORA</t>
        </is>
      </c>
      <c r="F104" t="inlineStr">
        <is>
          <t>Allmännings- och besparingsskogar</t>
        </is>
      </c>
      <c r="G104" t="n">
        <v>32.2</v>
      </c>
      <c r="H104" t="n">
        <v>0</v>
      </c>
      <c r="I104" t="n">
        <v>0</v>
      </c>
      <c r="J104" t="n">
        <v>0</v>
      </c>
      <c r="K104" t="n">
        <v>0</v>
      </c>
      <c r="L104" t="n">
        <v>0</v>
      </c>
      <c r="M104" t="n">
        <v>0</v>
      </c>
      <c r="N104" t="n">
        <v>0</v>
      </c>
      <c r="O104" t="n">
        <v>0</v>
      </c>
      <c r="P104" t="n">
        <v>0</v>
      </c>
      <c r="Q104" t="n">
        <v>0</v>
      </c>
      <c r="R104" s="2" t="inlineStr"/>
    </row>
    <row r="105" ht="15" customHeight="1">
      <c r="A105" t="inlineStr">
        <is>
          <t>A 45989-2019</t>
        </is>
      </c>
      <c r="B105" s="1" t="n">
        <v>43718</v>
      </c>
      <c r="C105" s="1" t="n">
        <v>45710</v>
      </c>
      <c r="D105" t="inlineStr">
        <is>
          <t>DALARNAS LÄN</t>
        </is>
      </c>
      <c r="E105" t="inlineStr">
        <is>
          <t>MORA</t>
        </is>
      </c>
      <c r="G105" t="n">
        <v>12.9</v>
      </c>
      <c r="H105" t="n">
        <v>0</v>
      </c>
      <c r="I105" t="n">
        <v>0</v>
      </c>
      <c r="J105" t="n">
        <v>0</v>
      </c>
      <c r="K105" t="n">
        <v>0</v>
      </c>
      <c r="L105" t="n">
        <v>0</v>
      </c>
      <c r="M105" t="n">
        <v>0</v>
      </c>
      <c r="N105" t="n">
        <v>0</v>
      </c>
      <c r="O105" t="n">
        <v>0</v>
      </c>
      <c r="P105" t="n">
        <v>0</v>
      </c>
      <c r="Q105" t="n">
        <v>0</v>
      </c>
      <c r="R105" s="2" t="inlineStr"/>
    </row>
    <row r="106" ht="15" customHeight="1">
      <c r="A106" t="inlineStr">
        <is>
          <t>A 46119-2019</t>
        </is>
      </c>
      <c r="B106" s="1" t="n">
        <v>43718</v>
      </c>
      <c r="C106" s="1" t="n">
        <v>45710</v>
      </c>
      <c r="D106" t="inlineStr">
        <is>
          <t>DALARNAS LÄN</t>
        </is>
      </c>
      <c r="E106" t="inlineStr">
        <is>
          <t>MORA</t>
        </is>
      </c>
      <c r="G106" t="n">
        <v>3.2</v>
      </c>
      <c r="H106" t="n">
        <v>0</v>
      </c>
      <c r="I106" t="n">
        <v>0</v>
      </c>
      <c r="J106" t="n">
        <v>0</v>
      </c>
      <c r="K106" t="n">
        <v>0</v>
      </c>
      <c r="L106" t="n">
        <v>0</v>
      </c>
      <c r="M106" t="n">
        <v>0</v>
      </c>
      <c r="N106" t="n">
        <v>0</v>
      </c>
      <c r="O106" t="n">
        <v>0</v>
      </c>
      <c r="P106" t="n">
        <v>0</v>
      </c>
      <c r="Q106" t="n">
        <v>0</v>
      </c>
      <c r="R106" s="2" t="inlineStr"/>
    </row>
    <row r="107" ht="15" customHeight="1">
      <c r="A107" t="inlineStr">
        <is>
          <t>A 46171-2019</t>
        </is>
      </c>
      <c r="B107" s="1" t="n">
        <v>43718</v>
      </c>
      <c r="C107" s="1" t="n">
        <v>45710</v>
      </c>
      <c r="D107" t="inlineStr">
        <is>
          <t>DALARNAS LÄN</t>
        </is>
      </c>
      <c r="E107" t="inlineStr">
        <is>
          <t>MORA</t>
        </is>
      </c>
      <c r="G107" t="n">
        <v>6.1</v>
      </c>
      <c r="H107" t="n">
        <v>0</v>
      </c>
      <c r="I107" t="n">
        <v>0</v>
      </c>
      <c r="J107" t="n">
        <v>0</v>
      </c>
      <c r="K107" t="n">
        <v>0</v>
      </c>
      <c r="L107" t="n">
        <v>0</v>
      </c>
      <c r="M107" t="n">
        <v>0</v>
      </c>
      <c r="N107" t="n">
        <v>0</v>
      </c>
      <c r="O107" t="n">
        <v>0</v>
      </c>
      <c r="P107" t="n">
        <v>0</v>
      </c>
      <c r="Q107" t="n">
        <v>0</v>
      </c>
      <c r="R107" s="2" t="inlineStr"/>
    </row>
    <row r="108" ht="15" customHeight="1">
      <c r="A108" t="inlineStr">
        <is>
          <t>A 47713-2019</t>
        </is>
      </c>
      <c r="B108" s="1" t="n">
        <v>43724</v>
      </c>
      <c r="C108" s="1" t="n">
        <v>45710</v>
      </c>
      <c r="D108" t="inlineStr">
        <is>
          <t>DALARNAS LÄN</t>
        </is>
      </c>
      <c r="E108" t="inlineStr">
        <is>
          <t>MORA</t>
        </is>
      </c>
      <c r="G108" t="n">
        <v>11.4</v>
      </c>
      <c r="H108" t="n">
        <v>0</v>
      </c>
      <c r="I108" t="n">
        <v>0</v>
      </c>
      <c r="J108" t="n">
        <v>0</v>
      </c>
      <c r="K108" t="n">
        <v>0</v>
      </c>
      <c r="L108" t="n">
        <v>0</v>
      </c>
      <c r="M108" t="n">
        <v>0</v>
      </c>
      <c r="N108" t="n">
        <v>0</v>
      </c>
      <c r="O108" t="n">
        <v>0</v>
      </c>
      <c r="P108" t="n">
        <v>0</v>
      </c>
      <c r="Q108" t="n">
        <v>0</v>
      </c>
      <c r="R108" s="2" t="inlineStr"/>
    </row>
    <row r="109" ht="15" customHeight="1">
      <c r="A109" t="inlineStr">
        <is>
          <t>A 49193-2019</t>
        </is>
      </c>
      <c r="B109" s="1" t="n">
        <v>43724</v>
      </c>
      <c r="C109" s="1" t="n">
        <v>45710</v>
      </c>
      <c r="D109" t="inlineStr">
        <is>
          <t>DALARNAS LÄN</t>
        </is>
      </c>
      <c r="E109" t="inlineStr">
        <is>
          <t>MORA</t>
        </is>
      </c>
      <c r="G109" t="n">
        <v>4.3</v>
      </c>
      <c r="H109" t="n">
        <v>0</v>
      </c>
      <c r="I109" t="n">
        <v>0</v>
      </c>
      <c r="J109" t="n">
        <v>0</v>
      </c>
      <c r="K109" t="n">
        <v>0</v>
      </c>
      <c r="L109" t="n">
        <v>0</v>
      </c>
      <c r="M109" t="n">
        <v>0</v>
      </c>
      <c r="N109" t="n">
        <v>0</v>
      </c>
      <c r="O109" t="n">
        <v>0</v>
      </c>
      <c r="P109" t="n">
        <v>0</v>
      </c>
      <c r="Q109" t="n">
        <v>0</v>
      </c>
      <c r="R109" s="2" t="inlineStr"/>
    </row>
    <row r="110" ht="15" customHeight="1">
      <c r="A110" t="inlineStr">
        <is>
          <t>A 48445-2019</t>
        </is>
      </c>
      <c r="B110" s="1" t="n">
        <v>43727</v>
      </c>
      <c r="C110" s="1" t="n">
        <v>45710</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48460-2019</t>
        </is>
      </c>
      <c r="B111" s="1" t="n">
        <v>43727</v>
      </c>
      <c r="C111" s="1" t="n">
        <v>45710</v>
      </c>
      <c r="D111" t="inlineStr">
        <is>
          <t>DALARNAS LÄN</t>
        </is>
      </c>
      <c r="E111" t="inlineStr">
        <is>
          <t>MORA</t>
        </is>
      </c>
      <c r="G111" t="n">
        <v>1.2</v>
      </c>
      <c r="H111" t="n">
        <v>0</v>
      </c>
      <c r="I111" t="n">
        <v>0</v>
      </c>
      <c r="J111" t="n">
        <v>0</v>
      </c>
      <c r="K111" t="n">
        <v>0</v>
      </c>
      <c r="L111" t="n">
        <v>0</v>
      </c>
      <c r="M111" t="n">
        <v>0</v>
      </c>
      <c r="N111" t="n">
        <v>0</v>
      </c>
      <c r="O111" t="n">
        <v>0</v>
      </c>
      <c r="P111" t="n">
        <v>0</v>
      </c>
      <c r="Q111" t="n">
        <v>0</v>
      </c>
      <c r="R111" s="2" t="inlineStr"/>
    </row>
    <row r="112" ht="15" customHeight="1">
      <c r="A112" t="inlineStr">
        <is>
          <t>A 49051-2019</t>
        </is>
      </c>
      <c r="B112" s="1" t="n">
        <v>43731</v>
      </c>
      <c r="C112" s="1" t="n">
        <v>45710</v>
      </c>
      <c r="D112" t="inlineStr">
        <is>
          <t>DALARNAS LÄN</t>
        </is>
      </c>
      <c r="E112" t="inlineStr">
        <is>
          <t>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49290-2019</t>
        </is>
      </c>
      <c r="B113" s="1" t="n">
        <v>43731</v>
      </c>
      <c r="C113" s="1" t="n">
        <v>45710</v>
      </c>
      <c r="D113" t="inlineStr">
        <is>
          <t>DALARNAS LÄN</t>
        </is>
      </c>
      <c r="E113" t="inlineStr">
        <is>
          <t>MORA</t>
        </is>
      </c>
      <c r="G113" t="n">
        <v>0.8</v>
      </c>
      <c r="H113" t="n">
        <v>0</v>
      </c>
      <c r="I113" t="n">
        <v>0</v>
      </c>
      <c r="J113" t="n">
        <v>0</v>
      </c>
      <c r="K113" t="n">
        <v>0</v>
      </c>
      <c r="L113" t="n">
        <v>0</v>
      </c>
      <c r="M113" t="n">
        <v>0</v>
      </c>
      <c r="N113" t="n">
        <v>0</v>
      </c>
      <c r="O113" t="n">
        <v>0</v>
      </c>
      <c r="P113" t="n">
        <v>0</v>
      </c>
      <c r="Q113" t="n">
        <v>0</v>
      </c>
      <c r="R113" s="2" t="inlineStr"/>
    </row>
    <row r="114" ht="15" customHeight="1">
      <c r="A114" t="inlineStr">
        <is>
          <t>A 49765-2019</t>
        </is>
      </c>
      <c r="B114" s="1" t="n">
        <v>43733</v>
      </c>
      <c r="C114" s="1" t="n">
        <v>45710</v>
      </c>
      <c r="D114" t="inlineStr">
        <is>
          <t>DALARNAS LÄN</t>
        </is>
      </c>
      <c r="E114" t="inlineStr">
        <is>
          <t>MORA</t>
        </is>
      </c>
      <c r="F114" t="inlineStr">
        <is>
          <t>Bergvik skog väst AB</t>
        </is>
      </c>
      <c r="G114" t="n">
        <v>9.6</v>
      </c>
      <c r="H114" t="n">
        <v>0</v>
      </c>
      <c r="I114" t="n">
        <v>0</v>
      </c>
      <c r="J114" t="n">
        <v>0</v>
      </c>
      <c r="K114" t="n">
        <v>0</v>
      </c>
      <c r="L114" t="n">
        <v>0</v>
      </c>
      <c r="M114" t="n">
        <v>0</v>
      </c>
      <c r="N114" t="n">
        <v>0</v>
      </c>
      <c r="O114" t="n">
        <v>0</v>
      </c>
      <c r="P114" t="n">
        <v>0</v>
      </c>
      <c r="Q114" t="n">
        <v>0</v>
      </c>
      <c r="R114" s="2" t="inlineStr"/>
    </row>
    <row r="115" ht="15" customHeight="1">
      <c r="A115" t="inlineStr">
        <is>
          <t>A 52958-2019</t>
        </is>
      </c>
      <c r="B115" s="1" t="n">
        <v>43747</v>
      </c>
      <c r="C115" s="1" t="n">
        <v>45710</v>
      </c>
      <c r="D115" t="inlineStr">
        <is>
          <t>DALARNAS LÄN</t>
        </is>
      </c>
      <c r="E115" t="inlineStr">
        <is>
          <t>MORA</t>
        </is>
      </c>
      <c r="G115" t="n">
        <v>6.8</v>
      </c>
      <c r="H115" t="n">
        <v>0</v>
      </c>
      <c r="I115" t="n">
        <v>0</v>
      </c>
      <c r="J115" t="n">
        <v>0</v>
      </c>
      <c r="K115" t="n">
        <v>0</v>
      </c>
      <c r="L115" t="n">
        <v>0</v>
      </c>
      <c r="M115" t="n">
        <v>0</v>
      </c>
      <c r="N115" t="n">
        <v>0</v>
      </c>
      <c r="O115" t="n">
        <v>0</v>
      </c>
      <c r="P115" t="n">
        <v>0</v>
      </c>
      <c r="Q115" t="n">
        <v>0</v>
      </c>
      <c r="R115" s="2" t="inlineStr"/>
    </row>
    <row r="116" ht="15" customHeight="1">
      <c r="A116" t="inlineStr">
        <is>
          <t>A 53336-2019</t>
        </is>
      </c>
      <c r="B116" s="1" t="n">
        <v>43748</v>
      </c>
      <c r="C116" s="1" t="n">
        <v>45710</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54605-2019</t>
        </is>
      </c>
      <c r="B117" s="1" t="n">
        <v>43754</v>
      </c>
      <c r="C117" s="1" t="n">
        <v>45710</v>
      </c>
      <c r="D117" t="inlineStr">
        <is>
          <t>DALARNAS LÄN</t>
        </is>
      </c>
      <c r="E117" t="inlineStr">
        <is>
          <t>MORA</t>
        </is>
      </c>
      <c r="F117" t="inlineStr">
        <is>
          <t>Övriga Aktiebolag</t>
        </is>
      </c>
      <c r="G117" t="n">
        <v>12.7</v>
      </c>
      <c r="H117" t="n">
        <v>0</v>
      </c>
      <c r="I117" t="n">
        <v>0</v>
      </c>
      <c r="J117" t="n">
        <v>0</v>
      </c>
      <c r="K117" t="n">
        <v>0</v>
      </c>
      <c r="L117" t="n">
        <v>0</v>
      </c>
      <c r="M117" t="n">
        <v>0</v>
      </c>
      <c r="N117" t="n">
        <v>0</v>
      </c>
      <c r="O117" t="n">
        <v>0</v>
      </c>
      <c r="P117" t="n">
        <v>0</v>
      </c>
      <c r="Q117" t="n">
        <v>0</v>
      </c>
      <c r="R117" s="2" t="inlineStr"/>
    </row>
    <row r="118" ht="15" customHeight="1">
      <c r="A118" t="inlineStr">
        <is>
          <t>A 56145-2019</t>
        </is>
      </c>
      <c r="B118" s="1" t="n">
        <v>43761</v>
      </c>
      <c r="C118" s="1" t="n">
        <v>45710</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57254-2019</t>
        </is>
      </c>
      <c r="B119" s="1" t="n">
        <v>43767</v>
      </c>
      <c r="C119" s="1" t="n">
        <v>45710</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57640-2019</t>
        </is>
      </c>
      <c r="B120" s="1" t="n">
        <v>43768</v>
      </c>
      <c r="C120" s="1" t="n">
        <v>45710</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57989-2019</t>
        </is>
      </c>
      <c r="B121" s="1" t="n">
        <v>43769</v>
      </c>
      <c r="C121" s="1" t="n">
        <v>45710</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57984-2019</t>
        </is>
      </c>
      <c r="B122" s="1" t="n">
        <v>43769</v>
      </c>
      <c r="C122" s="1" t="n">
        <v>45710</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58335-2019</t>
        </is>
      </c>
      <c r="B123" s="1" t="n">
        <v>43770</v>
      </c>
      <c r="C123" s="1" t="n">
        <v>45710</v>
      </c>
      <c r="D123" t="inlineStr">
        <is>
          <t>DALARNAS LÄN</t>
        </is>
      </c>
      <c r="E123" t="inlineStr">
        <is>
          <t>MORA</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61077-2019</t>
        </is>
      </c>
      <c r="B124" s="1" t="n">
        <v>43782</v>
      </c>
      <c r="C124" s="1" t="n">
        <v>45710</v>
      </c>
      <c r="D124" t="inlineStr">
        <is>
          <t>DALARNAS LÄN</t>
        </is>
      </c>
      <c r="E124" t="inlineStr">
        <is>
          <t>MORA</t>
        </is>
      </c>
      <c r="F124" t="inlineStr">
        <is>
          <t>Bergvik skog öst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61063-2019</t>
        </is>
      </c>
      <c r="B125" s="1" t="n">
        <v>43782</v>
      </c>
      <c r="C125" s="1" t="n">
        <v>45710</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61324-2019</t>
        </is>
      </c>
      <c r="B126" s="1" t="n">
        <v>43783</v>
      </c>
      <c r="C126" s="1" t="n">
        <v>45710</v>
      </c>
      <c r="D126" t="inlineStr">
        <is>
          <t>DALARNAS LÄN</t>
        </is>
      </c>
      <c r="E126" t="inlineStr">
        <is>
          <t>MORA</t>
        </is>
      </c>
      <c r="F126" t="inlineStr">
        <is>
          <t>Bergvik skog väst AB</t>
        </is>
      </c>
      <c r="G126" t="n">
        <v>5.9</v>
      </c>
      <c r="H126" t="n">
        <v>0</v>
      </c>
      <c r="I126" t="n">
        <v>0</v>
      </c>
      <c r="J126" t="n">
        <v>0</v>
      </c>
      <c r="K126" t="n">
        <v>0</v>
      </c>
      <c r="L126" t="n">
        <v>0</v>
      </c>
      <c r="M126" t="n">
        <v>0</v>
      </c>
      <c r="N126" t="n">
        <v>0</v>
      </c>
      <c r="O126" t="n">
        <v>0</v>
      </c>
      <c r="P126" t="n">
        <v>0</v>
      </c>
      <c r="Q126" t="n">
        <v>0</v>
      </c>
      <c r="R126" s="2" t="inlineStr"/>
    </row>
    <row r="127" ht="15" customHeight="1">
      <c r="A127" t="inlineStr">
        <is>
          <t>A 61646-2019</t>
        </is>
      </c>
      <c r="B127" s="1" t="n">
        <v>43784</v>
      </c>
      <c r="C127" s="1" t="n">
        <v>45710</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62001-2019</t>
        </is>
      </c>
      <c r="B128" s="1" t="n">
        <v>43787</v>
      </c>
      <c r="C128" s="1" t="n">
        <v>45710</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63093-2019</t>
        </is>
      </c>
      <c r="B129" s="1" t="n">
        <v>43791</v>
      </c>
      <c r="C129" s="1" t="n">
        <v>45710</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63072-2019</t>
        </is>
      </c>
      <c r="B130" s="1" t="n">
        <v>43791</v>
      </c>
      <c r="C130" s="1" t="n">
        <v>45710</v>
      </c>
      <c r="D130" t="inlineStr">
        <is>
          <t>DALARNAS LÄN</t>
        </is>
      </c>
      <c r="E130" t="inlineStr">
        <is>
          <t>MORA</t>
        </is>
      </c>
      <c r="G130" t="n">
        <v>1</v>
      </c>
      <c r="H130" t="n">
        <v>0</v>
      </c>
      <c r="I130" t="n">
        <v>0</v>
      </c>
      <c r="J130" t="n">
        <v>0</v>
      </c>
      <c r="K130" t="n">
        <v>0</v>
      </c>
      <c r="L130" t="n">
        <v>0</v>
      </c>
      <c r="M130" t="n">
        <v>0</v>
      </c>
      <c r="N130" t="n">
        <v>0</v>
      </c>
      <c r="O130" t="n">
        <v>0</v>
      </c>
      <c r="P130" t="n">
        <v>0</v>
      </c>
      <c r="Q130" t="n">
        <v>0</v>
      </c>
      <c r="R130" s="2" t="inlineStr"/>
    </row>
    <row r="131" ht="15" customHeight="1">
      <c r="A131" t="inlineStr">
        <is>
          <t>A 63655-2019</t>
        </is>
      </c>
      <c r="B131" s="1" t="n">
        <v>43795</v>
      </c>
      <c r="C131" s="1" t="n">
        <v>45710</v>
      </c>
      <c r="D131" t="inlineStr">
        <is>
          <t>DALARNAS LÄN</t>
        </is>
      </c>
      <c r="E131" t="inlineStr">
        <is>
          <t>MORA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65090-2019</t>
        </is>
      </c>
      <c r="B132" s="1" t="n">
        <v>43802</v>
      </c>
      <c r="C132" s="1" t="n">
        <v>45710</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65460-2019</t>
        </is>
      </c>
      <c r="B133" s="1" t="n">
        <v>43803</v>
      </c>
      <c r="C133" s="1" t="n">
        <v>45710</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65633-2019</t>
        </is>
      </c>
      <c r="B134" s="1" t="n">
        <v>43804</v>
      </c>
      <c r="C134" s="1" t="n">
        <v>45710</v>
      </c>
      <c r="D134" t="inlineStr">
        <is>
          <t>DALARNAS LÄN</t>
        </is>
      </c>
      <c r="E134" t="inlineStr">
        <is>
          <t>MORA</t>
        </is>
      </c>
      <c r="G134" t="n">
        <v>2.7</v>
      </c>
      <c r="H134" t="n">
        <v>0</v>
      </c>
      <c r="I134" t="n">
        <v>0</v>
      </c>
      <c r="J134" t="n">
        <v>0</v>
      </c>
      <c r="K134" t="n">
        <v>0</v>
      </c>
      <c r="L134" t="n">
        <v>0</v>
      </c>
      <c r="M134" t="n">
        <v>0</v>
      </c>
      <c r="N134" t="n">
        <v>0</v>
      </c>
      <c r="O134" t="n">
        <v>0</v>
      </c>
      <c r="P134" t="n">
        <v>0</v>
      </c>
      <c r="Q134" t="n">
        <v>0</v>
      </c>
      <c r="R134" s="2" t="inlineStr"/>
    </row>
    <row r="135" ht="15" customHeight="1">
      <c r="A135" t="inlineStr">
        <is>
          <t>A 66214-2019</t>
        </is>
      </c>
      <c r="B135" s="1" t="n">
        <v>43808</v>
      </c>
      <c r="C135" s="1" t="n">
        <v>45710</v>
      </c>
      <c r="D135" t="inlineStr">
        <is>
          <t>DALARNAS LÄN</t>
        </is>
      </c>
      <c r="E135" t="inlineStr">
        <is>
          <t>MORA</t>
        </is>
      </c>
      <c r="G135" t="n">
        <v>5.8</v>
      </c>
      <c r="H135" t="n">
        <v>0</v>
      </c>
      <c r="I135" t="n">
        <v>0</v>
      </c>
      <c r="J135" t="n">
        <v>0</v>
      </c>
      <c r="K135" t="n">
        <v>0</v>
      </c>
      <c r="L135" t="n">
        <v>0</v>
      </c>
      <c r="M135" t="n">
        <v>0</v>
      </c>
      <c r="N135" t="n">
        <v>0</v>
      </c>
      <c r="O135" t="n">
        <v>0</v>
      </c>
      <c r="P135" t="n">
        <v>0</v>
      </c>
      <c r="Q135" t="n">
        <v>0</v>
      </c>
      <c r="R135" s="2" t="inlineStr"/>
    </row>
    <row r="136" ht="15" customHeight="1">
      <c r="A136" t="inlineStr">
        <is>
          <t>A 66873-2019</t>
        </is>
      </c>
      <c r="B136" s="1" t="n">
        <v>43810</v>
      </c>
      <c r="C136" s="1" t="n">
        <v>45710</v>
      </c>
      <c r="D136" t="inlineStr">
        <is>
          <t>DALARNAS LÄN</t>
        </is>
      </c>
      <c r="E136" t="inlineStr">
        <is>
          <t>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66868-2019</t>
        </is>
      </c>
      <c r="B137" s="1" t="n">
        <v>43810</v>
      </c>
      <c r="C137" s="1" t="n">
        <v>45710</v>
      </c>
      <c r="D137" t="inlineStr">
        <is>
          <t>DALARNAS LÄN</t>
        </is>
      </c>
      <c r="E137" t="inlineStr">
        <is>
          <t>MORA</t>
        </is>
      </c>
      <c r="G137" t="n">
        <v>3.3</v>
      </c>
      <c r="H137" t="n">
        <v>0</v>
      </c>
      <c r="I137" t="n">
        <v>0</v>
      </c>
      <c r="J137" t="n">
        <v>0</v>
      </c>
      <c r="K137" t="n">
        <v>0</v>
      </c>
      <c r="L137" t="n">
        <v>0</v>
      </c>
      <c r="M137" t="n">
        <v>0</v>
      </c>
      <c r="N137" t="n">
        <v>0</v>
      </c>
      <c r="O137" t="n">
        <v>0</v>
      </c>
      <c r="P137" t="n">
        <v>0</v>
      </c>
      <c r="Q137" t="n">
        <v>0</v>
      </c>
      <c r="R137" s="2" t="inlineStr"/>
    </row>
    <row r="138" ht="15" customHeight="1">
      <c r="A138" t="inlineStr">
        <is>
          <t>A 66878-2019</t>
        </is>
      </c>
      <c r="B138" s="1" t="n">
        <v>43810</v>
      </c>
      <c r="C138" s="1" t="n">
        <v>45710</v>
      </c>
      <c r="D138" t="inlineStr">
        <is>
          <t>DALARNAS LÄN</t>
        </is>
      </c>
      <c r="E138" t="inlineStr">
        <is>
          <t>MORA</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67986-2019</t>
        </is>
      </c>
      <c r="B139" s="1" t="n">
        <v>43811</v>
      </c>
      <c r="C139" s="1" t="n">
        <v>45710</v>
      </c>
      <c r="D139" t="inlineStr">
        <is>
          <t>DALARNAS LÄN</t>
        </is>
      </c>
      <c r="E139" t="inlineStr">
        <is>
          <t>MORA</t>
        </is>
      </c>
      <c r="G139" t="n">
        <v>3.8</v>
      </c>
      <c r="H139" t="n">
        <v>0</v>
      </c>
      <c r="I139" t="n">
        <v>0</v>
      </c>
      <c r="J139" t="n">
        <v>0</v>
      </c>
      <c r="K139" t="n">
        <v>0</v>
      </c>
      <c r="L139" t="n">
        <v>0</v>
      </c>
      <c r="M139" t="n">
        <v>0</v>
      </c>
      <c r="N139" t="n">
        <v>0</v>
      </c>
      <c r="O139" t="n">
        <v>0</v>
      </c>
      <c r="P139" t="n">
        <v>0</v>
      </c>
      <c r="Q139" t="n">
        <v>0</v>
      </c>
      <c r="R139" s="2" t="inlineStr"/>
    </row>
    <row r="140" ht="15" customHeight="1">
      <c r="A140" t="inlineStr">
        <is>
          <t>A 67633-2019</t>
        </is>
      </c>
      <c r="B140" s="1" t="n">
        <v>43815</v>
      </c>
      <c r="C140" s="1" t="n">
        <v>45710</v>
      </c>
      <c r="D140" t="inlineStr">
        <is>
          <t>DALARNAS LÄN</t>
        </is>
      </c>
      <c r="E140" t="inlineStr">
        <is>
          <t>MORA</t>
        </is>
      </c>
      <c r="G140" t="n">
        <v>4.7</v>
      </c>
      <c r="H140" t="n">
        <v>0</v>
      </c>
      <c r="I140" t="n">
        <v>0</v>
      </c>
      <c r="J140" t="n">
        <v>0</v>
      </c>
      <c r="K140" t="n">
        <v>0</v>
      </c>
      <c r="L140" t="n">
        <v>0</v>
      </c>
      <c r="M140" t="n">
        <v>0</v>
      </c>
      <c r="N140" t="n">
        <v>0</v>
      </c>
      <c r="O140" t="n">
        <v>0</v>
      </c>
      <c r="P140" t="n">
        <v>0</v>
      </c>
      <c r="Q140" t="n">
        <v>0</v>
      </c>
      <c r="R140" s="2" t="inlineStr"/>
    </row>
    <row r="141" ht="15" customHeight="1">
      <c r="A141" t="inlineStr">
        <is>
          <t>A 564-2020</t>
        </is>
      </c>
      <c r="B141" s="1" t="n">
        <v>43817</v>
      </c>
      <c r="C141" s="1" t="n">
        <v>45710</v>
      </c>
      <c r="D141" t="inlineStr">
        <is>
          <t>DALARNAS LÄN</t>
        </is>
      </c>
      <c r="E141" t="inlineStr">
        <is>
          <t>MORA</t>
        </is>
      </c>
      <c r="F141" t="inlineStr">
        <is>
          <t>Kommuner</t>
        </is>
      </c>
      <c r="G141" t="n">
        <v>56.1</v>
      </c>
      <c r="H141" t="n">
        <v>0</v>
      </c>
      <c r="I141" t="n">
        <v>0</v>
      </c>
      <c r="J141" t="n">
        <v>0</v>
      </c>
      <c r="K141" t="n">
        <v>0</v>
      </c>
      <c r="L141" t="n">
        <v>0</v>
      </c>
      <c r="M141" t="n">
        <v>0</v>
      </c>
      <c r="N141" t="n">
        <v>0</v>
      </c>
      <c r="O141" t="n">
        <v>0</v>
      </c>
      <c r="P141" t="n">
        <v>0</v>
      </c>
      <c r="Q141" t="n">
        <v>0</v>
      </c>
      <c r="R141" s="2" t="inlineStr"/>
    </row>
    <row r="142" ht="15" customHeight="1">
      <c r="A142" t="inlineStr">
        <is>
          <t>A 68092-2019</t>
        </is>
      </c>
      <c r="B142" s="1" t="n">
        <v>43817</v>
      </c>
      <c r="C142" s="1" t="n">
        <v>45710</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1506-2020</t>
        </is>
      </c>
      <c r="B143" s="1" t="n">
        <v>43826</v>
      </c>
      <c r="C143" s="1" t="n">
        <v>45710</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472-2020</t>
        </is>
      </c>
      <c r="B144" s="1" t="n">
        <v>43837</v>
      </c>
      <c r="C144" s="1" t="n">
        <v>45710</v>
      </c>
      <c r="D144" t="inlineStr">
        <is>
          <t>DALARNAS LÄN</t>
        </is>
      </c>
      <c r="E144" t="inlineStr">
        <is>
          <t>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1841-2020</t>
        </is>
      </c>
      <c r="B145" s="1" t="n">
        <v>43844</v>
      </c>
      <c r="C145" s="1" t="n">
        <v>45710</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3588-2020</t>
        </is>
      </c>
      <c r="B146" s="1" t="n">
        <v>43845</v>
      </c>
      <c r="C146" s="1" t="n">
        <v>45710</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4106-2020</t>
        </is>
      </c>
      <c r="B147" s="1" t="n">
        <v>43857</v>
      </c>
      <c r="C147" s="1" t="n">
        <v>45710</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4818-2020</t>
        </is>
      </c>
      <c r="B148" s="1" t="n">
        <v>43859</v>
      </c>
      <c r="C148" s="1" t="n">
        <v>45710</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6012-2020</t>
        </is>
      </c>
      <c r="B149" s="1" t="n">
        <v>43865</v>
      </c>
      <c r="C149" s="1" t="n">
        <v>45710</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7093-2020</t>
        </is>
      </c>
      <c r="B150" s="1" t="n">
        <v>43868</v>
      </c>
      <c r="C150" s="1" t="n">
        <v>45710</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7382-2020</t>
        </is>
      </c>
      <c r="B151" s="1" t="n">
        <v>43871</v>
      </c>
      <c r="C151" s="1" t="n">
        <v>45710</v>
      </c>
      <c r="D151" t="inlineStr">
        <is>
          <t>DALARNAS LÄN</t>
        </is>
      </c>
      <c r="E151" t="inlineStr">
        <is>
          <t>MORA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10704-2020</t>
        </is>
      </c>
      <c r="B152" s="1" t="n">
        <v>43888</v>
      </c>
      <c r="C152" s="1" t="n">
        <v>45710</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12360-2020</t>
        </is>
      </c>
      <c r="B153" s="1" t="n">
        <v>43896</v>
      </c>
      <c r="C153" s="1" t="n">
        <v>45710</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12723-2020</t>
        </is>
      </c>
      <c r="B154" s="1" t="n">
        <v>43899</v>
      </c>
      <c r="C154" s="1" t="n">
        <v>45710</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13943-2020</t>
        </is>
      </c>
      <c r="B155" s="1" t="n">
        <v>43906</v>
      </c>
      <c r="C155" s="1" t="n">
        <v>45710</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16636-2020</t>
        </is>
      </c>
      <c r="B156" s="1" t="n">
        <v>43910</v>
      </c>
      <c r="C156" s="1" t="n">
        <v>45710</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16194-2020</t>
        </is>
      </c>
      <c r="B157" s="1" t="n">
        <v>43917</v>
      </c>
      <c r="C157" s="1" t="n">
        <v>45710</v>
      </c>
      <c r="D157" t="inlineStr">
        <is>
          <t>DALARNAS LÄN</t>
        </is>
      </c>
      <c r="E157" t="inlineStr">
        <is>
          <t>MORA</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16195-2020</t>
        </is>
      </c>
      <c r="B158" s="1" t="n">
        <v>43917</v>
      </c>
      <c r="C158" s="1" t="n">
        <v>45710</v>
      </c>
      <c r="D158" t="inlineStr">
        <is>
          <t>DALARNAS LÄN</t>
        </is>
      </c>
      <c r="E158" t="inlineStr">
        <is>
          <t>MORA</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18989-2020</t>
        </is>
      </c>
      <c r="B159" s="1" t="n">
        <v>43935</v>
      </c>
      <c r="C159" s="1" t="n">
        <v>45710</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18978-2020</t>
        </is>
      </c>
      <c r="B160" s="1" t="n">
        <v>43935</v>
      </c>
      <c r="C160" s="1" t="n">
        <v>45710</v>
      </c>
      <c r="D160" t="inlineStr">
        <is>
          <t>DALARNAS LÄN</t>
        </is>
      </c>
      <c r="E160" t="inlineStr">
        <is>
          <t>MORA</t>
        </is>
      </c>
      <c r="F160" t="inlineStr">
        <is>
          <t>Bergvik skog öst AB</t>
        </is>
      </c>
      <c r="G160" t="n">
        <v>1.5</v>
      </c>
      <c r="H160" t="n">
        <v>0</v>
      </c>
      <c r="I160" t="n">
        <v>0</v>
      </c>
      <c r="J160" t="n">
        <v>0</v>
      </c>
      <c r="K160" t="n">
        <v>0</v>
      </c>
      <c r="L160" t="n">
        <v>0</v>
      </c>
      <c r="M160" t="n">
        <v>0</v>
      </c>
      <c r="N160" t="n">
        <v>0</v>
      </c>
      <c r="O160" t="n">
        <v>0</v>
      </c>
      <c r="P160" t="n">
        <v>0</v>
      </c>
      <c r="Q160" t="n">
        <v>0</v>
      </c>
      <c r="R160" s="2" t="inlineStr"/>
    </row>
    <row r="161" ht="15" customHeight="1">
      <c r="A161" t="inlineStr">
        <is>
          <t>A 19507-2020</t>
        </is>
      </c>
      <c r="B161" s="1" t="n">
        <v>43938</v>
      </c>
      <c r="C161" s="1" t="n">
        <v>45710</v>
      </c>
      <c r="D161" t="inlineStr">
        <is>
          <t>DALARNAS LÄN</t>
        </is>
      </c>
      <c r="E161" t="inlineStr">
        <is>
          <t>MORA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21122-2020</t>
        </is>
      </c>
      <c r="B162" s="1" t="n">
        <v>43951</v>
      </c>
      <c r="C162" s="1" t="n">
        <v>45710</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21951-2020</t>
        </is>
      </c>
      <c r="B163" s="1" t="n">
        <v>43958</v>
      </c>
      <c r="C163" s="1" t="n">
        <v>45710</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24719-2020</t>
        </is>
      </c>
      <c r="B164" s="1" t="n">
        <v>43978</v>
      </c>
      <c r="C164" s="1" t="n">
        <v>45710</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25852-2020</t>
        </is>
      </c>
      <c r="B165" s="1" t="n">
        <v>43984</v>
      </c>
      <c r="C165" s="1" t="n">
        <v>45710</v>
      </c>
      <c r="D165" t="inlineStr">
        <is>
          <t>DALARNAS LÄN</t>
        </is>
      </c>
      <c r="E165" t="inlineStr">
        <is>
          <t>MORA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26454-2020</t>
        </is>
      </c>
      <c r="B166" s="1" t="n">
        <v>43987</v>
      </c>
      <c r="C166" s="1" t="n">
        <v>45710</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26460-2020</t>
        </is>
      </c>
      <c r="B167" s="1" t="n">
        <v>43987</v>
      </c>
      <c r="C167" s="1" t="n">
        <v>45710</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29751-2020</t>
        </is>
      </c>
      <c r="B168" s="1" t="n">
        <v>44005</v>
      </c>
      <c r="C168" s="1" t="n">
        <v>45710</v>
      </c>
      <c r="D168" t="inlineStr">
        <is>
          <t>DALARNAS LÄN</t>
        </is>
      </c>
      <c r="E168" t="inlineStr">
        <is>
          <t>MORA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29881-2020</t>
        </is>
      </c>
      <c r="B169" s="1" t="n">
        <v>44006</v>
      </c>
      <c r="C169" s="1" t="n">
        <v>45710</v>
      </c>
      <c r="D169" t="inlineStr">
        <is>
          <t>DALARNAS LÄN</t>
        </is>
      </c>
      <c r="E169" t="inlineStr">
        <is>
          <t>MORA</t>
        </is>
      </c>
      <c r="G169" t="n">
        <v>3.7</v>
      </c>
      <c r="H169" t="n">
        <v>0</v>
      </c>
      <c r="I169" t="n">
        <v>0</v>
      </c>
      <c r="J169" t="n">
        <v>0</v>
      </c>
      <c r="K169" t="n">
        <v>0</v>
      </c>
      <c r="L169" t="n">
        <v>0</v>
      </c>
      <c r="M169" t="n">
        <v>0</v>
      </c>
      <c r="N169" t="n">
        <v>0</v>
      </c>
      <c r="O169" t="n">
        <v>0</v>
      </c>
      <c r="P169" t="n">
        <v>0</v>
      </c>
      <c r="Q169" t="n">
        <v>0</v>
      </c>
      <c r="R169" s="2" t="inlineStr"/>
    </row>
    <row r="170" ht="15" customHeight="1">
      <c r="A170" t="inlineStr">
        <is>
          <t>A 29960-2020</t>
        </is>
      </c>
      <c r="B170" s="1" t="n">
        <v>44006</v>
      </c>
      <c r="C170" s="1" t="n">
        <v>45710</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33581-2020</t>
        </is>
      </c>
      <c r="B171" s="1" t="n">
        <v>44022</v>
      </c>
      <c r="C171" s="1" t="n">
        <v>45710</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34455-2020</t>
        </is>
      </c>
      <c r="B172" s="1" t="n">
        <v>44032</v>
      </c>
      <c r="C172" s="1" t="n">
        <v>45710</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34454-2020</t>
        </is>
      </c>
      <c r="B173" s="1" t="n">
        <v>44032</v>
      </c>
      <c r="C173" s="1" t="n">
        <v>45710</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34446-2020</t>
        </is>
      </c>
      <c r="B174" s="1" t="n">
        <v>44032</v>
      </c>
      <c r="C174" s="1" t="n">
        <v>45710</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35976-2020</t>
        </is>
      </c>
      <c r="B175" s="1" t="n">
        <v>44047</v>
      </c>
      <c r="C175" s="1" t="n">
        <v>45710</v>
      </c>
      <c r="D175" t="inlineStr">
        <is>
          <t>DALARNAS LÄN</t>
        </is>
      </c>
      <c r="E175" t="inlineStr">
        <is>
          <t>MORA</t>
        </is>
      </c>
      <c r="G175" t="n">
        <v>6.7</v>
      </c>
      <c r="H175" t="n">
        <v>0</v>
      </c>
      <c r="I175" t="n">
        <v>0</v>
      </c>
      <c r="J175" t="n">
        <v>0</v>
      </c>
      <c r="K175" t="n">
        <v>0</v>
      </c>
      <c r="L175" t="n">
        <v>0</v>
      </c>
      <c r="M175" t="n">
        <v>0</v>
      </c>
      <c r="N175" t="n">
        <v>0</v>
      </c>
      <c r="O175" t="n">
        <v>0</v>
      </c>
      <c r="P175" t="n">
        <v>0</v>
      </c>
      <c r="Q175" t="n">
        <v>0</v>
      </c>
      <c r="R175" s="2" t="inlineStr"/>
    </row>
    <row r="176" ht="15" customHeight="1">
      <c r="A176" t="inlineStr">
        <is>
          <t>A 37403-2020</t>
        </is>
      </c>
      <c r="B176" s="1" t="n">
        <v>44055</v>
      </c>
      <c r="C176" s="1" t="n">
        <v>45710</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37840-2020</t>
        </is>
      </c>
      <c r="B177" s="1" t="n">
        <v>44057</v>
      </c>
      <c r="C177" s="1" t="n">
        <v>45710</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38910-2020</t>
        </is>
      </c>
      <c r="B178" s="1" t="n">
        <v>44062</v>
      </c>
      <c r="C178" s="1" t="n">
        <v>45710</v>
      </c>
      <c r="D178" t="inlineStr">
        <is>
          <t>DALARNAS LÄN</t>
        </is>
      </c>
      <c r="E178" t="inlineStr">
        <is>
          <t>MORA</t>
        </is>
      </c>
      <c r="G178" t="n">
        <v>7.8</v>
      </c>
      <c r="H178" t="n">
        <v>0</v>
      </c>
      <c r="I178" t="n">
        <v>0</v>
      </c>
      <c r="J178" t="n">
        <v>0</v>
      </c>
      <c r="K178" t="n">
        <v>0</v>
      </c>
      <c r="L178" t="n">
        <v>0</v>
      </c>
      <c r="M178" t="n">
        <v>0</v>
      </c>
      <c r="N178" t="n">
        <v>0</v>
      </c>
      <c r="O178" t="n">
        <v>0</v>
      </c>
      <c r="P178" t="n">
        <v>0</v>
      </c>
      <c r="Q178" t="n">
        <v>0</v>
      </c>
      <c r="R178" s="2" t="inlineStr"/>
    </row>
    <row r="179" ht="15" customHeight="1">
      <c r="A179" t="inlineStr">
        <is>
          <t>A 39585-2020</t>
        </is>
      </c>
      <c r="B179" s="1" t="n">
        <v>44064</v>
      </c>
      <c r="C179" s="1" t="n">
        <v>45710</v>
      </c>
      <c r="D179" t="inlineStr">
        <is>
          <t>DALARNAS LÄN</t>
        </is>
      </c>
      <c r="E179" t="inlineStr">
        <is>
          <t>MORA</t>
        </is>
      </c>
      <c r="G179" t="n">
        <v>6.5</v>
      </c>
      <c r="H179" t="n">
        <v>0</v>
      </c>
      <c r="I179" t="n">
        <v>0</v>
      </c>
      <c r="J179" t="n">
        <v>0</v>
      </c>
      <c r="K179" t="n">
        <v>0</v>
      </c>
      <c r="L179" t="n">
        <v>0</v>
      </c>
      <c r="M179" t="n">
        <v>0</v>
      </c>
      <c r="N179" t="n">
        <v>0</v>
      </c>
      <c r="O179" t="n">
        <v>0</v>
      </c>
      <c r="P179" t="n">
        <v>0</v>
      </c>
      <c r="Q179" t="n">
        <v>0</v>
      </c>
      <c r="R179" s="2" t="inlineStr"/>
    </row>
    <row r="180" ht="15" customHeight="1">
      <c r="A180" t="inlineStr">
        <is>
          <t>A 39959-2020</t>
        </is>
      </c>
      <c r="B180" s="1" t="n">
        <v>44067</v>
      </c>
      <c r="C180" s="1" t="n">
        <v>45710</v>
      </c>
      <c r="D180" t="inlineStr">
        <is>
          <t>DALARNAS LÄN</t>
        </is>
      </c>
      <c r="E180" t="inlineStr">
        <is>
          <t>MORA</t>
        </is>
      </c>
      <c r="G180" t="n">
        <v>25.7</v>
      </c>
      <c r="H180" t="n">
        <v>0</v>
      </c>
      <c r="I180" t="n">
        <v>0</v>
      </c>
      <c r="J180" t="n">
        <v>0</v>
      </c>
      <c r="K180" t="n">
        <v>0</v>
      </c>
      <c r="L180" t="n">
        <v>0</v>
      </c>
      <c r="M180" t="n">
        <v>0</v>
      </c>
      <c r="N180" t="n">
        <v>0</v>
      </c>
      <c r="O180" t="n">
        <v>0</v>
      </c>
      <c r="P180" t="n">
        <v>0</v>
      </c>
      <c r="Q180" t="n">
        <v>0</v>
      </c>
      <c r="R180" s="2" t="inlineStr"/>
    </row>
    <row r="181" ht="15" customHeight="1">
      <c r="A181" t="inlineStr">
        <is>
          <t>A 41768-2020</t>
        </is>
      </c>
      <c r="B181" s="1" t="n">
        <v>44074</v>
      </c>
      <c r="C181" s="1" t="n">
        <v>45710</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42362-2020</t>
        </is>
      </c>
      <c r="B182" s="1" t="n">
        <v>44074</v>
      </c>
      <c r="C182" s="1" t="n">
        <v>45710</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42377-2020</t>
        </is>
      </c>
      <c r="B183" s="1" t="n">
        <v>44076</v>
      </c>
      <c r="C183" s="1" t="n">
        <v>45710</v>
      </c>
      <c r="D183" t="inlineStr">
        <is>
          <t>DALARNAS LÄN</t>
        </is>
      </c>
      <c r="E183" t="inlineStr">
        <is>
          <t>MORA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43284-2020</t>
        </is>
      </c>
      <c r="B184" s="1" t="n">
        <v>44081</v>
      </c>
      <c r="C184" s="1" t="n">
        <v>45710</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48065-2020</t>
        </is>
      </c>
      <c r="B185" s="1" t="n">
        <v>44100</v>
      </c>
      <c r="C185" s="1" t="n">
        <v>45710</v>
      </c>
      <c r="D185" t="inlineStr">
        <is>
          <t>DALARNAS LÄN</t>
        </is>
      </c>
      <c r="E185" t="inlineStr">
        <is>
          <t>MORA</t>
        </is>
      </c>
      <c r="G185" t="n">
        <v>8.6</v>
      </c>
      <c r="H185" t="n">
        <v>0</v>
      </c>
      <c r="I185" t="n">
        <v>0</v>
      </c>
      <c r="J185" t="n">
        <v>0</v>
      </c>
      <c r="K185" t="n">
        <v>0</v>
      </c>
      <c r="L185" t="n">
        <v>0</v>
      </c>
      <c r="M185" t="n">
        <v>0</v>
      </c>
      <c r="N185" t="n">
        <v>0</v>
      </c>
      <c r="O185" t="n">
        <v>0</v>
      </c>
      <c r="P185" t="n">
        <v>0</v>
      </c>
      <c r="Q185" t="n">
        <v>0</v>
      </c>
      <c r="R185" s="2" t="inlineStr"/>
    </row>
    <row r="186" ht="15" customHeight="1">
      <c r="A186" t="inlineStr">
        <is>
          <t>A 51621-2020</t>
        </is>
      </c>
      <c r="B186" s="1" t="n">
        <v>44109</v>
      </c>
      <c r="C186" s="1" t="n">
        <v>45710</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51608-2020</t>
        </is>
      </c>
      <c r="B187" s="1" t="n">
        <v>44109</v>
      </c>
      <c r="C187" s="1" t="n">
        <v>45710</v>
      </c>
      <c r="D187" t="inlineStr">
        <is>
          <t>DALARNAS LÄN</t>
        </is>
      </c>
      <c r="E187" t="inlineStr">
        <is>
          <t>MORA</t>
        </is>
      </c>
      <c r="G187" t="n">
        <v>4.6</v>
      </c>
      <c r="H187" t="n">
        <v>0</v>
      </c>
      <c r="I187" t="n">
        <v>0</v>
      </c>
      <c r="J187" t="n">
        <v>0</v>
      </c>
      <c r="K187" t="n">
        <v>0</v>
      </c>
      <c r="L187" t="n">
        <v>0</v>
      </c>
      <c r="M187" t="n">
        <v>0</v>
      </c>
      <c r="N187" t="n">
        <v>0</v>
      </c>
      <c r="O187" t="n">
        <v>0</v>
      </c>
      <c r="P187" t="n">
        <v>0</v>
      </c>
      <c r="Q187" t="n">
        <v>0</v>
      </c>
      <c r="R187" s="2" t="inlineStr"/>
    </row>
    <row r="188" ht="15" customHeight="1">
      <c r="A188" t="inlineStr">
        <is>
          <t>A 52732-2020</t>
        </is>
      </c>
      <c r="B188" s="1" t="n">
        <v>44118</v>
      </c>
      <c r="C188" s="1" t="n">
        <v>45710</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55249-2020</t>
        </is>
      </c>
      <c r="B189" s="1" t="n">
        <v>44130</v>
      </c>
      <c r="C189" s="1" t="n">
        <v>45710</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56071-2020</t>
        </is>
      </c>
      <c r="B190" s="1" t="n">
        <v>44133</v>
      </c>
      <c r="C190" s="1" t="n">
        <v>45710</v>
      </c>
      <c r="D190" t="inlineStr">
        <is>
          <t>DALARNAS LÄN</t>
        </is>
      </c>
      <c r="E190" t="inlineStr">
        <is>
          <t>MORA</t>
        </is>
      </c>
      <c r="G190" t="n">
        <v>6.6</v>
      </c>
      <c r="H190" t="n">
        <v>0</v>
      </c>
      <c r="I190" t="n">
        <v>0</v>
      </c>
      <c r="J190" t="n">
        <v>0</v>
      </c>
      <c r="K190" t="n">
        <v>0</v>
      </c>
      <c r="L190" t="n">
        <v>0</v>
      </c>
      <c r="M190" t="n">
        <v>0</v>
      </c>
      <c r="N190" t="n">
        <v>0</v>
      </c>
      <c r="O190" t="n">
        <v>0</v>
      </c>
      <c r="P190" t="n">
        <v>0</v>
      </c>
      <c r="Q190" t="n">
        <v>0</v>
      </c>
      <c r="R190" s="2" t="inlineStr"/>
    </row>
    <row r="191" ht="15" customHeight="1">
      <c r="A191" t="inlineStr">
        <is>
          <t>A 56501-2020</t>
        </is>
      </c>
      <c r="B191" s="1" t="n">
        <v>44137</v>
      </c>
      <c r="C191" s="1" t="n">
        <v>45710</v>
      </c>
      <c r="D191" t="inlineStr">
        <is>
          <t>DALARNAS LÄN</t>
        </is>
      </c>
      <c r="E191" t="inlineStr">
        <is>
          <t>MORA</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56976-2020</t>
        </is>
      </c>
      <c r="B192" s="1" t="n">
        <v>44138</v>
      </c>
      <c r="C192" s="1" t="n">
        <v>45710</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56974-2020</t>
        </is>
      </c>
      <c r="B193" s="1" t="n">
        <v>44138</v>
      </c>
      <c r="C193" s="1" t="n">
        <v>45710</v>
      </c>
      <c r="D193" t="inlineStr">
        <is>
          <t>DALARNAS LÄN</t>
        </is>
      </c>
      <c r="E193" t="inlineStr">
        <is>
          <t>MORA</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57268-2020</t>
        </is>
      </c>
      <c r="B194" s="1" t="n">
        <v>44139</v>
      </c>
      <c r="C194" s="1" t="n">
        <v>45710</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57848-2020</t>
        </is>
      </c>
      <c r="B195" s="1" t="n">
        <v>44141</v>
      </c>
      <c r="C195" s="1" t="n">
        <v>45710</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57926-2020</t>
        </is>
      </c>
      <c r="B196" s="1" t="n">
        <v>44141</v>
      </c>
      <c r="C196" s="1" t="n">
        <v>45710</v>
      </c>
      <c r="D196" t="inlineStr">
        <is>
          <t>DALARNAS LÄN</t>
        </is>
      </c>
      <c r="E196" t="inlineStr">
        <is>
          <t>MORA</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60250-2020</t>
        </is>
      </c>
      <c r="B197" s="1" t="n">
        <v>44152</v>
      </c>
      <c r="C197" s="1" t="n">
        <v>45710</v>
      </c>
      <c r="D197" t="inlineStr">
        <is>
          <t>DALARNAS LÄN</t>
        </is>
      </c>
      <c r="E197" t="inlineStr">
        <is>
          <t>MORA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61338-2020</t>
        </is>
      </c>
      <c r="B198" s="1" t="n">
        <v>44155</v>
      </c>
      <c r="C198" s="1" t="n">
        <v>45710</v>
      </c>
      <c r="D198" t="inlineStr">
        <is>
          <t>DALARNAS LÄN</t>
        </is>
      </c>
      <c r="E198" t="inlineStr">
        <is>
          <t>MORA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62301-2020</t>
        </is>
      </c>
      <c r="B199" s="1" t="n">
        <v>44160</v>
      </c>
      <c r="C199" s="1" t="n">
        <v>45710</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62266-2020</t>
        </is>
      </c>
      <c r="B200" s="1" t="n">
        <v>44160</v>
      </c>
      <c r="C200" s="1" t="n">
        <v>45710</v>
      </c>
      <c r="D200" t="inlineStr">
        <is>
          <t>DALARNAS LÄN</t>
        </is>
      </c>
      <c r="E200" t="inlineStr">
        <is>
          <t>MORA</t>
        </is>
      </c>
      <c r="F200" t="inlineStr">
        <is>
          <t>Bergvik skog väst AB</t>
        </is>
      </c>
      <c r="G200" t="n">
        <v>5.9</v>
      </c>
      <c r="H200" t="n">
        <v>0</v>
      </c>
      <c r="I200" t="n">
        <v>0</v>
      </c>
      <c r="J200" t="n">
        <v>0</v>
      </c>
      <c r="K200" t="n">
        <v>0</v>
      </c>
      <c r="L200" t="n">
        <v>0</v>
      </c>
      <c r="M200" t="n">
        <v>0</v>
      </c>
      <c r="N200" t="n">
        <v>0</v>
      </c>
      <c r="O200" t="n">
        <v>0</v>
      </c>
      <c r="P200" t="n">
        <v>0</v>
      </c>
      <c r="Q200" t="n">
        <v>0</v>
      </c>
      <c r="R200" s="2" t="inlineStr"/>
    </row>
    <row r="201" ht="15" customHeight="1">
      <c r="A201" t="inlineStr">
        <is>
          <t>A 62268-2020</t>
        </is>
      </c>
      <c r="B201" s="1" t="n">
        <v>44160</v>
      </c>
      <c r="C201" s="1" t="n">
        <v>45710</v>
      </c>
      <c r="D201" t="inlineStr">
        <is>
          <t>DALARNAS LÄN</t>
        </is>
      </c>
      <c r="E201" t="inlineStr">
        <is>
          <t>MORA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65301-2020</t>
        </is>
      </c>
      <c r="B202" s="1" t="n">
        <v>44169</v>
      </c>
      <c r="C202" s="1" t="n">
        <v>45710</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67028-2020</t>
        </is>
      </c>
      <c r="B203" s="1" t="n">
        <v>44180</v>
      </c>
      <c r="C203" s="1" t="n">
        <v>45710</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66990-2020</t>
        </is>
      </c>
      <c r="B204" s="1" t="n">
        <v>44180</v>
      </c>
      <c r="C204" s="1" t="n">
        <v>45710</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68468-2020</t>
        </is>
      </c>
      <c r="B205" s="1" t="n">
        <v>44186</v>
      </c>
      <c r="C205" s="1" t="n">
        <v>45710</v>
      </c>
      <c r="D205" t="inlineStr">
        <is>
          <t>DALARNAS LÄN</t>
        </is>
      </c>
      <c r="E205" t="inlineStr">
        <is>
          <t>MORA</t>
        </is>
      </c>
      <c r="F205" t="inlineStr">
        <is>
          <t>Bergvik skog öst AB</t>
        </is>
      </c>
      <c r="G205" t="n">
        <v>6.5</v>
      </c>
      <c r="H205" t="n">
        <v>0</v>
      </c>
      <c r="I205" t="n">
        <v>0</v>
      </c>
      <c r="J205" t="n">
        <v>0</v>
      </c>
      <c r="K205" t="n">
        <v>0</v>
      </c>
      <c r="L205" t="n">
        <v>0</v>
      </c>
      <c r="M205" t="n">
        <v>0</v>
      </c>
      <c r="N205" t="n">
        <v>0</v>
      </c>
      <c r="O205" t="n">
        <v>0</v>
      </c>
      <c r="P205" t="n">
        <v>0</v>
      </c>
      <c r="Q205" t="n">
        <v>0</v>
      </c>
      <c r="R205" s="2" t="inlineStr"/>
    </row>
    <row r="206" ht="15" customHeight="1">
      <c r="A206" t="inlineStr">
        <is>
          <t>A 68832-2020</t>
        </is>
      </c>
      <c r="B206" s="1" t="n">
        <v>44187</v>
      </c>
      <c r="C206" s="1" t="n">
        <v>45710</v>
      </c>
      <c r="D206" t="inlineStr">
        <is>
          <t>DALARNAS LÄN</t>
        </is>
      </c>
      <c r="E206" t="inlineStr">
        <is>
          <t>MORA</t>
        </is>
      </c>
      <c r="G206" t="n">
        <v>7.7</v>
      </c>
      <c r="H206" t="n">
        <v>0</v>
      </c>
      <c r="I206" t="n">
        <v>0</v>
      </c>
      <c r="J206" t="n">
        <v>0</v>
      </c>
      <c r="K206" t="n">
        <v>0</v>
      </c>
      <c r="L206" t="n">
        <v>0</v>
      </c>
      <c r="M206" t="n">
        <v>0</v>
      </c>
      <c r="N206" t="n">
        <v>0</v>
      </c>
      <c r="O206" t="n">
        <v>0</v>
      </c>
      <c r="P206" t="n">
        <v>0</v>
      </c>
      <c r="Q206" t="n">
        <v>0</v>
      </c>
      <c r="R206" s="2" t="inlineStr"/>
    </row>
    <row r="207" ht="15" customHeight="1">
      <c r="A207" t="inlineStr">
        <is>
          <t>A 69517-2020</t>
        </is>
      </c>
      <c r="B207" s="1" t="n">
        <v>44194</v>
      </c>
      <c r="C207" s="1" t="n">
        <v>45710</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69519-2020</t>
        </is>
      </c>
      <c r="B208" s="1" t="n">
        <v>44194</v>
      </c>
      <c r="C208" s="1" t="n">
        <v>45710</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655-2021</t>
        </is>
      </c>
      <c r="B209" s="1" t="n">
        <v>44203</v>
      </c>
      <c r="C209" s="1" t="n">
        <v>45710</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768-2021</t>
        </is>
      </c>
      <c r="B210" s="1" t="n">
        <v>44203</v>
      </c>
      <c r="C210" s="1" t="n">
        <v>45710</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770-2021</t>
        </is>
      </c>
      <c r="B211" s="1" t="n">
        <v>44203</v>
      </c>
      <c r="C211" s="1" t="n">
        <v>45710</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782-2021</t>
        </is>
      </c>
      <c r="B212" s="1" t="n">
        <v>44203</v>
      </c>
      <c r="C212" s="1" t="n">
        <v>45710</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787-2021</t>
        </is>
      </c>
      <c r="B213" s="1" t="n">
        <v>44203</v>
      </c>
      <c r="C213" s="1" t="n">
        <v>45710</v>
      </c>
      <c r="D213" t="inlineStr">
        <is>
          <t>DALARNAS LÄN</t>
        </is>
      </c>
      <c r="E213" t="inlineStr">
        <is>
          <t>MORA</t>
        </is>
      </c>
      <c r="G213" t="n">
        <v>3.9</v>
      </c>
      <c r="H213" t="n">
        <v>0</v>
      </c>
      <c r="I213" t="n">
        <v>0</v>
      </c>
      <c r="J213" t="n">
        <v>0</v>
      </c>
      <c r="K213" t="n">
        <v>0</v>
      </c>
      <c r="L213" t="n">
        <v>0</v>
      </c>
      <c r="M213" t="n">
        <v>0</v>
      </c>
      <c r="N213" t="n">
        <v>0</v>
      </c>
      <c r="O213" t="n">
        <v>0</v>
      </c>
      <c r="P213" t="n">
        <v>0</v>
      </c>
      <c r="Q213" t="n">
        <v>0</v>
      </c>
      <c r="R213" s="2" t="inlineStr"/>
    </row>
    <row r="214" ht="15" customHeight="1">
      <c r="A214" t="inlineStr">
        <is>
          <t>A 657-2021</t>
        </is>
      </c>
      <c r="B214" s="1" t="n">
        <v>44203</v>
      </c>
      <c r="C214" s="1" t="n">
        <v>45710</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769-2021</t>
        </is>
      </c>
      <c r="B215" s="1" t="n">
        <v>44203</v>
      </c>
      <c r="C215" s="1" t="n">
        <v>45710</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790-2021</t>
        </is>
      </c>
      <c r="B216" s="1" t="n">
        <v>44203</v>
      </c>
      <c r="C216" s="1" t="n">
        <v>45710</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837-2021</t>
        </is>
      </c>
      <c r="B217" s="1" t="n">
        <v>44204</v>
      </c>
      <c r="C217" s="1" t="n">
        <v>45710</v>
      </c>
      <c r="D217" t="inlineStr">
        <is>
          <t>DALARNAS LÄN</t>
        </is>
      </c>
      <c r="E217" t="inlineStr">
        <is>
          <t>MORA</t>
        </is>
      </c>
      <c r="G217" t="n">
        <v>10.4</v>
      </c>
      <c r="H217" t="n">
        <v>0</v>
      </c>
      <c r="I217" t="n">
        <v>0</v>
      </c>
      <c r="J217" t="n">
        <v>0</v>
      </c>
      <c r="K217" t="n">
        <v>0</v>
      </c>
      <c r="L217" t="n">
        <v>0</v>
      </c>
      <c r="M217" t="n">
        <v>0</v>
      </c>
      <c r="N217" t="n">
        <v>0</v>
      </c>
      <c r="O217" t="n">
        <v>0</v>
      </c>
      <c r="P217" t="n">
        <v>0</v>
      </c>
      <c r="Q217" t="n">
        <v>0</v>
      </c>
      <c r="R217" s="2" t="inlineStr"/>
    </row>
    <row r="218" ht="15" customHeight="1">
      <c r="A218" t="inlineStr">
        <is>
          <t>A 1951-2021</t>
        </is>
      </c>
      <c r="B218" s="1" t="n">
        <v>44210</v>
      </c>
      <c r="C218" s="1" t="n">
        <v>45710</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8064-2021</t>
        </is>
      </c>
      <c r="B219" s="1" t="n">
        <v>44243</v>
      </c>
      <c r="C219" s="1" t="n">
        <v>45710</v>
      </c>
      <c r="D219" t="inlineStr">
        <is>
          <t>DALARNAS LÄN</t>
        </is>
      </c>
      <c r="E219" t="inlineStr">
        <is>
          <t>MORA</t>
        </is>
      </c>
      <c r="G219" t="n">
        <v>4</v>
      </c>
      <c r="H219" t="n">
        <v>0</v>
      </c>
      <c r="I219" t="n">
        <v>0</v>
      </c>
      <c r="J219" t="n">
        <v>0</v>
      </c>
      <c r="K219" t="n">
        <v>0</v>
      </c>
      <c r="L219" t="n">
        <v>0</v>
      </c>
      <c r="M219" t="n">
        <v>0</v>
      </c>
      <c r="N219" t="n">
        <v>0</v>
      </c>
      <c r="O219" t="n">
        <v>0</v>
      </c>
      <c r="P219" t="n">
        <v>0</v>
      </c>
      <c r="Q219" t="n">
        <v>0</v>
      </c>
      <c r="R219" s="2" t="inlineStr"/>
    </row>
    <row r="220" ht="15" customHeight="1">
      <c r="A220" t="inlineStr">
        <is>
          <t>A 8146-2021</t>
        </is>
      </c>
      <c r="B220" s="1" t="n">
        <v>44244</v>
      </c>
      <c r="C220" s="1" t="n">
        <v>45710</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8153-2021</t>
        </is>
      </c>
      <c r="B221" s="1" t="n">
        <v>44244</v>
      </c>
      <c r="C221" s="1" t="n">
        <v>45710</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45710</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16840-2021</t>
        </is>
      </c>
      <c r="B223" s="1" t="n">
        <v>44295</v>
      </c>
      <c r="C223" s="1" t="n">
        <v>45710</v>
      </c>
      <c r="D223" t="inlineStr">
        <is>
          <t>DALARNAS LÄN</t>
        </is>
      </c>
      <c r="E223" t="inlineStr">
        <is>
          <t>MORA</t>
        </is>
      </c>
      <c r="G223" t="n">
        <v>11.5</v>
      </c>
      <c r="H223" t="n">
        <v>0</v>
      </c>
      <c r="I223" t="n">
        <v>0</v>
      </c>
      <c r="J223" t="n">
        <v>0</v>
      </c>
      <c r="K223" t="n">
        <v>0</v>
      </c>
      <c r="L223" t="n">
        <v>0</v>
      </c>
      <c r="M223" t="n">
        <v>0</v>
      </c>
      <c r="N223" t="n">
        <v>0</v>
      </c>
      <c r="O223" t="n">
        <v>0</v>
      </c>
      <c r="P223" t="n">
        <v>0</v>
      </c>
      <c r="Q223" t="n">
        <v>0</v>
      </c>
      <c r="R223" s="2" t="inlineStr"/>
    </row>
    <row r="224" ht="15" customHeight="1">
      <c r="A224" t="inlineStr">
        <is>
          <t>A 17915-2021</t>
        </is>
      </c>
      <c r="B224" s="1" t="n">
        <v>44301</v>
      </c>
      <c r="C224" s="1" t="n">
        <v>45710</v>
      </c>
      <c r="D224" t="inlineStr">
        <is>
          <t>DALARNAS LÄN</t>
        </is>
      </c>
      <c r="E224" t="inlineStr">
        <is>
          <t>MORA</t>
        </is>
      </c>
      <c r="G224" t="n">
        <v>4.4</v>
      </c>
      <c r="H224" t="n">
        <v>0</v>
      </c>
      <c r="I224" t="n">
        <v>0</v>
      </c>
      <c r="J224" t="n">
        <v>0</v>
      </c>
      <c r="K224" t="n">
        <v>0</v>
      </c>
      <c r="L224" t="n">
        <v>0</v>
      </c>
      <c r="M224" t="n">
        <v>0</v>
      </c>
      <c r="N224" t="n">
        <v>0</v>
      </c>
      <c r="O224" t="n">
        <v>0</v>
      </c>
      <c r="P224" t="n">
        <v>0</v>
      </c>
      <c r="Q224" t="n">
        <v>0</v>
      </c>
      <c r="R224" s="2" t="inlineStr"/>
    </row>
    <row r="225" ht="15" customHeight="1">
      <c r="A225" t="inlineStr">
        <is>
          <t>A 17904-2021</t>
        </is>
      </c>
      <c r="B225" s="1" t="n">
        <v>44301</v>
      </c>
      <c r="C225" s="1" t="n">
        <v>45710</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19383-2021</t>
        </is>
      </c>
      <c r="B226" s="1" t="n">
        <v>44309</v>
      </c>
      <c r="C226" s="1" t="n">
        <v>45710</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19896-2021</t>
        </is>
      </c>
      <c r="B227" s="1" t="n">
        <v>44313</v>
      </c>
      <c r="C227" s="1" t="n">
        <v>45710</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20125-2021</t>
        </is>
      </c>
      <c r="B228" s="1" t="n">
        <v>44314</v>
      </c>
      <c r="C228" s="1" t="n">
        <v>45710</v>
      </c>
      <c r="D228" t="inlineStr">
        <is>
          <t>DALARNAS LÄN</t>
        </is>
      </c>
      <c r="E228" t="inlineStr">
        <is>
          <t>MORA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45710</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24465-2021</t>
        </is>
      </c>
      <c r="B230" s="1" t="n">
        <v>44337</v>
      </c>
      <c r="C230" s="1" t="n">
        <v>45710</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25750-2021</t>
        </is>
      </c>
      <c r="B231" s="1" t="n">
        <v>44343</v>
      </c>
      <c r="C231" s="1" t="n">
        <v>45710</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26314-2021</t>
        </is>
      </c>
      <c r="B232" s="1" t="n">
        <v>44347</v>
      </c>
      <c r="C232" s="1" t="n">
        <v>45710</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29697-2021</t>
        </is>
      </c>
      <c r="B233" s="1" t="n">
        <v>44362</v>
      </c>
      <c r="C233" s="1" t="n">
        <v>45710</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30030-2021</t>
        </is>
      </c>
      <c r="B234" s="1" t="n">
        <v>44363</v>
      </c>
      <c r="C234" s="1" t="n">
        <v>45710</v>
      </c>
      <c r="D234" t="inlineStr">
        <is>
          <t>DALARNAS LÄN</t>
        </is>
      </c>
      <c r="E234" t="inlineStr">
        <is>
          <t>MORA</t>
        </is>
      </c>
      <c r="G234" t="n">
        <v>7.1</v>
      </c>
      <c r="H234" t="n">
        <v>0</v>
      </c>
      <c r="I234" t="n">
        <v>0</v>
      </c>
      <c r="J234" t="n">
        <v>0</v>
      </c>
      <c r="K234" t="n">
        <v>0</v>
      </c>
      <c r="L234" t="n">
        <v>0</v>
      </c>
      <c r="M234" t="n">
        <v>0</v>
      </c>
      <c r="N234" t="n">
        <v>0</v>
      </c>
      <c r="O234" t="n">
        <v>0</v>
      </c>
      <c r="P234" t="n">
        <v>0</v>
      </c>
      <c r="Q234" t="n">
        <v>0</v>
      </c>
      <c r="R234" s="2" t="inlineStr"/>
    </row>
    <row r="235" ht="15" customHeight="1">
      <c r="A235" t="inlineStr">
        <is>
          <t>A 30895-2021</t>
        </is>
      </c>
      <c r="B235" s="1" t="n">
        <v>44365</v>
      </c>
      <c r="C235" s="1" t="n">
        <v>45710</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30888-2021</t>
        </is>
      </c>
      <c r="B236" s="1" t="n">
        <v>44365</v>
      </c>
      <c r="C236" s="1" t="n">
        <v>45710</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30905-2021</t>
        </is>
      </c>
      <c r="B237" s="1" t="n">
        <v>44365</v>
      </c>
      <c r="C237" s="1" t="n">
        <v>45710</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31169-2021</t>
        </is>
      </c>
      <c r="B238" s="1" t="n">
        <v>44368</v>
      </c>
      <c r="C238" s="1" t="n">
        <v>45710</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45710</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31689-2021</t>
        </is>
      </c>
      <c r="B240" s="1" t="n">
        <v>44369</v>
      </c>
      <c r="C240" s="1" t="n">
        <v>45710</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31705-2021</t>
        </is>
      </c>
      <c r="B241" s="1" t="n">
        <v>44369</v>
      </c>
      <c r="C241" s="1" t="n">
        <v>45710</v>
      </c>
      <c r="D241" t="inlineStr">
        <is>
          <t>DALARNAS LÄN</t>
        </is>
      </c>
      <c r="E241" t="inlineStr">
        <is>
          <t>MORA</t>
        </is>
      </c>
      <c r="G241" t="n">
        <v>0.2</v>
      </c>
      <c r="H241" t="n">
        <v>0</v>
      </c>
      <c r="I241" t="n">
        <v>0</v>
      </c>
      <c r="J241" t="n">
        <v>0</v>
      </c>
      <c r="K241" t="n">
        <v>0</v>
      </c>
      <c r="L241" t="n">
        <v>0</v>
      </c>
      <c r="M241" t="n">
        <v>0</v>
      </c>
      <c r="N241" t="n">
        <v>0</v>
      </c>
      <c r="O241" t="n">
        <v>0</v>
      </c>
      <c r="P241" t="n">
        <v>0</v>
      </c>
      <c r="Q241" t="n">
        <v>0</v>
      </c>
      <c r="R241" s="2" t="inlineStr"/>
    </row>
    <row r="242" ht="15" customHeight="1">
      <c r="A242" t="inlineStr">
        <is>
          <t>A 34018-2021</t>
        </is>
      </c>
      <c r="B242" s="1" t="n">
        <v>44379</v>
      </c>
      <c r="C242" s="1" t="n">
        <v>45710</v>
      </c>
      <c r="D242" t="inlineStr">
        <is>
          <t>DALARNAS LÄN</t>
        </is>
      </c>
      <c r="E242" t="inlineStr">
        <is>
          <t>MORA</t>
        </is>
      </c>
      <c r="G242" t="n">
        <v>5.7</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v>
      </c>
      <c r="C243" s="1" t="n">
        <v>45710</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34715-2021</t>
        </is>
      </c>
      <c r="B244" s="1" t="n">
        <v>44382</v>
      </c>
      <c r="C244" s="1" t="n">
        <v>45710</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34875-2021</t>
        </is>
      </c>
      <c r="B245" s="1" t="n">
        <v>44383</v>
      </c>
      <c r="C245" s="1" t="n">
        <v>45710</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35005-2021</t>
        </is>
      </c>
      <c r="B246" s="1" t="n">
        <v>44383</v>
      </c>
      <c r="C246" s="1" t="n">
        <v>45710</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36168-2021</t>
        </is>
      </c>
      <c r="B247" s="1" t="n">
        <v>44389</v>
      </c>
      <c r="C247" s="1" t="n">
        <v>45710</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45710</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36173-2021</t>
        </is>
      </c>
      <c r="B249" s="1" t="n">
        <v>44389</v>
      </c>
      <c r="C249" s="1" t="n">
        <v>45710</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38769-2021</t>
        </is>
      </c>
      <c r="B250" s="1" t="n">
        <v>44410</v>
      </c>
      <c r="C250" s="1" t="n">
        <v>45710</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39227-2021</t>
        </is>
      </c>
      <c r="B251" s="1" t="n">
        <v>44413</v>
      </c>
      <c r="C251" s="1" t="n">
        <v>45710</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39198-2021</t>
        </is>
      </c>
      <c r="B252" s="1" t="n">
        <v>44413</v>
      </c>
      <c r="C252" s="1" t="n">
        <v>45710</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39672-2021</t>
        </is>
      </c>
      <c r="B253" s="1" t="n">
        <v>44417</v>
      </c>
      <c r="C253" s="1" t="n">
        <v>45710</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41022-2021</t>
        </is>
      </c>
      <c r="B254" s="1" t="n">
        <v>44421</v>
      </c>
      <c r="C254" s="1" t="n">
        <v>45710</v>
      </c>
      <c r="D254" t="inlineStr">
        <is>
          <t>DALARNAS LÄN</t>
        </is>
      </c>
      <c r="E254" t="inlineStr">
        <is>
          <t>MORA</t>
        </is>
      </c>
      <c r="G254" t="n">
        <v>11.9</v>
      </c>
      <c r="H254" t="n">
        <v>0</v>
      </c>
      <c r="I254" t="n">
        <v>0</v>
      </c>
      <c r="J254" t="n">
        <v>0</v>
      </c>
      <c r="K254" t="n">
        <v>0</v>
      </c>
      <c r="L254" t="n">
        <v>0</v>
      </c>
      <c r="M254" t="n">
        <v>0</v>
      </c>
      <c r="N254" t="n">
        <v>0</v>
      </c>
      <c r="O254" t="n">
        <v>0</v>
      </c>
      <c r="P254" t="n">
        <v>0</v>
      </c>
      <c r="Q254" t="n">
        <v>0</v>
      </c>
      <c r="R254" s="2" t="inlineStr"/>
    </row>
    <row r="255" ht="15" customHeight="1">
      <c r="A255" t="inlineStr">
        <is>
          <t>A 41028-2021</t>
        </is>
      </c>
      <c r="B255" s="1" t="n">
        <v>44421</v>
      </c>
      <c r="C255" s="1" t="n">
        <v>45710</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41032-2021</t>
        </is>
      </c>
      <c r="B256" s="1" t="n">
        <v>44421</v>
      </c>
      <c r="C256" s="1" t="n">
        <v>45710</v>
      </c>
      <c r="D256" t="inlineStr">
        <is>
          <t>DALARNAS LÄN</t>
        </is>
      </c>
      <c r="E256" t="inlineStr">
        <is>
          <t>MORA</t>
        </is>
      </c>
      <c r="G256" t="n">
        <v>4.1</v>
      </c>
      <c r="H256" t="n">
        <v>0</v>
      </c>
      <c r="I256" t="n">
        <v>0</v>
      </c>
      <c r="J256" t="n">
        <v>0</v>
      </c>
      <c r="K256" t="n">
        <v>0</v>
      </c>
      <c r="L256" t="n">
        <v>0</v>
      </c>
      <c r="M256" t="n">
        <v>0</v>
      </c>
      <c r="N256" t="n">
        <v>0</v>
      </c>
      <c r="O256" t="n">
        <v>0</v>
      </c>
      <c r="P256" t="n">
        <v>0</v>
      </c>
      <c r="Q256" t="n">
        <v>0</v>
      </c>
      <c r="R256" s="2" t="inlineStr"/>
    </row>
    <row r="257" ht="15" customHeight="1">
      <c r="A257" t="inlineStr">
        <is>
          <t>A 41121-2021</t>
        </is>
      </c>
      <c r="B257" s="1" t="n">
        <v>44423</v>
      </c>
      <c r="C257" s="1" t="n">
        <v>45710</v>
      </c>
      <c r="D257" t="inlineStr">
        <is>
          <t>DALARNAS LÄN</t>
        </is>
      </c>
      <c r="E257" t="inlineStr">
        <is>
          <t>MORA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42508-2021</t>
        </is>
      </c>
      <c r="B258" s="1" t="n">
        <v>44427</v>
      </c>
      <c r="C258" s="1" t="n">
        <v>45710</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42505-2021</t>
        </is>
      </c>
      <c r="B259" s="1" t="n">
        <v>44427</v>
      </c>
      <c r="C259" s="1" t="n">
        <v>45710</v>
      </c>
      <c r="D259" t="inlineStr">
        <is>
          <t>DALARNAS LÄN</t>
        </is>
      </c>
      <c r="E259" t="inlineStr">
        <is>
          <t>MORA</t>
        </is>
      </c>
      <c r="G259" t="n">
        <v>0.9</v>
      </c>
      <c r="H259" t="n">
        <v>0</v>
      </c>
      <c r="I259" t="n">
        <v>0</v>
      </c>
      <c r="J259" t="n">
        <v>0</v>
      </c>
      <c r="K259" t="n">
        <v>0</v>
      </c>
      <c r="L259" t="n">
        <v>0</v>
      </c>
      <c r="M259" t="n">
        <v>0</v>
      </c>
      <c r="N259" t="n">
        <v>0</v>
      </c>
      <c r="O259" t="n">
        <v>0</v>
      </c>
      <c r="P259" t="n">
        <v>0</v>
      </c>
      <c r="Q259" t="n">
        <v>0</v>
      </c>
      <c r="R259" s="2" t="inlineStr"/>
    </row>
    <row r="260" ht="15" customHeight="1">
      <c r="A260" t="inlineStr">
        <is>
          <t>A 43458-2021</t>
        </is>
      </c>
      <c r="B260" s="1" t="n">
        <v>44432</v>
      </c>
      <c r="C260" s="1" t="n">
        <v>45710</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44307-2021</t>
        </is>
      </c>
      <c r="B261" s="1" t="n">
        <v>44435</v>
      </c>
      <c r="C261" s="1" t="n">
        <v>45710</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44426-2021</t>
        </is>
      </c>
      <c r="B262" s="1" t="n">
        <v>44435</v>
      </c>
      <c r="C262" s="1" t="n">
        <v>45710</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44756-2021</t>
        </is>
      </c>
      <c r="B263" s="1" t="n">
        <v>44438</v>
      </c>
      <c r="C263" s="1" t="n">
        <v>45710</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44769-2021</t>
        </is>
      </c>
      <c r="B264" s="1" t="n">
        <v>44438</v>
      </c>
      <c r="C264" s="1" t="n">
        <v>45710</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44765-2021</t>
        </is>
      </c>
      <c r="B265" s="1" t="n">
        <v>44438</v>
      </c>
      <c r="C265" s="1" t="n">
        <v>45710</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45453-2021</t>
        </is>
      </c>
      <c r="B266" s="1" t="n">
        <v>44440</v>
      </c>
      <c r="C266" s="1" t="n">
        <v>45710</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45765-2021</t>
        </is>
      </c>
      <c r="B267" s="1" t="n">
        <v>44441</v>
      </c>
      <c r="C267" s="1" t="n">
        <v>45710</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45770-2021</t>
        </is>
      </c>
      <c r="B268" s="1" t="n">
        <v>44441</v>
      </c>
      <c r="C268" s="1" t="n">
        <v>45710</v>
      </c>
      <c r="D268" t="inlineStr">
        <is>
          <t>DALARNAS LÄN</t>
        </is>
      </c>
      <c r="E268" t="inlineStr">
        <is>
          <t>MORA</t>
        </is>
      </c>
      <c r="G268" t="n">
        <v>23.1</v>
      </c>
      <c r="H268" t="n">
        <v>0</v>
      </c>
      <c r="I268" t="n">
        <v>0</v>
      </c>
      <c r="J268" t="n">
        <v>0</v>
      </c>
      <c r="K268" t="n">
        <v>0</v>
      </c>
      <c r="L268" t="n">
        <v>0</v>
      </c>
      <c r="M268" t="n">
        <v>0</v>
      </c>
      <c r="N268" t="n">
        <v>0</v>
      </c>
      <c r="O268" t="n">
        <v>0</v>
      </c>
      <c r="P268" t="n">
        <v>0</v>
      </c>
      <c r="Q268" t="n">
        <v>0</v>
      </c>
      <c r="R268" s="2" t="inlineStr"/>
    </row>
    <row r="269" ht="15" customHeight="1">
      <c r="A269" t="inlineStr">
        <is>
          <t>A 47477-2021</t>
        </is>
      </c>
      <c r="B269" s="1" t="n">
        <v>44447</v>
      </c>
      <c r="C269" s="1" t="n">
        <v>45710</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48000-2021</t>
        </is>
      </c>
      <c r="B270" s="1" t="n">
        <v>44449</v>
      </c>
      <c r="C270" s="1" t="n">
        <v>45710</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48354-2021</t>
        </is>
      </c>
      <c r="B271" s="1" t="n">
        <v>44451</v>
      </c>
      <c r="C271" s="1" t="n">
        <v>45710</v>
      </c>
      <c r="D271" t="inlineStr">
        <is>
          <t>DALARNAS LÄN</t>
        </is>
      </c>
      <c r="E271" t="inlineStr">
        <is>
          <t>MORA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49572-2021</t>
        </is>
      </c>
      <c r="B272" s="1" t="n">
        <v>44455</v>
      </c>
      <c r="C272" s="1" t="n">
        <v>45710</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49583-2021</t>
        </is>
      </c>
      <c r="B273" s="1" t="n">
        <v>44455</v>
      </c>
      <c r="C273" s="1" t="n">
        <v>45710</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49578-2021</t>
        </is>
      </c>
      <c r="B274" s="1" t="n">
        <v>44455</v>
      </c>
      <c r="C274" s="1" t="n">
        <v>45710</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50255-2021</t>
        </is>
      </c>
      <c r="B275" s="1" t="n">
        <v>44458</v>
      </c>
      <c r="C275" s="1" t="n">
        <v>45710</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50620-2021</t>
        </is>
      </c>
      <c r="B276" s="1" t="n">
        <v>44459</v>
      </c>
      <c r="C276" s="1" t="n">
        <v>45710</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51850-2021</t>
        </is>
      </c>
      <c r="B277" s="1" t="n">
        <v>44462</v>
      </c>
      <c r="C277" s="1" t="n">
        <v>45710</v>
      </c>
      <c r="D277" t="inlineStr">
        <is>
          <t>DALARNAS LÄN</t>
        </is>
      </c>
      <c r="E277" t="inlineStr">
        <is>
          <t>MORA</t>
        </is>
      </c>
      <c r="F277" t="inlineStr">
        <is>
          <t>Bergvik skog väst AB</t>
        </is>
      </c>
      <c r="G277" t="n">
        <v>6.1</v>
      </c>
      <c r="H277" t="n">
        <v>0</v>
      </c>
      <c r="I277" t="n">
        <v>0</v>
      </c>
      <c r="J277" t="n">
        <v>0</v>
      </c>
      <c r="K277" t="n">
        <v>0</v>
      </c>
      <c r="L277" t="n">
        <v>0</v>
      </c>
      <c r="M277" t="n">
        <v>0</v>
      </c>
      <c r="N277" t="n">
        <v>0</v>
      </c>
      <c r="O277" t="n">
        <v>0</v>
      </c>
      <c r="P277" t="n">
        <v>0</v>
      </c>
      <c r="Q277" t="n">
        <v>0</v>
      </c>
      <c r="R277" s="2" t="inlineStr"/>
    </row>
    <row r="278" ht="15" customHeight="1">
      <c r="A278" t="inlineStr">
        <is>
          <t>A 52573-2021</t>
        </is>
      </c>
      <c r="B278" s="1" t="n">
        <v>44466</v>
      </c>
      <c r="C278" s="1" t="n">
        <v>45710</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54239-2021</t>
        </is>
      </c>
      <c r="B279" s="1" t="n">
        <v>44470</v>
      </c>
      <c r="C279" s="1" t="n">
        <v>45710</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54398-2021</t>
        </is>
      </c>
      <c r="B280" s="1" t="n">
        <v>44473</v>
      </c>
      <c r="C280" s="1" t="n">
        <v>45710</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54409-2021</t>
        </is>
      </c>
      <c r="B281" s="1" t="n">
        <v>44473</v>
      </c>
      <c r="C281" s="1" t="n">
        <v>45710</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56501-2021</t>
        </is>
      </c>
      <c r="B282" s="1" t="n">
        <v>44480</v>
      </c>
      <c r="C282" s="1" t="n">
        <v>45710</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57091-2021</t>
        </is>
      </c>
      <c r="B283" s="1" t="n">
        <v>44482</v>
      </c>
      <c r="C283" s="1" t="n">
        <v>45710</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57088-2021</t>
        </is>
      </c>
      <c r="B284" s="1" t="n">
        <v>44482</v>
      </c>
      <c r="C284" s="1" t="n">
        <v>45710</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45710</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57608-2021</t>
        </is>
      </c>
      <c r="B286" s="1" t="n">
        <v>44484</v>
      </c>
      <c r="C286" s="1" t="n">
        <v>45710</v>
      </c>
      <c r="D286" t="inlineStr">
        <is>
          <t>DALARNAS LÄN</t>
        </is>
      </c>
      <c r="E286" t="inlineStr">
        <is>
          <t>MORA</t>
        </is>
      </c>
      <c r="G286" t="n">
        <v>6.3</v>
      </c>
      <c r="H286" t="n">
        <v>0</v>
      </c>
      <c r="I286" t="n">
        <v>0</v>
      </c>
      <c r="J286" t="n">
        <v>0</v>
      </c>
      <c r="K286" t="n">
        <v>0</v>
      </c>
      <c r="L286" t="n">
        <v>0</v>
      </c>
      <c r="M286" t="n">
        <v>0</v>
      </c>
      <c r="N286" t="n">
        <v>0</v>
      </c>
      <c r="O286" t="n">
        <v>0</v>
      </c>
      <c r="P286" t="n">
        <v>0</v>
      </c>
      <c r="Q286" t="n">
        <v>0</v>
      </c>
      <c r="R286" s="2" t="inlineStr"/>
    </row>
    <row r="287" ht="15" customHeight="1">
      <c r="A287" t="inlineStr">
        <is>
          <t>A 58057-2021</t>
        </is>
      </c>
      <c r="B287" s="1" t="n">
        <v>44487</v>
      </c>
      <c r="C287" s="1" t="n">
        <v>45710</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58413-2021</t>
        </is>
      </c>
      <c r="B288" s="1" t="n">
        <v>44488</v>
      </c>
      <c r="C288" s="1" t="n">
        <v>45710</v>
      </c>
      <c r="D288" t="inlineStr">
        <is>
          <t>DALARNAS LÄN</t>
        </is>
      </c>
      <c r="E288" t="inlineStr">
        <is>
          <t>MORA</t>
        </is>
      </c>
      <c r="F288" t="inlineStr">
        <is>
          <t>Bergvik skog öst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60150-2021</t>
        </is>
      </c>
      <c r="B289" s="1" t="n">
        <v>44488</v>
      </c>
      <c r="C289" s="1" t="n">
        <v>45710</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58690-2021</t>
        </is>
      </c>
      <c r="B290" s="1" t="n">
        <v>44489</v>
      </c>
      <c r="C290" s="1" t="n">
        <v>45710</v>
      </c>
      <c r="D290" t="inlineStr">
        <is>
          <t>DALARNAS LÄN</t>
        </is>
      </c>
      <c r="E290" t="inlineStr">
        <is>
          <t>MORA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58961-2021</t>
        </is>
      </c>
      <c r="B291" s="1" t="n">
        <v>44490</v>
      </c>
      <c r="C291" s="1" t="n">
        <v>45710</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59899-2021</t>
        </is>
      </c>
      <c r="B292" s="1" t="n">
        <v>44494</v>
      </c>
      <c r="C292" s="1" t="n">
        <v>45710</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60847-2021</t>
        </is>
      </c>
      <c r="B293" s="1" t="n">
        <v>44497</v>
      </c>
      <c r="C293" s="1" t="n">
        <v>45710</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63089-2021</t>
        </is>
      </c>
      <c r="B294" s="1" t="n">
        <v>44505</v>
      </c>
      <c r="C294" s="1" t="n">
        <v>45710</v>
      </c>
      <c r="D294" t="inlineStr">
        <is>
          <t>DALARNAS LÄN</t>
        </is>
      </c>
      <c r="E294" t="inlineStr">
        <is>
          <t>MORA</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63088-2021</t>
        </is>
      </c>
      <c r="B295" s="1" t="n">
        <v>44505</v>
      </c>
      <c r="C295" s="1" t="n">
        <v>45710</v>
      </c>
      <c r="D295" t="inlineStr">
        <is>
          <t>DALARNAS LÄN</t>
        </is>
      </c>
      <c r="E295" t="inlineStr">
        <is>
          <t>MORA</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63000-2021</t>
        </is>
      </c>
      <c r="B296" s="1" t="n">
        <v>44505</v>
      </c>
      <c r="C296" s="1" t="n">
        <v>45710</v>
      </c>
      <c r="D296" t="inlineStr">
        <is>
          <t>DALARNAS LÄN</t>
        </is>
      </c>
      <c r="E296" t="inlineStr">
        <is>
          <t>MORA</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63552-2021</t>
        </is>
      </c>
      <c r="B297" s="1" t="n">
        <v>44508</v>
      </c>
      <c r="C297" s="1" t="n">
        <v>45710</v>
      </c>
      <c r="D297" t="inlineStr">
        <is>
          <t>DALARNAS LÄN</t>
        </is>
      </c>
      <c r="E297" t="inlineStr">
        <is>
          <t>MORA</t>
        </is>
      </c>
      <c r="F297" t="inlineStr">
        <is>
          <t>Bergvik skog väst AB</t>
        </is>
      </c>
      <c r="G297" t="n">
        <v>17.1</v>
      </c>
      <c r="H297" t="n">
        <v>0</v>
      </c>
      <c r="I297" t="n">
        <v>0</v>
      </c>
      <c r="J297" t="n">
        <v>0</v>
      </c>
      <c r="K297" t="n">
        <v>0</v>
      </c>
      <c r="L297" t="n">
        <v>0</v>
      </c>
      <c r="M297" t="n">
        <v>0</v>
      </c>
      <c r="N297" t="n">
        <v>0</v>
      </c>
      <c r="O297" t="n">
        <v>0</v>
      </c>
      <c r="P297" t="n">
        <v>0</v>
      </c>
      <c r="Q297" t="n">
        <v>0</v>
      </c>
      <c r="R297" s="2" t="inlineStr"/>
    </row>
    <row r="298" ht="15" customHeight="1">
      <c r="A298" t="inlineStr">
        <is>
          <t>A 63690-2021</t>
        </is>
      </c>
      <c r="B298" s="1" t="n">
        <v>44509</v>
      </c>
      <c r="C298" s="1" t="n">
        <v>45710</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65262-2021</t>
        </is>
      </c>
      <c r="B299" s="1" t="n">
        <v>44515</v>
      </c>
      <c r="C299" s="1" t="n">
        <v>45710</v>
      </c>
      <c r="D299" t="inlineStr">
        <is>
          <t>DALARNAS LÄN</t>
        </is>
      </c>
      <c r="E299" t="inlineStr">
        <is>
          <t>MORA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45710</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65258-2021</t>
        </is>
      </c>
      <c r="B301" s="1" t="n">
        <v>44515</v>
      </c>
      <c r="C301" s="1" t="n">
        <v>45710</v>
      </c>
      <c r="D301" t="inlineStr">
        <is>
          <t>DALARNAS LÄN</t>
        </is>
      </c>
      <c r="E301" t="inlineStr">
        <is>
          <t>MORA</t>
        </is>
      </c>
      <c r="F301" t="inlineStr">
        <is>
          <t>Bergvik skog väst AB</t>
        </is>
      </c>
      <c r="G301" t="n">
        <v>8.4</v>
      </c>
      <c r="H301" t="n">
        <v>0</v>
      </c>
      <c r="I301" t="n">
        <v>0</v>
      </c>
      <c r="J301" t="n">
        <v>0</v>
      </c>
      <c r="K301" t="n">
        <v>0</v>
      </c>
      <c r="L301" t="n">
        <v>0</v>
      </c>
      <c r="M301" t="n">
        <v>0</v>
      </c>
      <c r="N301" t="n">
        <v>0</v>
      </c>
      <c r="O301" t="n">
        <v>0</v>
      </c>
      <c r="P301" t="n">
        <v>0</v>
      </c>
      <c r="Q301" t="n">
        <v>0</v>
      </c>
      <c r="R301" s="2" t="inlineStr"/>
    </row>
    <row r="302" ht="15" customHeight="1">
      <c r="A302" t="inlineStr">
        <is>
          <t>A 65253-2021</t>
        </is>
      </c>
      <c r="B302" s="1" t="n">
        <v>44515</v>
      </c>
      <c r="C302" s="1" t="n">
        <v>45710</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65527-2021</t>
        </is>
      </c>
      <c r="B303" s="1" t="n">
        <v>44516</v>
      </c>
      <c r="C303" s="1" t="n">
        <v>45710</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65727-2021</t>
        </is>
      </c>
      <c r="B304" s="1" t="n">
        <v>44516</v>
      </c>
      <c r="C304" s="1" t="n">
        <v>45710</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66157-2021</t>
        </is>
      </c>
      <c r="B305" s="1" t="n">
        <v>44517</v>
      </c>
      <c r="C305" s="1" t="n">
        <v>45710</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66158-2021</t>
        </is>
      </c>
      <c r="B306" s="1" t="n">
        <v>44517</v>
      </c>
      <c r="C306" s="1" t="n">
        <v>45710</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66232-2021</t>
        </is>
      </c>
      <c r="B307" s="1" t="n">
        <v>44518</v>
      </c>
      <c r="C307" s="1" t="n">
        <v>45710</v>
      </c>
      <c r="D307" t="inlineStr">
        <is>
          <t>DALARNAS LÄN</t>
        </is>
      </c>
      <c r="E307" t="inlineStr">
        <is>
          <t>MORA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66639-2021</t>
        </is>
      </c>
      <c r="B308" s="1" t="n">
        <v>44519</v>
      </c>
      <c r="C308" s="1" t="n">
        <v>45710</v>
      </c>
      <c r="D308" t="inlineStr">
        <is>
          <t>DALARNAS LÄN</t>
        </is>
      </c>
      <c r="E308" t="inlineStr">
        <is>
          <t>MORA</t>
        </is>
      </c>
      <c r="G308" t="n">
        <v>10</v>
      </c>
      <c r="H308" t="n">
        <v>0</v>
      </c>
      <c r="I308" t="n">
        <v>0</v>
      </c>
      <c r="J308" t="n">
        <v>0</v>
      </c>
      <c r="K308" t="n">
        <v>0</v>
      </c>
      <c r="L308" t="n">
        <v>0</v>
      </c>
      <c r="M308" t="n">
        <v>0</v>
      </c>
      <c r="N308" t="n">
        <v>0</v>
      </c>
      <c r="O308" t="n">
        <v>0</v>
      </c>
      <c r="P308" t="n">
        <v>0</v>
      </c>
      <c r="Q308" t="n">
        <v>0</v>
      </c>
      <c r="R308" s="2" t="inlineStr"/>
    </row>
    <row r="309" ht="15" customHeight="1">
      <c r="A309" t="inlineStr">
        <is>
          <t>A 67045-2021</t>
        </is>
      </c>
      <c r="B309" s="1" t="n">
        <v>44522</v>
      </c>
      <c r="C309" s="1" t="n">
        <v>45710</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67125-2021</t>
        </is>
      </c>
      <c r="B310" s="1" t="n">
        <v>44523</v>
      </c>
      <c r="C310" s="1" t="n">
        <v>45710</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67316-2021</t>
        </is>
      </c>
      <c r="B311" s="1" t="n">
        <v>44523</v>
      </c>
      <c r="C311" s="1" t="n">
        <v>45710</v>
      </c>
      <c r="D311" t="inlineStr">
        <is>
          <t>DALARNAS LÄN</t>
        </is>
      </c>
      <c r="E311" t="inlineStr">
        <is>
          <t>MORA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67318-2021</t>
        </is>
      </c>
      <c r="B312" s="1" t="n">
        <v>44523</v>
      </c>
      <c r="C312" s="1" t="n">
        <v>45710</v>
      </c>
      <c r="D312" t="inlineStr">
        <is>
          <t>DALARNAS LÄN</t>
        </is>
      </c>
      <c r="E312" t="inlineStr">
        <is>
          <t>MORA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67932-2021</t>
        </is>
      </c>
      <c r="B313" s="1" t="n">
        <v>44525</v>
      </c>
      <c r="C313" s="1" t="n">
        <v>45710</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68415-2021</t>
        </is>
      </c>
      <c r="B314" s="1" t="n">
        <v>44529</v>
      </c>
      <c r="C314" s="1" t="n">
        <v>45710</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68966-2021</t>
        </is>
      </c>
      <c r="B315" s="1" t="n">
        <v>44530</v>
      </c>
      <c r="C315" s="1" t="n">
        <v>45710</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69483-2021</t>
        </is>
      </c>
      <c r="B316" s="1" t="n">
        <v>44531</v>
      </c>
      <c r="C316" s="1" t="n">
        <v>45710</v>
      </c>
      <c r="D316" t="inlineStr">
        <is>
          <t>DALARNAS LÄN</t>
        </is>
      </c>
      <c r="E316" t="inlineStr">
        <is>
          <t>MORA</t>
        </is>
      </c>
      <c r="G316" t="n">
        <v>1.5</v>
      </c>
      <c r="H316" t="n">
        <v>0</v>
      </c>
      <c r="I316" t="n">
        <v>0</v>
      </c>
      <c r="J316" t="n">
        <v>0</v>
      </c>
      <c r="K316" t="n">
        <v>0</v>
      </c>
      <c r="L316" t="n">
        <v>0</v>
      </c>
      <c r="M316" t="n">
        <v>0</v>
      </c>
      <c r="N316" t="n">
        <v>0</v>
      </c>
      <c r="O316" t="n">
        <v>0</v>
      </c>
      <c r="P316" t="n">
        <v>0</v>
      </c>
      <c r="Q316" t="n">
        <v>0</v>
      </c>
      <c r="R316" s="2" t="inlineStr"/>
    </row>
    <row r="317" ht="15" customHeight="1">
      <c r="A317" t="inlineStr">
        <is>
          <t>A 70065-2021</t>
        </is>
      </c>
      <c r="B317" s="1" t="n">
        <v>44533</v>
      </c>
      <c r="C317" s="1" t="n">
        <v>45710</v>
      </c>
      <c r="D317" t="inlineStr">
        <is>
          <t>DALARNAS LÄN</t>
        </is>
      </c>
      <c r="E317" t="inlineStr">
        <is>
          <t>MORA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70141-2021</t>
        </is>
      </c>
      <c r="B318" s="1" t="n">
        <v>44533</v>
      </c>
      <c r="C318" s="1" t="n">
        <v>45710</v>
      </c>
      <c r="D318" t="inlineStr">
        <is>
          <t>DALARNAS LÄN</t>
        </is>
      </c>
      <c r="E318" t="inlineStr">
        <is>
          <t>MORA</t>
        </is>
      </c>
      <c r="G318" t="n">
        <v>4.1</v>
      </c>
      <c r="H318" t="n">
        <v>0</v>
      </c>
      <c r="I318" t="n">
        <v>0</v>
      </c>
      <c r="J318" t="n">
        <v>0</v>
      </c>
      <c r="K318" t="n">
        <v>0</v>
      </c>
      <c r="L318" t="n">
        <v>0</v>
      </c>
      <c r="M318" t="n">
        <v>0</v>
      </c>
      <c r="N318" t="n">
        <v>0</v>
      </c>
      <c r="O318" t="n">
        <v>0</v>
      </c>
      <c r="P318" t="n">
        <v>0</v>
      </c>
      <c r="Q318" t="n">
        <v>0</v>
      </c>
      <c r="R318" s="2" t="inlineStr"/>
    </row>
    <row r="319" ht="15" customHeight="1">
      <c r="A319" t="inlineStr">
        <is>
          <t>A 71702-2021</t>
        </is>
      </c>
      <c r="B319" s="1" t="n">
        <v>44543</v>
      </c>
      <c r="C319" s="1" t="n">
        <v>45710</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72333-2021</t>
        </is>
      </c>
      <c r="B320" s="1" t="n">
        <v>44545</v>
      </c>
      <c r="C320" s="1" t="n">
        <v>45710</v>
      </c>
      <c r="D320" t="inlineStr">
        <is>
          <t>DALARNAS LÄN</t>
        </is>
      </c>
      <c r="E320" t="inlineStr">
        <is>
          <t>MORA</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72439-2021</t>
        </is>
      </c>
      <c r="B321" s="1" t="n">
        <v>44545</v>
      </c>
      <c r="C321" s="1" t="n">
        <v>45710</v>
      </c>
      <c r="D321" t="inlineStr">
        <is>
          <t>DALARNAS LÄN</t>
        </is>
      </c>
      <c r="E321" t="inlineStr">
        <is>
          <t>MORA</t>
        </is>
      </c>
      <c r="F321" t="inlineStr">
        <is>
          <t>Allmännings- och besparingsskogar</t>
        </is>
      </c>
      <c r="G321" t="n">
        <v>8.5</v>
      </c>
      <c r="H321" t="n">
        <v>0</v>
      </c>
      <c r="I321" t="n">
        <v>0</v>
      </c>
      <c r="J321" t="n">
        <v>0</v>
      </c>
      <c r="K321" t="n">
        <v>0</v>
      </c>
      <c r="L321" t="n">
        <v>0</v>
      </c>
      <c r="M321" t="n">
        <v>0</v>
      </c>
      <c r="N321" t="n">
        <v>0</v>
      </c>
      <c r="O321" t="n">
        <v>0</v>
      </c>
      <c r="P321" t="n">
        <v>0</v>
      </c>
      <c r="Q321" t="n">
        <v>0</v>
      </c>
      <c r="R321" s="2" t="inlineStr"/>
    </row>
    <row r="322" ht="15" customHeight="1">
      <c r="A322" t="inlineStr">
        <is>
          <t>A 72780-2021</t>
        </is>
      </c>
      <c r="B322" s="1" t="n">
        <v>44545</v>
      </c>
      <c r="C322" s="1" t="n">
        <v>45710</v>
      </c>
      <c r="D322" t="inlineStr">
        <is>
          <t>DALARNAS LÄN</t>
        </is>
      </c>
      <c r="E322" t="inlineStr">
        <is>
          <t>MORA</t>
        </is>
      </c>
      <c r="F322" t="inlineStr">
        <is>
          <t>Allmännings- och besparingsskogar</t>
        </is>
      </c>
      <c r="G322" t="n">
        <v>1</v>
      </c>
      <c r="H322" t="n">
        <v>0</v>
      </c>
      <c r="I322" t="n">
        <v>0</v>
      </c>
      <c r="J322" t="n">
        <v>0</v>
      </c>
      <c r="K322" t="n">
        <v>0</v>
      </c>
      <c r="L322" t="n">
        <v>0</v>
      </c>
      <c r="M322" t="n">
        <v>0</v>
      </c>
      <c r="N322" t="n">
        <v>0</v>
      </c>
      <c r="O322" t="n">
        <v>0</v>
      </c>
      <c r="P322" t="n">
        <v>0</v>
      </c>
      <c r="Q322" t="n">
        <v>0</v>
      </c>
      <c r="R322" s="2" t="inlineStr"/>
    </row>
    <row r="323" ht="15" customHeight="1">
      <c r="A323" t="inlineStr">
        <is>
          <t>A 72659-2021</t>
        </is>
      </c>
      <c r="B323" s="1" t="n">
        <v>44546</v>
      </c>
      <c r="C323" s="1" t="n">
        <v>45710</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72648-2021</t>
        </is>
      </c>
      <c r="B324" s="1" t="n">
        <v>44546</v>
      </c>
      <c r="C324" s="1" t="n">
        <v>45710</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72915-2021</t>
        </is>
      </c>
      <c r="B325" s="1" t="n">
        <v>44547</v>
      </c>
      <c r="C325" s="1" t="n">
        <v>45710</v>
      </c>
      <c r="D325" t="inlineStr">
        <is>
          <t>DALARNAS LÄN</t>
        </is>
      </c>
      <c r="E325" t="inlineStr">
        <is>
          <t>MORA</t>
        </is>
      </c>
      <c r="F325" t="inlineStr">
        <is>
          <t>Allmännings- och besparingsskogar</t>
        </is>
      </c>
      <c r="G325" t="n">
        <v>38.5</v>
      </c>
      <c r="H325" t="n">
        <v>0</v>
      </c>
      <c r="I325" t="n">
        <v>0</v>
      </c>
      <c r="J325" t="n">
        <v>0</v>
      </c>
      <c r="K325" t="n">
        <v>0</v>
      </c>
      <c r="L325" t="n">
        <v>0</v>
      </c>
      <c r="M325" t="n">
        <v>0</v>
      </c>
      <c r="N325" t="n">
        <v>0</v>
      </c>
      <c r="O325" t="n">
        <v>0</v>
      </c>
      <c r="P325" t="n">
        <v>0</v>
      </c>
      <c r="Q325" t="n">
        <v>0</v>
      </c>
      <c r="R325" s="2" t="inlineStr"/>
    </row>
    <row r="326" ht="15" customHeight="1">
      <c r="A326" t="inlineStr">
        <is>
          <t>A 73930-2021</t>
        </is>
      </c>
      <c r="B326" s="1" t="n">
        <v>44553</v>
      </c>
      <c r="C326" s="1" t="n">
        <v>45710</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111-2022</t>
        </is>
      </c>
      <c r="B327" s="1" t="n">
        <v>44564</v>
      </c>
      <c r="C327" s="1" t="n">
        <v>45710</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2277-2022</t>
        </is>
      </c>
      <c r="B328" s="1" t="n">
        <v>44578</v>
      </c>
      <c r="C328" s="1" t="n">
        <v>45710</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2247-2022</t>
        </is>
      </c>
      <c r="B329" s="1" t="n">
        <v>44578</v>
      </c>
      <c r="C329" s="1" t="n">
        <v>45710</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45710</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2879-2022</t>
        </is>
      </c>
      <c r="B331" s="1" t="n">
        <v>44581</v>
      </c>
      <c r="C331" s="1" t="n">
        <v>45710</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4489-2022</t>
        </is>
      </c>
      <c r="B332" s="1" t="n">
        <v>44589</v>
      </c>
      <c r="C332" s="1" t="n">
        <v>45710</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4488-2022</t>
        </is>
      </c>
      <c r="B333" s="1" t="n">
        <v>44589</v>
      </c>
      <c r="C333" s="1" t="n">
        <v>45710</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6371-2022</t>
        </is>
      </c>
      <c r="B334" s="1" t="n">
        <v>44600</v>
      </c>
      <c r="C334" s="1" t="n">
        <v>45710</v>
      </c>
      <c r="D334" t="inlineStr">
        <is>
          <t>DALARNAS LÄN</t>
        </is>
      </c>
      <c r="E334" t="inlineStr">
        <is>
          <t>MORA</t>
        </is>
      </c>
      <c r="G334" t="n">
        <v>4.6</v>
      </c>
      <c r="H334" t="n">
        <v>0</v>
      </c>
      <c r="I334" t="n">
        <v>0</v>
      </c>
      <c r="J334" t="n">
        <v>0</v>
      </c>
      <c r="K334" t="n">
        <v>0</v>
      </c>
      <c r="L334" t="n">
        <v>0</v>
      </c>
      <c r="M334" t="n">
        <v>0</v>
      </c>
      <c r="N334" t="n">
        <v>0</v>
      </c>
      <c r="O334" t="n">
        <v>0</v>
      </c>
      <c r="P334" t="n">
        <v>0</v>
      </c>
      <c r="Q334" t="n">
        <v>0</v>
      </c>
      <c r="R334" s="2" t="inlineStr"/>
    </row>
    <row r="335" ht="15" customHeight="1">
      <c r="A335" t="inlineStr">
        <is>
          <t>A 6574-2022</t>
        </is>
      </c>
      <c r="B335" s="1" t="n">
        <v>44601</v>
      </c>
      <c r="C335" s="1" t="n">
        <v>45710</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6572-2022</t>
        </is>
      </c>
      <c r="B336" s="1" t="n">
        <v>44601</v>
      </c>
      <c r="C336" s="1" t="n">
        <v>45710</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8051-2022</t>
        </is>
      </c>
      <c r="B337" s="1" t="n">
        <v>44608</v>
      </c>
      <c r="C337" s="1" t="n">
        <v>45710</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8138-2022</t>
        </is>
      </c>
      <c r="B338" s="1" t="n">
        <v>44609</v>
      </c>
      <c r="C338" s="1" t="n">
        <v>45710</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8145-2022</t>
        </is>
      </c>
      <c r="B339" s="1" t="n">
        <v>44609</v>
      </c>
      <c r="C339" s="1" t="n">
        <v>45710</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45710</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9034-2022</t>
        </is>
      </c>
      <c r="B341" s="1" t="n">
        <v>44615</v>
      </c>
      <c r="C341" s="1" t="n">
        <v>45710</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v>
      </c>
      <c r="C342" s="1" t="n">
        <v>45710</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9843-2022</t>
        </is>
      </c>
      <c r="B343" s="1" t="n">
        <v>44620</v>
      </c>
      <c r="C343" s="1" t="n">
        <v>45710</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11337-2022</t>
        </is>
      </c>
      <c r="B344" s="1" t="n">
        <v>44630</v>
      </c>
      <c r="C344" s="1" t="n">
        <v>45710</v>
      </c>
      <c r="D344" t="inlineStr">
        <is>
          <t>DALARNAS LÄN</t>
        </is>
      </c>
      <c r="E344" t="inlineStr">
        <is>
          <t>MORA</t>
        </is>
      </c>
      <c r="G344" t="n">
        <v>6.6</v>
      </c>
      <c r="H344" t="n">
        <v>0</v>
      </c>
      <c r="I344" t="n">
        <v>0</v>
      </c>
      <c r="J344" t="n">
        <v>0</v>
      </c>
      <c r="K344" t="n">
        <v>0</v>
      </c>
      <c r="L344" t="n">
        <v>0</v>
      </c>
      <c r="M344" t="n">
        <v>0</v>
      </c>
      <c r="N344" t="n">
        <v>0</v>
      </c>
      <c r="O344" t="n">
        <v>0</v>
      </c>
      <c r="P344" t="n">
        <v>0</v>
      </c>
      <c r="Q344" t="n">
        <v>0</v>
      </c>
      <c r="R344" s="2" t="inlineStr"/>
    </row>
    <row r="345" ht="15" customHeight="1">
      <c r="A345" t="inlineStr">
        <is>
          <t>A 11442-2022</t>
        </is>
      </c>
      <c r="B345" s="1" t="n">
        <v>44630</v>
      </c>
      <c r="C345" s="1" t="n">
        <v>45710</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12096-2022</t>
        </is>
      </c>
      <c r="B346" s="1" t="n">
        <v>44636</v>
      </c>
      <c r="C346" s="1" t="n">
        <v>45710</v>
      </c>
      <c r="D346" t="inlineStr">
        <is>
          <t>DALARNAS LÄN</t>
        </is>
      </c>
      <c r="E346" t="inlineStr">
        <is>
          <t>MORA</t>
        </is>
      </c>
      <c r="G346" t="n">
        <v>9</v>
      </c>
      <c r="H346" t="n">
        <v>0</v>
      </c>
      <c r="I346" t="n">
        <v>0</v>
      </c>
      <c r="J346" t="n">
        <v>0</v>
      </c>
      <c r="K346" t="n">
        <v>0</v>
      </c>
      <c r="L346" t="n">
        <v>0</v>
      </c>
      <c r="M346" t="n">
        <v>0</v>
      </c>
      <c r="N346" t="n">
        <v>0</v>
      </c>
      <c r="O346" t="n">
        <v>0</v>
      </c>
      <c r="P346" t="n">
        <v>0</v>
      </c>
      <c r="Q346" t="n">
        <v>0</v>
      </c>
      <c r="R346" s="2" t="inlineStr"/>
    </row>
    <row r="347" ht="15" customHeight="1">
      <c r="A347" t="inlineStr">
        <is>
          <t>A 12920-2022</t>
        </is>
      </c>
      <c r="B347" s="1" t="n">
        <v>44642</v>
      </c>
      <c r="C347" s="1" t="n">
        <v>45710</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13262-2022</t>
        </is>
      </c>
      <c r="B348" s="1" t="n">
        <v>44644</v>
      </c>
      <c r="C348" s="1" t="n">
        <v>45710</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13350-2022</t>
        </is>
      </c>
      <c r="B349" s="1" t="n">
        <v>44645</v>
      </c>
      <c r="C349" s="1" t="n">
        <v>45710</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14738-2022</t>
        </is>
      </c>
      <c r="B350" s="1" t="n">
        <v>44656</v>
      </c>
      <c r="C350" s="1" t="n">
        <v>45710</v>
      </c>
      <c r="D350" t="inlineStr">
        <is>
          <t>DALARNAS LÄN</t>
        </is>
      </c>
      <c r="E350" t="inlineStr">
        <is>
          <t>MORA</t>
        </is>
      </c>
      <c r="G350" t="n">
        <v>5.6</v>
      </c>
      <c r="H350" t="n">
        <v>0</v>
      </c>
      <c r="I350" t="n">
        <v>0</v>
      </c>
      <c r="J350" t="n">
        <v>0</v>
      </c>
      <c r="K350" t="n">
        <v>0</v>
      </c>
      <c r="L350" t="n">
        <v>0</v>
      </c>
      <c r="M350" t="n">
        <v>0</v>
      </c>
      <c r="N350" t="n">
        <v>0</v>
      </c>
      <c r="O350" t="n">
        <v>0</v>
      </c>
      <c r="P350" t="n">
        <v>0</v>
      </c>
      <c r="Q350" t="n">
        <v>0</v>
      </c>
      <c r="R350" s="2" t="inlineStr"/>
    </row>
    <row r="351" ht="15" customHeight="1">
      <c r="A351" t="inlineStr">
        <is>
          <t>A 14744-2022</t>
        </is>
      </c>
      <c r="B351" s="1" t="n">
        <v>44656</v>
      </c>
      <c r="C351" s="1" t="n">
        <v>45710</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15128-2022</t>
        </is>
      </c>
      <c r="B352" s="1" t="n">
        <v>44658</v>
      </c>
      <c r="C352" s="1" t="n">
        <v>45710</v>
      </c>
      <c r="D352" t="inlineStr">
        <is>
          <t>DALARNAS LÄN</t>
        </is>
      </c>
      <c r="E352" t="inlineStr">
        <is>
          <t>MORA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15127-2022</t>
        </is>
      </c>
      <c r="B353" s="1" t="n">
        <v>44658</v>
      </c>
      <c r="C353" s="1" t="n">
        <v>45710</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15393-2022</t>
        </is>
      </c>
      <c r="B354" s="1" t="n">
        <v>44659</v>
      </c>
      <c r="C354" s="1" t="n">
        <v>45710</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15594-2022</t>
        </is>
      </c>
      <c r="B355" s="1" t="n">
        <v>44662</v>
      </c>
      <c r="C355" s="1" t="n">
        <v>45710</v>
      </c>
      <c r="D355" t="inlineStr">
        <is>
          <t>DALARNAS LÄN</t>
        </is>
      </c>
      <c r="E355" t="inlineStr">
        <is>
          <t>MORA</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16706-2022</t>
        </is>
      </c>
      <c r="B356" s="1" t="n">
        <v>44673</v>
      </c>
      <c r="C356" s="1" t="n">
        <v>45710</v>
      </c>
      <c r="D356" t="inlineStr">
        <is>
          <t>DALARNAS LÄN</t>
        </is>
      </c>
      <c r="E356" t="inlineStr">
        <is>
          <t>MORA</t>
        </is>
      </c>
      <c r="G356" t="n">
        <v>9.1</v>
      </c>
      <c r="H356" t="n">
        <v>0</v>
      </c>
      <c r="I356" t="n">
        <v>0</v>
      </c>
      <c r="J356" t="n">
        <v>0</v>
      </c>
      <c r="K356" t="n">
        <v>0</v>
      </c>
      <c r="L356" t="n">
        <v>0</v>
      </c>
      <c r="M356" t="n">
        <v>0</v>
      </c>
      <c r="N356" t="n">
        <v>0</v>
      </c>
      <c r="O356" t="n">
        <v>0</v>
      </c>
      <c r="P356" t="n">
        <v>0</v>
      </c>
      <c r="Q356" t="n">
        <v>0</v>
      </c>
      <c r="R356" s="2" t="inlineStr"/>
    </row>
    <row r="357" ht="15" customHeight="1">
      <c r="A357" t="inlineStr">
        <is>
          <t>A 16700-2022</t>
        </is>
      </c>
      <c r="B357" s="1" t="n">
        <v>44673</v>
      </c>
      <c r="C357" s="1" t="n">
        <v>45710</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17272-2022</t>
        </is>
      </c>
      <c r="B358" s="1" t="n">
        <v>44678</v>
      </c>
      <c r="C358" s="1" t="n">
        <v>45710</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17622-2022</t>
        </is>
      </c>
      <c r="B359" s="1" t="n">
        <v>44680</v>
      </c>
      <c r="C359" s="1" t="n">
        <v>45710</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19372-2022</t>
        </is>
      </c>
      <c r="B360" s="1" t="n">
        <v>44692</v>
      </c>
      <c r="C360" s="1" t="n">
        <v>45710</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v>
      </c>
      <c r="C361" s="1" t="n">
        <v>45710</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20401-2022</t>
        </is>
      </c>
      <c r="B362" s="1" t="n">
        <v>44699</v>
      </c>
      <c r="C362" s="1" t="n">
        <v>45710</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21273-2022</t>
        </is>
      </c>
      <c r="B363" s="1" t="n">
        <v>44705</v>
      </c>
      <c r="C363" s="1" t="n">
        <v>45710</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23354-2022</t>
        </is>
      </c>
      <c r="B364" s="1" t="n">
        <v>44720</v>
      </c>
      <c r="C364" s="1" t="n">
        <v>45710</v>
      </c>
      <c r="D364" t="inlineStr">
        <is>
          <t>DALARNAS LÄN</t>
        </is>
      </c>
      <c r="E364" t="inlineStr">
        <is>
          <t>MORA</t>
        </is>
      </c>
      <c r="G364" t="n">
        <v>5.2</v>
      </c>
      <c r="H364" t="n">
        <v>0</v>
      </c>
      <c r="I364" t="n">
        <v>0</v>
      </c>
      <c r="J364" t="n">
        <v>0</v>
      </c>
      <c r="K364" t="n">
        <v>0</v>
      </c>
      <c r="L364" t="n">
        <v>0</v>
      </c>
      <c r="M364" t="n">
        <v>0</v>
      </c>
      <c r="N364" t="n">
        <v>0</v>
      </c>
      <c r="O364" t="n">
        <v>0</v>
      </c>
      <c r="P364" t="n">
        <v>0</v>
      </c>
      <c r="Q364" t="n">
        <v>0</v>
      </c>
      <c r="R364" s="2" t="inlineStr"/>
    </row>
    <row r="365" ht="15" customHeight="1">
      <c r="A365" t="inlineStr">
        <is>
          <t>A 23655-2022</t>
        </is>
      </c>
      <c r="B365" s="1" t="n">
        <v>44721</v>
      </c>
      <c r="C365" s="1" t="n">
        <v>45710</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23795-2022</t>
        </is>
      </c>
      <c r="B366" s="1" t="n">
        <v>44722</v>
      </c>
      <c r="C366" s="1" t="n">
        <v>45710</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23798-2022</t>
        </is>
      </c>
      <c r="B367" s="1" t="n">
        <v>44722</v>
      </c>
      <c r="C367" s="1" t="n">
        <v>45710</v>
      </c>
      <c r="D367" t="inlineStr">
        <is>
          <t>DALARNAS LÄN</t>
        </is>
      </c>
      <c r="E367" t="inlineStr">
        <is>
          <t>MORA</t>
        </is>
      </c>
      <c r="G367" t="n">
        <v>2.6</v>
      </c>
      <c r="H367" t="n">
        <v>0</v>
      </c>
      <c r="I367" t="n">
        <v>0</v>
      </c>
      <c r="J367" t="n">
        <v>0</v>
      </c>
      <c r="K367" t="n">
        <v>0</v>
      </c>
      <c r="L367" t="n">
        <v>0</v>
      </c>
      <c r="M367" t="n">
        <v>0</v>
      </c>
      <c r="N367" t="n">
        <v>0</v>
      </c>
      <c r="O367" t="n">
        <v>0</v>
      </c>
      <c r="P367" t="n">
        <v>0</v>
      </c>
      <c r="Q367" t="n">
        <v>0</v>
      </c>
      <c r="R367" s="2" t="inlineStr"/>
    </row>
    <row r="368" ht="15" customHeight="1">
      <c r="A368" t="inlineStr">
        <is>
          <t>A 24171-2022</t>
        </is>
      </c>
      <c r="B368" s="1" t="n">
        <v>44725</v>
      </c>
      <c r="C368" s="1" t="n">
        <v>45710</v>
      </c>
      <c r="D368" t="inlineStr">
        <is>
          <t>DALARNAS LÄN</t>
        </is>
      </c>
      <c r="E368" t="inlineStr">
        <is>
          <t>MORA</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24170-2022</t>
        </is>
      </c>
      <c r="B369" s="1" t="n">
        <v>44725</v>
      </c>
      <c r="C369" s="1" t="n">
        <v>45710</v>
      </c>
      <c r="D369" t="inlineStr">
        <is>
          <t>DALARNAS LÄN</t>
        </is>
      </c>
      <c r="E369" t="inlineStr">
        <is>
          <t>MORA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24169-2022</t>
        </is>
      </c>
      <c r="B370" s="1" t="n">
        <v>44725</v>
      </c>
      <c r="C370" s="1" t="n">
        <v>45710</v>
      </c>
      <c r="D370" t="inlineStr">
        <is>
          <t>DALARNAS LÄN</t>
        </is>
      </c>
      <c r="E370" t="inlineStr">
        <is>
          <t>MORA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24335-2022</t>
        </is>
      </c>
      <c r="B371" s="1" t="n">
        <v>44725</v>
      </c>
      <c r="C371" s="1" t="n">
        <v>45710</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24366-2022</t>
        </is>
      </c>
      <c r="B372" s="1" t="n">
        <v>44726</v>
      </c>
      <c r="C372" s="1" t="n">
        <v>45710</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24393-2022</t>
        </is>
      </c>
      <c r="B373" s="1" t="n">
        <v>44726</v>
      </c>
      <c r="C373" s="1" t="n">
        <v>45710</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25451-2022</t>
        </is>
      </c>
      <c r="B374" s="1" t="n">
        <v>44732</v>
      </c>
      <c r="C374" s="1" t="n">
        <v>45710</v>
      </c>
      <c r="D374" t="inlineStr">
        <is>
          <t>DALARNAS LÄN</t>
        </is>
      </c>
      <c r="E374" t="inlineStr">
        <is>
          <t>MORA</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27438-2022</t>
        </is>
      </c>
      <c r="B375" s="1" t="n">
        <v>44742</v>
      </c>
      <c r="C375" s="1" t="n">
        <v>45710</v>
      </c>
      <c r="D375" t="inlineStr">
        <is>
          <t>DALARNAS LÄN</t>
        </is>
      </c>
      <c r="E375" t="inlineStr">
        <is>
          <t>MORA</t>
        </is>
      </c>
      <c r="G375" t="n">
        <v>7</v>
      </c>
      <c r="H375" t="n">
        <v>0</v>
      </c>
      <c r="I375" t="n">
        <v>0</v>
      </c>
      <c r="J375" t="n">
        <v>0</v>
      </c>
      <c r="K375" t="n">
        <v>0</v>
      </c>
      <c r="L375" t="n">
        <v>0</v>
      </c>
      <c r="M375" t="n">
        <v>0</v>
      </c>
      <c r="N375" t="n">
        <v>0</v>
      </c>
      <c r="O375" t="n">
        <v>0</v>
      </c>
      <c r="P375" t="n">
        <v>0</v>
      </c>
      <c r="Q375" t="n">
        <v>0</v>
      </c>
      <c r="R375" s="2" t="inlineStr"/>
    </row>
    <row r="376" ht="15" customHeight="1">
      <c r="A376" t="inlineStr">
        <is>
          <t>A 27461-2022</t>
        </is>
      </c>
      <c r="B376" s="1" t="n">
        <v>44742</v>
      </c>
      <c r="C376" s="1" t="n">
        <v>45710</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28344-2022</t>
        </is>
      </c>
      <c r="B377" s="1" t="n">
        <v>44747</v>
      </c>
      <c r="C377" s="1" t="n">
        <v>45710</v>
      </c>
      <c r="D377" t="inlineStr">
        <is>
          <t>DALARNAS LÄN</t>
        </is>
      </c>
      <c r="E377" t="inlineStr">
        <is>
          <t>MORA</t>
        </is>
      </c>
      <c r="F377" t="inlineStr">
        <is>
          <t>Kyrkan</t>
        </is>
      </c>
      <c r="G377" t="n">
        <v>6.4</v>
      </c>
      <c r="H377" t="n">
        <v>0</v>
      </c>
      <c r="I377" t="n">
        <v>0</v>
      </c>
      <c r="J377" t="n">
        <v>0</v>
      </c>
      <c r="K377" t="n">
        <v>0</v>
      </c>
      <c r="L377" t="n">
        <v>0</v>
      </c>
      <c r="M377" t="n">
        <v>0</v>
      </c>
      <c r="N377" t="n">
        <v>0</v>
      </c>
      <c r="O377" t="n">
        <v>0</v>
      </c>
      <c r="P377" t="n">
        <v>0</v>
      </c>
      <c r="Q377" t="n">
        <v>0</v>
      </c>
      <c r="R377" s="2" t="inlineStr"/>
    </row>
    <row r="378" ht="15" customHeight="1">
      <c r="A378" t="inlineStr">
        <is>
          <t>A 28914-2022</t>
        </is>
      </c>
      <c r="B378" s="1" t="n">
        <v>44749</v>
      </c>
      <c r="C378" s="1" t="n">
        <v>45710</v>
      </c>
      <c r="D378" t="inlineStr">
        <is>
          <t>DALARNAS LÄN</t>
        </is>
      </c>
      <c r="E378" t="inlineStr">
        <is>
          <t>MORA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29754-2022</t>
        </is>
      </c>
      <c r="B379" s="1" t="n">
        <v>44755</v>
      </c>
      <c r="C379" s="1" t="n">
        <v>45710</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45710</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31304-2022</t>
        </is>
      </c>
      <c r="B381" s="1" t="n">
        <v>44773</v>
      </c>
      <c r="C381" s="1" t="n">
        <v>45710</v>
      </c>
      <c r="D381" t="inlineStr">
        <is>
          <t>DALARNAS LÄN</t>
        </is>
      </c>
      <c r="E381" t="inlineStr">
        <is>
          <t>MORA</t>
        </is>
      </c>
      <c r="G381" t="n">
        <v>20.6</v>
      </c>
      <c r="H381" t="n">
        <v>0</v>
      </c>
      <c r="I381" t="n">
        <v>0</v>
      </c>
      <c r="J381" t="n">
        <v>0</v>
      </c>
      <c r="K381" t="n">
        <v>0</v>
      </c>
      <c r="L381" t="n">
        <v>0</v>
      </c>
      <c r="M381" t="n">
        <v>0</v>
      </c>
      <c r="N381" t="n">
        <v>0</v>
      </c>
      <c r="O381" t="n">
        <v>0</v>
      </c>
      <c r="P381" t="n">
        <v>0</v>
      </c>
      <c r="Q381" t="n">
        <v>0</v>
      </c>
      <c r="R381" s="2" t="inlineStr"/>
    </row>
    <row r="382" ht="15" customHeight="1">
      <c r="A382" t="inlineStr">
        <is>
          <t>A 31582-2022</t>
        </is>
      </c>
      <c r="B382" s="1" t="n">
        <v>44775</v>
      </c>
      <c r="C382" s="1" t="n">
        <v>45710</v>
      </c>
      <c r="D382" t="inlineStr">
        <is>
          <t>DALARNAS LÄN</t>
        </is>
      </c>
      <c r="E382" t="inlineStr">
        <is>
          <t>MORA</t>
        </is>
      </c>
      <c r="G382" t="n">
        <v>3.5</v>
      </c>
      <c r="H382" t="n">
        <v>0</v>
      </c>
      <c r="I382" t="n">
        <v>0</v>
      </c>
      <c r="J382" t="n">
        <v>0</v>
      </c>
      <c r="K382" t="n">
        <v>0</v>
      </c>
      <c r="L382" t="n">
        <v>0</v>
      </c>
      <c r="M382" t="n">
        <v>0</v>
      </c>
      <c r="N382" t="n">
        <v>0</v>
      </c>
      <c r="O382" t="n">
        <v>0</v>
      </c>
      <c r="P382" t="n">
        <v>0</v>
      </c>
      <c r="Q382" t="n">
        <v>0</v>
      </c>
      <c r="R382" s="2" t="inlineStr"/>
    </row>
    <row r="383" ht="15" customHeight="1">
      <c r="A383" t="inlineStr">
        <is>
          <t>A 32265-2022</t>
        </is>
      </c>
      <c r="B383" s="1" t="n">
        <v>44781</v>
      </c>
      <c r="C383" s="1" t="n">
        <v>45710</v>
      </c>
      <c r="D383" t="inlineStr">
        <is>
          <t>DALARNAS LÄN</t>
        </is>
      </c>
      <c r="E383" t="inlineStr">
        <is>
          <t>MORA</t>
        </is>
      </c>
      <c r="G383" t="n">
        <v>4</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v>
      </c>
      <c r="C384" s="1" t="n">
        <v>45710</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32474-2022</t>
        </is>
      </c>
      <c r="B385" s="1" t="n">
        <v>44782</v>
      </c>
      <c r="C385" s="1" t="n">
        <v>45710</v>
      </c>
      <c r="D385" t="inlineStr">
        <is>
          <t>DALARNAS LÄN</t>
        </is>
      </c>
      <c r="E385" t="inlineStr">
        <is>
          <t>MORA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32643-2022</t>
        </is>
      </c>
      <c r="B386" s="1" t="n">
        <v>44783</v>
      </c>
      <c r="C386" s="1" t="n">
        <v>45710</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33272-2022</t>
        </is>
      </c>
      <c r="B387" s="1" t="n">
        <v>44788</v>
      </c>
      <c r="C387" s="1" t="n">
        <v>45710</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33262-2022</t>
        </is>
      </c>
      <c r="B388" s="1" t="n">
        <v>44788</v>
      </c>
      <c r="C388" s="1" t="n">
        <v>45710</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33269-2022</t>
        </is>
      </c>
      <c r="B389" s="1" t="n">
        <v>44788</v>
      </c>
      <c r="C389" s="1" t="n">
        <v>45710</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33265-2022</t>
        </is>
      </c>
      <c r="B390" s="1" t="n">
        <v>44788</v>
      </c>
      <c r="C390" s="1" t="n">
        <v>45710</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33550-2022</t>
        </is>
      </c>
      <c r="B391" s="1" t="n">
        <v>44789</v>
      </c>
      <c r="C391" s="1" t="n">
        <v>45710</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33678-2022</t>
        </is>
      </c>
      <c r="B392" s="1" t="n">
        <v>44789</v>
      </c>
      <c r="C392" s="1" t="n">
        <v>45710</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34927-2022</t>
        </is>
      </c>
      <c r="B393" s="1" t="n">
        <v>44796</v>
      </c>
      <c r="C393" s="1" t="n">
        <v>45710</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34897-2022</t>
        </is>
      </c>
      <c r="B394" s="1" t="n">
        <v>44796</v>
      </c>
      <c r="C394" s="1" t="n">
        <v>45710</v>
      </c>
      <c r="D394" t="inlineStr">
        <is>
          <t>DALARNAS LÄN</t>
        </is>
      </c>
      <c r="E394" t="inlineStr">
        <is>
          <t>MORA</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34824-2022</t>
        </is>
      </c>
      <c r="B395" s="1" t="n">
        <v>44796</v>
      </c>
      <c r="C395" s="1" t="n">
        <v>45710</v>
      </c>
      <c r="D395" t="inlineStr">
        <is>
          <t>DALARNAS LÄN</t>
        </is>
      </c>
      <c r="E395" t="inlineStr">
        <is>
          <t>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34923-2022</t>
        </is>
      </c>
      <c r="B396" s="1" t="n">
        <v>44796</v>
      </c>
      <c r="C396" s="1" t="n">
        <v>45710</v>
      </c>
      <c r="D396" t="inlineStr">
        <is>
          <t>DALARNAS LÄN</t>
        </is>
      </c>
      <c r="E396" t="inlineStr">
        <is>
          <t>MORA</t>
        </is>
      </c>
      <c r="G396" t="n">
        <v>5</v>
      </c>
      <c r="H396" t="n">
        <v>0</v>
      </c>
      <c r="I396" t="n">
        <v>0</v>
      </c>
      <c r="J396" t="n">
        <v>0</v>
      </c>
      <c r="K396" t="n">
        <v>0</v>
      </c>
      <c r="L396" t="n">
        <v>0</v>
      </c>
      <c r="M396" t="n">
        <v>0</v>
      </c>
      <c r="N396" t="n">
        <v>0</v>
      </c>
      <c r="O396" t="n">
        <v>0</v>
      </c>
      <c r="P396" t="n">
        <v>0</v>
      </c>
      <c r="Q396" t="n">
        <v>0</v>
      </c>
      <c r="R396" s="2" t="inlineStr"/>
    </row>
    <row r="397" ht="15" customHeight="1">
      <c r="A397" t="inlineStr">
        <is>
          <t>A 34928-2022</t>
        </is>
      </c>
      <c r="B397" s="1" t="n">
        <v>44796</v>
      </c>
      <c r="C397" s="1" t="n">
        <v>45710</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36579-2022</t>
        </is>
      </c>
      <c r="B398" s="1" t="n">
        <v>44804</v>
      </c>
      <c r="C398" s="1" t="n">
        <v>45710</v>
      </c>
      <c r="D398" t="inlineStr">
        <is>
          <t>DALARNAS LÄN</t>
        </is>
      </c>
      <c r="E398" t="inlineStr">
        <is>
          <t>MORA</t>
        </is>
      </c>
      <c r="G398" t="n">
        <v>2.3</v>
      </c>
      <c r="H398" t="n">
        <v>0</v>
      </c>
      <c r="I398" t="n">
        <v>0</v>
      </c>
      <c r="J398" t="n">
        <v>0</v>
      </c>
      <c r="K398" t="n">
        <v>0</v>
      </c>
      <c r="L398" t="n">
        <v>0</v>
      </c>
      <c r="M398" t="n">
        <v>0</v>
      </c>
      <c r="N398" t="n">
        <v>0</v>
      </c>
      <c r="O398" t="n">
        <v>0</v>
      </c>
      <c r="P398" t="n">
        <v>0</v>
      </c>
      <c r="Q398" t="n">
        <v>0</v>
      </c>
      <c r="R398" s="2" t="inlineStr"/>
    </row>
    <row r="399" ht="15" customHeight="1">
      <c r="A399" t="inlineStr">
        <is>
          <t>A 37483-2022</t>
        </is>
      </c>
      <c r="B399" s="1" t="n">
        <v>44809</v>
      </c>
      <c r="C399" s="1" t="n">
        <v>45710</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v>
      </c>
      <c r="C400" s="1" t="n">
        <v>45710</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37771-2022</t>
        </is>
      </c>
      <c r="B401" s="1" t="n">
        <v>44810</v>
      </c>
      <c r="C401" s="1" t="n">
        <v>45710</v>
      </c>
      <c r="D401" t="inlineStr">
        <is>
          <t>DALARNAS LÄN</t>
        </is>
      </c>
      <c r="E401" t="inlineStr">
        <is>
          <t>MORA</t>
        </is>
      </c>
      <c r="G401" t="n">
        <v>0.9</v>
      </c>
      <c r="H401" t="n">
        <v>0</v>
      </c>
      <c r="I401" t="n">
        <v>0</v>
      </c>
      <c r="J401" t="n">
        <v>0</v>
      </c>
      <c r="K401" t="n">
        <v>0</v>
      </c>
      <c r="L401" t="n">
        <v>0</v>
      </c>
      <c r="M401" t="n">
        <v>0</v>
      </c>
      <c r="N401" t="n">
        <v>0</v>
      </c>
      <c r="O401" t="n">
        <v>0</v>
      </c>
      <c r="P401" t="n">
        <v>0</v>
      </c>
      <c r="Q401" t="n">
        <v>0</v>
      </c>
      <c r="R401" s="2" t="inlineStr"/>
    </row>
    <row r="402" ht="15" customHeight="1">
      <c r="A402" t="inlineStr">
        <is>
          <t>A 37983-2022</t>
        </is>
      </c>
      <c r="B402" s="1" t="n">
        <v>44811</v>
      </c>
      <c r="C402" s="1" t="n">
        <v>45710</v>
      </c>
      <c r="D402" t="inlineStr">
        <is>
          <t>DALARNAS LÄN</t>
        </is>
      </c>
      <c r="E402" t="inlineStr">
        <is>
          <t>MORA</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38305-2022</t>
        </is>
      </c>
      <c r="B403" s="1" t="n">
        <v>44812</v>
      </c>
      <c r="C403" s="1" t="n">
        <v>45710</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38651-2022</t>
        </is>
      </c>
      <c r="B404" s="1" t="n">
        <v>44813</v>
      </c>
      <c r="C404" s="1" t="n">
        <v>45710</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39162-2022</t>
        </is>
      </c>
      <c r="B405" s="1" t="n">
        <v>44817</v>
      </c>
      <c r="C405" s="1" t="n">
        <v>45710</v>
      </c>
      <c r="D405" t="inlineStr">
        <is>
          <t>DALARNAS LÄN</t>
        </is>
      </c>
      <c r="E405" t="inlineStr">
        <is>
          <t>MORA</t>
        </is>
      </c>
      <c r="F405" t="inlineStr">
        <is>
          <t>Allmännings- och besparingsskogar</t>
        </is>
      </c>
      <c r="G405" t="n">
        <v>27.2</v>
      </c>
      <c r="H405" t="n">
        <v>0</v>
      </c>
      <c r="I405" t="n">
        <v>0</v>
      </c>
      <c r="J405" t="n">
        <v>0</v>
      </c>
      <c r="K405" t="n">
        <v>0</v>
      </c>
      <c r="L405" t="n">
        <v>0</v>
      </c>
      <c r="M405" t="n">
        <v>0</v>
      </c>
      <c r="N405" t="n">
        <v>0</v>
      </c>
      <c r="O405" t="n">
        <v>0</v>
      </c>
      <c r="P405" t="n">
        <v>0</v>
      </c>
      <c r="Q405" t="n">
        <v>0</v>
      </c>
      <c r="R405" s="2" t="inlineStr"/>
    </row>
    <row r="406" ht="15" customHeight="1">
      <c r="A406" t="inlineStr">
        <is>
          <t>A 39897-2022</t>
        </is>
      </c>
      <c r="B406" s="1" t="n">
        <v>44819</v>
      </c>
      <c r="C406" s="1" t="n">
        <v>45710</v>
      </c>
      <c r="D406" t="inlineStr">
        <is>
          <t>DALARNAS LÄN</t>
        </is>
      </c>
      <c r="E406" t="inlineStr">
        <is>
          <t>MORA</t>
        </is>
      </c>
      <c r="G406" t="n">
        <v>15.8</v>
      </c>
      <c r="H406" t="n">
        <v>0</v>
      </c>
      <c r="I406" t="n">
        <v>0</v>
      </c>
      <c r="J406" t="n">
        <v>0</v>
      </c>
      <c r="K406" t="n">
        <v>0</v>
      </c>
      <c r="L406" t="n">
        <v>0</v>
      </c>
      <c r="M406" t="n">
        <v>0</v>
      </c>
      <c r="N406" t="n">
        <v>0</v>
      </c>
      <c r="O406" t="n">
        <v>0</v>
      </c>
      <c r="P406" t="n">
        <v>0</v>
      </c>
      <c r="Q406" t="n">
        <v>0</v>
      </c>
      <c r="R406" s="2" t="inlineStr"/>
    </row>
    <row r="407" ht="15" customHeight="1">
      <c r="A407" t="inlineStr">
        <is>
          <t>A 39901-2022</t>
        </is>
      </c>
      <c r="B407" s="1" t="n">
        <v>44819</v>
      </c>
      <c r="C407" s="1" t="n">
        <v>45710</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45710</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42121-2022</t>
        </is>
      </c>
      <c r="B409" s="1" t="n">
        <v>44830</v>
      </c>
      <c r="C409" s="1" t="n">
        <v>45710</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v>
      </c>
      <c r="C410" s="1" t="n">
        <v>45710</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42668-2022</t>
        </is>
      </c>
      <c r="B411" s="1" t="n">
        <v>44832</v>
      </c>
      <c r="C411" s="1" t="n">
        <v>45710</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42814-2022</t>
        </is>
      </c>
      <c r="B412" s="1" t="n">
        <v>44832</v>
      </c>
      <c r="C412" s="1" t="n">
        <v>45710</v>
      </c>
      <c r="D412" t="inlineStr">
        <is>
          <t>DALARNAS LÄN</t>
        </is>
      </c>
      <c r="E412" t="inlineStr">
        <is>
          <t>MORA</t>
        </is>
      </c>
      <c r="F412" t="inlineStr">
        <is>
          <t>Bergvik skog väst AB</t>
        </is>
      </c>
      <c r="G412" t="n">
        <v>5.3</v>
      </c>
      <c r="H412" t="n">
        <v>0</v>
      </c>
      <c r="I412" t="n">
        <v>0</v>
      </c>
      <c r="J412" t="n">
        <v>0</v>
      </c>
      <c r="K412" t="n">
        <v>0</v>
      </c>
      <c r="L412" t="n">
        <v>0</v>
      </c>
      <c r="M412" t="n">
        <v>0</v>
      </c>
      <c r="N412" t="n">
        <v>0</v>
      </c>
      <c r="O412" t="n">
        <v>0</v>
      </c>
      <c r="P412" t="n">
        <v>0</v>
      </c>
      <c r="Q412" t="n">
        <v>0</v>
      </c>
      <c r="R412" s="2" t="inlineStr"/>
    </row>
    <row r="413" ht="15" customHeight="1">
      <c r="A413" t="inlineStr">
        <is>
          <t>A 43540-2022</t>
        </is>
      </c>
      <c r="B413" s="1" t="n">
        <v>44837</v>
      </c>
      <c r="C413" s="1" t="n">
        <v>45710</v>
      </c>
      <c r="D413" t="inlineStr">
        <is>
          <t>DALARNAS LÄN</t>
        </is>
      </c>
      <c r="E413" t="inlineStr">
        <is>
          <t>MORA</t>
        </is>
      </c>
      <c r="G413" t="n">
        <v>10.5</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45710</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43826-2022</t>
        </is>
      </c>
      <c r="B415" s="1" t="n">
        <v>44838</v>
      </c>
      <c r="C415" s="1" t="n">
        <v>45710</v>
      </c>
      <c r="D415" t="inlineStr">
        <is>
          <t>DALARNAS LÄN</t>
        </is>
      </c>
      <c r="E415" t="inlineStr">
        <is>
          <t>MORA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43879-2022</t>
        </is>
      </c>
      <c r="B416" s="1" t="n">
        <v>44838</v>
      </c>
      <c r="C416" s="1" t="n">
        <v>45710</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43944-2022</t>
        </is>
      </c>
      <c r="B417" s="1" t="n">
        <v>44838</v>
      </c>
      <c r="C417" s="1" t="n">
        <v>45710</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45238-2022</t>
        </is>
      </c>
      <c r="B418" s="1" t="n">
        <v>44844</v>
      </c>
      <c r="C418" s="1" t="n">
        <v>45710</v>
      </c>
      <c r="D418" t="inlineStr">
        <is>
          <t>DALARNAS LÄN</t>
        </is>
      </c>
      <c r="E418" t="inlineStr">
        <is>
          <t>MORA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45463-2022</t>
        </is>
      </c>
      <c r="B419" s="1" t="n">
        <v>44845</v>
      </c>
      <c r="C419" s="1" t="n">
        <v>45710</v>
      </c>
      <c r="D419" t="inlineStr">
        <is>
          <t>DALARNAS LÄN</t>
        </is>
      </c>
      <c r="E419" t="inlineStr">
        <is>
          <t>MORA</t>
        </is>
      </c>
      <c r="G419" t="n">
        <v>8.4</v>
      </c>
      <c r="H419" t="n">
        <v>0</v>
      </c>
      <c r="I419" t="n">
        <v>0</v>
      </c>
      <c r="J419" t="n">
        <v>0</v>
      </c>
      <c r="K419" t="n">
        <v>0</v>
      </c>
      <c r="L419" t="n">
        <v>0</v>
      </c>
      <c r="M419" t="n">
        <v>0</v>
      </c>
      <c r="N419" t="n">
        <v>0</v>
      </c>
      <c r="O419" t="n">
        <v>0</v>
      </c>
      <c r="P419" t="n">
        <v>0</v>
      </c>
      <c r="Q419" t="n">
        <v>0</v>
      </c>
      <c r="R419" s="2" t="inlineStr"/>
    </row>
    <row r="420" ht="15" customHeight="1">
      <c r="A420" t="inlineStr">
        <is>
          <t>A 45462-2022</t>
        </is>
      </c>
      <c r="B420" s="1" t="n">
        <v>44845</v>
      </c>
      <c r="C420" s="1" t="n">
        <v>45710</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45465-2022</t>
        </is>
      </c>
      <c r="B421" s="1" t="n">
        <v>44845</v>
      </c>
      <c r="C421" s="1" t="n">
        <v>45710</v>
      </c>
      <c r="D421" t="inlineStr">
        <is>
          <t>DALARNAS LÄN</t>
        </is>
      </c>
      <c r="E421" t="inlineStr">
        <is>
          <t>MORA</t>
        </is>
      </c>
      <c r="G421" t="n">
        <v>10.6</v>
      </c>
      <c r="H421" t="n">
        <v>0</v>
      </c>
      <c r="I421" t="n">
        <v>0</v>
      </c>
      <c r="J421" t="n">
        <v>0</v>
      </c>
      <c r="K421" t="n">
        <v>0</v>
      </c>
      <c r="L421" t="n">
        <v>0</v>
      </c>
      <c r="M421" t="n">
        <v>0</v>
      </c>
      <c r="N421" t="n">
        <v>0</v>
      </c>
      <c r="O421" t="n">
        <v>0</v>
      </c>
      <c r="P421" t="n">
        <v>0</v>
      </c>
      <c r="Q421" t="n">
        <v>0</v>
      </c>
      <c r="R421" s="2" t="inlineStr"/>
    </row>
    <row r="422" ht="15" customHeight="1">
      <c r="A422" t="inlineStr">
        <is>
          <t>A 46188-2022</t>
        </is>
      </c>
      <c r="B422" s="1" t="n">
        <v>44847</v>
      </c>
      <c r="C422" s="1" t="n">
        <v>45710</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46402-2022</t>
        </is>
      </c>
      <c r="B423" s="1" t="n">
        <v>44848</v>
      </c>
      <c r="C423" s="1" t="n">
        <v>45710</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46801-2022</t>
        </is>
      </c>
      <c r="B424" s="1" t="n">
        <v>44851</v>
      </c>
      <c r="C424" s="1" t="n">
        <v>45710</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47143-2022</t>
        </is>
      </c>
      <c r="B425" s="1" t="n">
        <v>44852</v>
      </c>
      <c r="C425" s="1" t="n">
        <v>45710</v>
      </c>
      <c r="D425" t="inlineStr">
        <is>
          <t>DALARNAS LÄN</t>
        </is>
      </c>
      <c r="E425" t="inlineStr">
        <is>
          <t>MORA</t>
        </is>
      </c>
      <c r="G425" t="n">
        <v>3.9</v>
      </c>
      <c r="H425" t="n">
        <v>0</v>
      </c>
      <c r="I425" t="n">
        <v>0</v>
      </c>
      <c r="J425" t="n">
        <v>0</v>
      </c>
      <c r="K425" t="n">
        <v>0</v>
      </c>
      <c r="L425" t="n">
        <v>0</v>
      </c>
      <c r="M425" t="n">
        <v>0</v>
      </c>
      <c r="N425" t="n">
        <v>0</v>
      </c>
      <c r="O425" t="n">
        <v>0</v>
      </c>
      <c r="P425" t="n">
        <v>0</v>
      </c>
      <c r="Q425" t="n">
        <v>0</v>
      </c>
      <c r="R425" s="2" t="inlineStr"/>
    </row>
    <row r="426" ht="15" customHeight="1">
      <c r="A426" t="inlineStr">
        <is>
          <t>A 47429-2022</t>
        </is>
      </c>
      <c r="B426" s="1" t="n">
        <v>44853</v>
      </c>
      <c r="C426" s="1" t="n">
        <v>45710</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48383-2022</t>
        </is>
      </c>
      <c r="B427" s="1" t="n">
        <v>44858</v>
      </c>
      <c r="C427" s="1" t="n">
        <v>45710</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48376-2022</t>
        </is>
      </c>
      <c r="B428" s="1" t="n">
        <v>44858</v>
      </c>
      <c r="C428" s="1" t="n">
        <v>45710</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48456-2022</t>
        </is>
      </c>
      <c r="B429" s="1" t="n">
        <v>44858</v>
      </c>
      <c r="C429" s="1" t="n">
        <v>45710</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45710</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48728-2022</t>
        </is>
      </c>
      <c r="B431" s="1" t="n">
        <v>44859</v>
      </c>
      <c r="C431" s="1" t="n">
        <v>45710</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49257-2022</t>
        </is>
      </c>
      <c r="B432" s="1" t="n">
        <v>44861</v>
      </c>
      <c r="C432" s="1" t="n">
        <v>45710</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45710</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50719-2022</t>
        </is>
      </c>
      <c r="B434" s="1" t="n">
        <v>44867</v>
      </c>
      <c r="C434" s="1" t="n">
        <v>45710</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51444-2022</t>
        </is>
      </c>
      <c r="B435" s="1" t="n">
        <v>44869</v>
      </c>
      <c r="C435" s="1" t="n">
        <v>45710</v>
      </c>
      <c r="D435" t="inlineStr">
        <is>
          <t>DALARNAS LÄN</t>
        </is>
      </c>
      <c r="E435" t="inlineStr">
        <is>
          <t>MORA</t>
        </is>
      </c>
      <c r="G435" t="n">
        <v>24.3</v>
      </c>
      <c r="H435" t="n">
        <v>0</v>
      </c>
      <c r="I435" t="n">
        <v>0</v>
      </c>
      <c r="J435" t="n">
        <v>0</v>
      </c>
      <c r="K435" t="n">
        <v>0</v>
      </c>
      <c r="L435" t="n">
        <v>0</v>
      </c>
      <c r="M435" t="n">
        <v>0</v>
      </c>
      <c r="N435" t="n">
        <v>0</v>
      </c>
      <c r="O435" t="n">
        <v>0</v>
      </c>
      <c r="P435" t="n">
        <v>0</v>
      </c>
      <c r="Q435" t="n">
        <v>0</v>
      </c>
      <c r="R435" s="2" t="inlineStr"/>
    </row>
    <row r="436" ht="15" customHeight="1">
      <c r="A436" t="inlineStr">
        <is>
          <t>A 52525-2022</t>
        </is>
      </c>
      <c r="B436" s="1" t="n">
        <v>44874</v>
      </c>
      <c r="C436" s="1" t="n">
        <v>45710</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52557-2022</t>
        </is>
      </c>
      <c r="B437" s="1" t="n">
        <v>44874</v>
      </c>
      <c r="C437" s="1" t="n">
        <v>45710</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52845-2022</t>
        </is>
      </c>
      <c r="B438" s="1" t="n">
        <v>44875</v>
      </c>
      <c r="C438" s="1" t="n">
        <v>45710</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53214-2022</t>
        </is>
      </c>
      <c r="B439" s="1" t="n">
        <v>44876</v>
      </c>
      <c r="C439" s="1" t="n">
        <v>45710</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54409-2022</t>
        </is>
      </c>
      <c r="B440" s="1" t="n">
        <v>44882</v>
      </c>
      <c r="C440" s="1" t="n">
        <v>45710</v>
      </c>
      <c r="D440" t="inlineStr">
        <is>
          <t>DALARNAS LÄN</t>
        </is>
      </c>
      <c r="E440" t="inlineStr">
        <is>
          <t>MORA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54739-2022</t>
        </is>
      </c>
      <c r="B441" s="1" t="n">
        <v>44883</v>
      </c>
      <c r="C441" s="1" t="n">
        <v>45710</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55010-2022</t>
        </is>
      </c>
      <c r="B442" s="1" t="n">
        <v>44886</v>
      </c>
      <c r="C442" s="1" t="n">
        <v>45710</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55051-2022</t>
        </is>
      </c>
      <c r="B443" s="1" t="n">
        <v>44886</v>
      </c>
      <c r="C443" s="1" t="n">
        <v>45710</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55106-2022</t>
        </is>
      </c>
      <c r="B444" s="1" t="n">
        <v>44886</v>
      </c>
      <c r="C444" s="1" t="n">
        <v>45710</v>
      </c>
      <c r="D444" t="inlineStr">
        <is>
          <t>DALARNAS LÄN</t>
        </is>
      </c>
      <c r="E444" t="inlineStr">
        <is>
          <t>MORA</t>
        </is>
      </c>
      <c r="G444" t="n">
        <v>7.7</v>
      </c>
      <c r="H444" t="n">
        <v>0</v>
      </c>
      <c r="I444" t="n">
        <v>0</v>
      </c>
      <c r="J444" t="n">
        <v>0</v>
      </c>
      <c r="K444" t="n">
        <v>0</v>
      </c>
      <c r="L444" t="n">
        <v>0</v>
      </c>
      <c r="M444" t="n">
        <v>0</v>
      </c>
      <c r="N444" t="n">
        <v>0</v>
      </c>
      <c r="O444" t="n">
        <v>0</v>
      </c>
      <c r="P444" t="n">
        <v>0</v>
      </c>
      <c r="Q444" t="n">
        <v>0</v>
      </c>
      <c r="R444" s="2" t="inlineStr"/>
    </row>
    <row r="445" ht="15" customHeight="1">
      <c r="A445" t="inlineStr">
        <is>
          <t>A 55077-2022</t>
        </is>
      </c>
      <c r="B445" s="1" t="n">
        <v>44886</v>
      </c>
      <c r="C445" s="1" t="n">
        <v>45710</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55331-2022</t>
        </is>
      </c>
      <c r="B446" s="1" t="n">
        <v>44887</v>
      </c>
      <c r="C446" s="1" t="n">
        <v>45710</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55356-2022</t>
        </is>
      </c>
      <c r="B447" s="1" t="n">
        <v>44887</v>
      </c>
      <c r="C447" s="1" t="n">
        <v>45710</v>
      </c>
      <c r="D447" t="inlineStr">
        <is>
          <t>DALARNAS LÄN</t>
        </is>
      </c>
      <c r="E447" t="inlineStr">
        <is>
          <t>MORA</t>
        </is>
      </c>
      <c r="F447" t="inlineStr">
        <is>
          <t>Allmännings- och besparingsskogar</t>
        </is>
      </c>
      <c r="G447" t="n">
        <v>0.7</v>
      </c>
      <c r="H447" t="n">
        <v>0</v>
      </c>
      <c r="I447" t="n">
        <v>0</v>
      </c>
      <c r="J447" t="n">
        <v>0</v>
      </c>
      <c r="K447" t="n">
        <v>0</v>
      </c>
      <c r="L447" t="n">
        <v>0</v>
      </c>
      <c r="M447" t="n">
        <v>0</v>
      </c>
      <c r="N447" t="n">
        <v>0</v>
      </c>
      <c r="O447" t="n">
        <v>0</v>
      </c>
      <c r="P447" t="n">
        <v>0</v>
      </c>
      <c r="Q447" t="n">
        <v>0</v>
      </c>
      <c r="R447" s="2" t="inlineStr"/>
    </row>
    <row r="448" ht="15" customHeight="1">
      <c r="A448" t="inlineStr">
        <is>
          <t>A 56939-2022</t>
        </is>
      </c>
      <c r="B448" s="1" t="n">
        <v>44888</v>
      </c>
      <c r="C448" s="1" t="n">
        <v>45710</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55993-2022</t>
        </is>
      </c>
      <c r="B449" s="1" t="n">
        <v>44889</v>
      </c>
      <c r="C449" s="1" t="n">
        <v>45710</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55925-2022</t>
        </is>
      </c>
      <c r="B450" s="1" t="n">
        <v>44889</v>
      </c>
      <c r="C450" s="1" t="n">
        <v>45710</v>
      </c>
      <c r="D450" t="inlineStr">
        <is>
          <t>DALARNAS LÄN</t>
        </is>
      </c>
      <c r="E450" t="inlineStr">
        <is>
          <t>MORA</t>
        </is>
      </c>
      <c r="F450" t="inlineStr">
        <is>
          <t>Allmännings- och besparingsskogar</t>
        </is>
      </c>
      <c r="G450" t="n">
        <v>15.6</v>
      </c>
      <c r="H450" t="n">
        <v>0</v>
      </c>
      <c r="I450" t="n">
        <v>0</v>
      </c>
      <c r="J450" t="n">
        <v>0</v>
      </c>
      <c r="K450" t="n">
        <v>0</v>
      </c>
      <c r="L450" t="n">
        <v>0</v>
      </c>
      <c r="M450" t="n">
        <v>0</v>
      </c>
      <c r="N450" t="n">
        <v>0</v>
      </c>
      <c r="O450" t="n">
        <v>0</v>
      </c>
      <c r="P450" t="n">
        <v>0</v>
      </c>
      <c r="Q450" t="n">
        <v>0</v>
      </c>
      <c r="R450" s="2" t="inlineStr"/>
    </row>
    <row r="451" ht="15" customHeight="1">
      <c r="A451" t="inlineStr">
        <is>
          <t>A 56321-2022</t>
        </is>
      </c>
      <c r="B451" s="1" t="n">
        <v>44890</v>
      </c>
      <c r="C451" s="1" t="n">
        <v>45710</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56460-2022</t>
        </is>
      </c>
      <c r="B452" s="1" t="n">
        <v>44893</v>
      </c>
      <c r="C452" s="1" t="n">
        <v>45710</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56678-2022</t>
        </is>
      </c>
      <c r="B453" s="1" t="n">
        <v>44893</v>
      </c>
      <c r="C453" s="1" t="n">
        <v>45710</v>
      </c>
      <c r="D453" t="inlineStr">
        <is>
          <t>DALARNAS LÄN</t>
        </is>
      </c>
      <c r="E453" t="inlineStr">
        <is>
          <t>MORA</t>
        </is>
      </c>
      <c r="G453" t="n">
        <v>4.7</v>
      </c>
      <c r="H453" t="n">
        <v>0</v>
      </c>
      <c r="I453" t="n">
        <v>0</v>
      </c>
      <c r="J453" t="n">
        <v>0</v>
      </c>
      <c r="K453" t="n">
        <v>0</v>
      </c>
      <c r="L453" t="n">
        <v>0</v>
      </c>
      <c r="M453" t="n">
        <v>0</v>
      </c>
      <c r="N453" t="n">
        <v>0</v>
      </c>
      <c r="O453" t="n">
        <v>0</v>
      </c>
      <c r="P453" t="n">
        <v>0</v>
      </c>
      <c r="Q453" t="n">
        <v>0</v>
      </c>
      <c r="R453" s="2" t="inlineStr"/>
    </row>
    <row r="454" ht="15" customHeight="1">
      <c r="A454" t="inlineStr">
        <is>
          <t>A 56770-2022</t>
        </is>
      </c>
      <c r="B454" s="1" t="n">
        <v>44894</v>
      </c>
      <c r="C454" s="1" t="n">
        <v>45710</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56865-2022</t>
        </is>
      </c>
      <c r="B455" s="1" t="n">
        <v>44894</v>
      </c>
      <c r="C455" s="1" t="n">
        <v>45710</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57475-2022</t>
        </is>
      </c>
      <c r="B456" s="1" t="n">
        <v>44896</v>
      </c>
      <c r="C456" s="1" t="n">
        <v>45710</v>
      </c>
      <c r="D456" t="inlineStr">
        <is>
          <t>DALARNAS LÄN</t>
        </is>
      </c>
      <c r="E456" t="inlineStr">
        <is>
          <t>MORA</t>
        </is>
      </c>
      <c r="G456" t="n">
        <v>5.7</v>
      </c>
      <c r="H456" t="n">
        <v>0</v>
      </c>
      <c r="I456" t="n">
        <v>0</v>
      </c>
      <c r="J456" t="n">
        <v>0</v>
      </c>
      <c r="K456" t="n">
        <v>0</v>
      </c>
      <c r="L456" t="n">
        <v>0</v>
      </c>
      <c r="M456" t="n">
        <v>0</v>
      </c>
      <c r="N456" t="n">
        <v>0</v>
      </c>
      <c r="O456" t="n">
        <v>0</v>
      </c>
      <c r="P456" t="n">
        <v>0</v>
      </c>
      <c r="Q456" t="n">
        <v>0</v>
      </c>
      <c r="R456" s="2" t="inlineStr"/>
    </row>
    <row r="457" ht="15" customHeight="1">
      <c r="A457" t="inlineStr">
        <is>
          <t>A 57797-2022</t>
        </is>
      </c>
      <c r="B457" s="1" t="n">
        <v>44897</v>
      </c>
      <c r="C457" s="1" t="n">
        <v>45710</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57859-2022</t>
        </is>
      </c>
      <c r="B458" s="1" t="n">
        <v>44898</v>
      </c>
      <c r="C458" s="1" t="n">
        <v>45710</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57903-2022</t>
        </is>
      </c>
      <c r="B459" s="1" t="n">
        <v>44900</v>
      </c>
      <c r="C459" s="1" t="n">
        <v>45710</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58116-2022</t>
        </is>
      </c>
      <c r="B460" s="1" t="n">
        <v>44900</v>
      </c>
      <c r="C460" s="1" t="n">
        <v>45710</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58357-2022</t>
        </is>
      </c>
      <c r="B461" s="1" t="n">
        <v>44901</v>
      </c>
      <c r="C461" s="1" t="n">
        <v>45710</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58525-2022</t>
        </is>
      </c>
      <c r="B462" s="1" t="n">
        <v>44902</v>
      </c>
      <c r="C462" s="1" t="n">
        <v>45710</v>
      </c>
      <c r="D462" t="inlineStr">
        <is>
          <t>DALARNAS LÄN</t>
        </is>
      </c>
      <c r="E462" t="inlineStr">
        <is>
          <t>MORA</t>
        </is>
      </c>
      <c r="G462" t="n">
        <v>4.8</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v>
      </c>
      <c r="C463" s="1" t="n">
        <v>45710</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59406-2022</t>
        </is>
      </c>
      <c r="B464" s="1" t="n">
        <v>44906</v>
      </c>
      <c r="C464" s="1" t="n">
        <v>45710</v>
      </c>
      <c r="D464" t="inlineStr">
        <is>
          <t>DALARNAS LÄN</t>
        </is>
      </c>
      <c r="E464" t="inlineStr">
        <is>
          <t>MORA</t>
        </is>
      </c>
      <c r="G464" t="n">
        <v>16.3</v>
      </c>
      <c r="H464" t="n">
        <v>0</v>
      </c>
      <c r="I464" t="n">
        <v>0</v>
      </c>
      <c r="J464" t="n">
        <v>0</v>
      </c>
      <c r="K464" t="n">
        <v>0</v>
      </c>
      <c r="L464" t="n">
        <v>0</v>
      </c>
      <c r="M464" t="n">
        <v>0</v>
      </c>
      <c r="N464" t="n">
        <v>0</v>
      </c>
      <c r="O464" t="n">
        <v>0</v>
      </c>
      <c r="P464" t="n">
        <v>0</v>
      </c>
      <c r="Q464" t="n">
        <v>0</v>
      </c>
      <c r="R464" s="2" t="inlineStr"/>
    </row>
    <row r="465" ht="15" customHeight="1">
      <c r="A465" t="inlineStr">
        <is>
          <t>A 59419-2022</t>
        </is>
      </c>
      <c r="B465" s="1" t="n">
        <v>44907</v>
      </c>
      <c r="C465" s="1" t="n">
        <v>45710</v>
      </c>
      <c r="D465" t="inlineStr">
        <is>
          <t>DALARNAS LÄN</t>
        </is>
      </c>
      <c r="E465" t="inlineStr">
        <is>
          <t>MORA</t>
        </is>
      </c>
      <c r="G465" t="n">
        <v>9.1</v>
      </c>
      <c r="H465" t="n">
        <v>0</v>
      </c>
      <c r="I465" t="n">
        <v>0</v>
      </c>
      <c r="J465" t="n">
        <v>0</v>
      </c>
      <c r="K465" t="n">
        <v>0</v>
      </c>
      <c r="L465" t="n">
        <v>0</v>
      </c>
      <c r="M465" t="n">
        <v>0</v>
      </c>
      <c r="N465" t="n">
        <v>0</v>
      </c>
      <c r="O465" t="n">
        <v>0</v>
      </c>
      <c r="P465" t="n">
        <v>0</v>
      </c>
      <c r="Q465" t="n">
        <v>0</v>
      </c>
      <c r="R465" s="2" t="inlineStr"/>
    </row>
    <row r="466" ht="15" customHeight="1">
      <c r="A466" t="inlineStr">
        <is>
          <t>A 59448-2022</t>
        </is>
      </c>
      <c r="B466" s="1" t="n">
        <v>44907</v>
      </c>
      <c r="C466" s="1" t="n">
        <v>45710</v>
      </c>
      <c r="D466" t="inlineStr">
        <is>
          <t>DALARNAS LÄN</t>
        </is>
      </c>
      <c r="E466" t="inlineStr">
        <is>
          <t>MORA</t>
        </is>
      </c>
      <c r="G466" t="n">
        <v>35.7</v>
      </c>
      <c r="H466" t="n">
        <v>0</v>
      </c>
      <c r="I466" t="n">
        <v>0</v>
      </c>
      <c r="J466" t="n">
        <v>0</v>
      </c>
      <c r="K466" t="n">
        <v>0</v>
      </c>
      <c r="L466" t="n">
        <v>0</v>
      </c>
      <c r="M466" t="n">
        <v>0</v>
      </c>
      <c r="N466" t="n">
        <v>0</v>
      </c>
      <c r="O466" t="n">
        <v>0</v>
      </c>
      <c r="P466" t="n">
        <v>0</v>
      </c>
      <c r="Q466" t="n">
        <v>0</v>
      </c>
      <c r="R466" s="2" t="inlineStr"/>
    </row>
    <row r="467" ht="15" customHeight="1">
      <c r="A467" t="inlineStr">
        <is>
          <t>A 60051-2022</t>
        </is>
      </c>
      <c r="B467" s="1" t="n">
        <v>44909</v>
      </c>
      <c r="C467" s="1" t="n">
        <v>45710</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60647-2022</t>
        </is>
      </c>
      <c r="B468" s="1" t="n">
        <v>44911</v>
      </c>
      <c r="C468" s="1" t="n">
        <v>45710</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61263-2022</t>
        </is>
      </c>
      <c r="B469" s="1" t="n">
        <v>44915</v>
      </c>
      <c r="C469" s="1" t="n">
        <v>45710</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61273-2022</t>
        </is>
      </c>
      <c r="B470" s="1" t="n">
        <v>44915</v>
      </c>
      <c r="C470" s="1" t="n">
        <v>45710</v>
      </c>
      <c r="D470" t="inlineStr">
        <is>
          <t>DALARNAS LÄN</t>
        </is>
      </c>
      <c r="E470" t="inlineStr">
        <is>
          <t>MORA</t>
        </is>
      </c>
      <c r="G470" t="n">
        <v>8.4</v>
      </c>
      <c r="H470" t="n">
        <v>0</v>
      </c>
      <c r="I470" t="n">
        <v>0</v>
      </c>
      <c r="J470" t="n">
        <v>0</v>
      </c>
      <c r="K470" t="n">
        <v>0</v>
      </c>
      <c r="L470" t="n">
        <v>0</v>
      </c>
      <c r="M470" t="n">
        <v>0</v>
      </c>
      <c r="N470" t="n">
        <v>0</v>
      </c>
      <c r="O470" t="n">
        <v>0</v>
      </c>
      <c r="P470" t="n">
        <v>0</v>
      </c>
      <c r="Q470" t="n">
        <v>0</v>
      </c>
      <c r="R470" s="2" t="inlineStr"/>
    </row>
    <row r="471" ht="15" customHeight="1">
      <c r="A471" t="inlineStr">
        <is>
          <t>A 61327-2022</t>
        </is>
      </c>
      <c r="B471" s="1" t="n">
        <v>44915</v>
      </c>
      <c r="C471" s="1" t="n">
        <v>45710</v>
      </c>
      <c r="D471" t="inlineStr">
        <is>
          <t>DALARNAS LÄN</t>
        </is>
      </c>
      <c r="E471" t="inlineStr">
        <is>
          <t>MORA</t>
        </is>
      </c>
      <c r="G471" t="n">
        <v>10.1</v>
      </c>
      <c r="H471" t="n">
        <v>0</v>
      </c>
      <c r="I471" t="n">
        <v>0</v>
      </c>
      <c r="J471" t="n">
        <v>0</v>
      </c>
      <c r="K471" t="n">
        <v>0</v>
      </c>
      <c r="L471" t="n">
        <v>0</v>
      </c>
      <c r="M471" t="n">
        <v>0</v>
      </c>
      <c r="N471" t="n">
        <v>0</v>
      </c>
      <c r="O471" t="n">
        <v>0</v>
      </c>
      <c r="P471" t="n">
        <v>0</v>
      </c>
      <c r="Q471" t="n">
        <v>0</v>
      </c>
      <c r="R471" s="2" t="inlineStr"/>
    </row>
    <row r="472" ht="15" customHeight="1">
      <c r="A472" t="inlineStr">
        <is>
          <t>A 61293-2022</t>
        </is>
      </c>
      <c r="B472" s="1" t="n">
        <v>44915</v>
      </c>
      <c r="C472" s="1" t="n">
        <v>45710</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61301-2022</t>
        </is>
      </c>
      <c r="B473" s="1" t="n">
        <v>44915</v>
      </c>
      <c r="C473" s="1" t="n">
        <v>45710</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61482-2022</t>
        </is>
      </c>
      <c r="B474" s="1" t="n">
        <v>44916</v>
      </c>
      <c r="C474" s="1" t="n">
        <v>45710</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61794-2022</t>
        </is>
      </c>
      <c r="B475" s="1" t="n">
        <v>44917</v>
      </c>
      <c r="C475" s="1" t="n">
        <v>45710</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62188-2022</t>
        </is>
      </c>
      <c r="B476" s="1" t="n">
        <v>44922</v>
      </c>
      <c r="C476" s="1" t="n">
        <v>45710</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518-2023</t>
        </is>
      </c>
      <c r="B477" s="1" t="n">
        <v>44930</v>
      </c>
      <c r="C477" s="1" t="n">
        <v>45710</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1888-2023</t>
        </is>
      </c>
      <c r="B478" s="1" t="n">
        <v>44937</v>
      </c>
      <c r="C478" s="1" t="n">
        <v>45710</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1906-2023</t>
        </is>
      </c>
      <c r="B479" s="1" t="n">
        <v>44937</v>
      </c>
      <c r="C479" s="1" t="n">
        <v>45710</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1894-2023</t>
        </is>
      </c>
      <c r="B480" s="1" t="n">
        <v>44937</v>
      </c>
      <c r="C480" s="1" t="n">
        <v>45710</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1897-2023</t>
        </is>
      </c>
      <c r="B481" s="1" t="n">
        <v>44937</v>
      </c>
      <c r="C481" s="1" t="n">
        <v>45710</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2308-2023</t>
        </is>
      </c>
      <c r="B482" s="1" t="n">
        <v>44942</v>
      </c>
      <c r="C482" s="1" t="n">
        <v>45710</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2304-2023</t>
        </is>
      </c>
      <c r="B483" s="1" t="n">
        <v>44942</v>
      </c>
      <c r="C483" s="1" t="n">
        <v>45710</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2372-2023</t>
        </is>
      </c>
      <c r="B484" s="1" t="n">
        <v>44942</v>
      </c>
      <c r="C484" s="1" t="n">
        <v>45710</v>
      </c>
      <c r="D484" t="inlineStr">
        <is>
          <t>DALARNAS LÄN</t>
        </is>
      </c>
      <c r="E484" t="inlineStr">
        <is>
          <t>MORA</t>
        </is>
      </c>
      <c r="G484" t="n">
        <v>7.7</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45710</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3049-2023</t>
        </is>
      </c>
      <c r="B486" s="1" t="n">
        <v>44946</v>
      </c>
      <c r="C486" s="1" t="n">
        <v>45710</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v>
      </c>
      <c r="C487" s="1" t="n">
        <v>45710</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4205-2023</t>
        </is>
      </c>
      <c r="B488" s="1" t="n">
        <v>44953</v>
      </c>
      <c r="C488" s="1" t="n">
        <v>45710</v>
      </c>
      <c r="D488" t="inlineStr">
        <is>
          <t>DALARNAS LÄN</t>
        </is>
      </c>
      <c r="E488" t="inlineStr">
        <is>
          <t>MORA</t>
        </is>
      </c>
      <c r="G488" t="n">
        <v>26.2</v>
      </c>
      <c r="H488" t="n">
        <v>0</v>
      </c>
      <c r="I488" t="n">
        <v>0</v>
      </c>
      <c r="J488" t="n">
        <v>0</v>
      </c>
      <c r="K488" t="n">
        <v>0</v>
      </c>
      <c r="L488" t="n">
        <v>0</v>
      </c>
      <c r="M488" t="n">
        <v>0</v>
      </c>
      <c r="N488" t="n">
        <v>0</v>
      </c>
      <c r="O488" t="n">
        <v>0</v>
      </c>
      <c r="P488" t="n">
        <v>0</v>
      </c>
      <c r="Q488" t="n">
        <v>0</v>
      </c>
      <c r="R488" s="2" t="inlineStr"/>
    </row>
    <row r="489" ht="15" customHeight="1">
      <c r="A489" t="inlineStr">
        <is>
          <t>A 4210-2023</t>
        </is>
      </c>
      <c r="B489" s="1" t="n">
        <v>44953</v>
      </c>
      <c r="C489" s="1" t="n">
        <v>45710</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45710</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4206-2023</t>
        </is>
      </c>
      <c r="B491" s="1" t="n">
        <v>44953</v>
      </c>
      <c r="C491" s="1" t="n">
        <v>45710</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45710</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4497-2023</t>
        </is>
      </c>
      <c r="B493" s="1" t="n">
        <v>44956</v>
      </c>
      <c r="C493" s="1" t="n">
        <v>45710</v>
      </c>
      <c r="D493" t="inlineStr">
        <is>
          <t>DALARNAS LÄN</t>
        </is>
      </c>
      <c r="E493" t="inlineStr">
        <is>
          <t>MORA</t>
        </is>
      </c>
      <c r="G493" t="n">
        <v>6.4</v>
      </c>
      <c r="H493" t="n">
        <v>0</v>
      </c>
      <c r="I493" t="n">
        <v>0</v>
      </c>
      <c r="J493" t="n">
        <v>0</v>
      </c>
      <c r="K493" t="n">
        <v>0</v>
      </c>
      <c r="L493" t="n">
        <v>0</v>
      </c>
      <c r="M493" t="n">
        <v>0</v>
      </c>
      <c r="N493" t="n">
        <v>0</v>
      </c>
      <c r="O493" t="n">
        <v>0</v>
      </c>
      <c r="P493" t="n">
        <v>0</v>
      </c>
      <c r="Q493" t="n">
        <v>0</v>
      </c>
      <c r="R493" s="2" t="inlineStr"/>
    </row>
    <row r="494" ht="15" customHeight="1">
      <c r="A494" t="inlineStr">
        <is>
          <t>A 4506-2023</t>
        </is>
      </c>
      <c r="B494" s="1" t="n">
        <v>44956</v>
      </c>
      <c r="C494" s="1" t="n">
        <v>45710</v>
      </c>
      <c r="D494" t="inlineStr">
        <is>
          <t>DALARNAS LÄN</t>
        </is>
      </c>
      <c r="E494" t="inlineStr">
        <is>
          <t>MORA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5309-2023</t>
        </is>
      </c>
      <c r="B495" s="1" t="n">
        <v>44956</v>
      </c>
      <c r="C495" s="1" t="n">
        <v>45710</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5486-2023</t>
        </is>
      </c>
      <c r="B496" s="1" t="n">
        <v>44957</v>
      </c>
      <c r="C496" s="1" t="n">
        <v>45710</v>
      </c>
      <c r="D496" t="inlineStr">
        <is>
          <t>DALARNAS LÄN</t>
        </is>
      </c>
      <c r="E496" t="inlineStr">
        <is>
          <t>MORA</t>
        </is>
      </c>
      <c r="G496" t="n">
        <v>3.2</v>
      </c>
      <c r="H496" t="n">
        <v>0</v>
      </c>
      <c r="I496" t="n">
        <v>0</v>
      </c>
      <c r="J496" t="n">
        <v>0</v>
      </c>
      <c r="K496" t="n">
        <v>0</v>
      </c>
      <c r="L496" t="n">
        <v>0</v>
      </c>
      <c r="M496" t="n">
        <v>0</v>
      </c>
      <c r="N496" t="n">
        <v>0</v>
      </c>
      <c r="O496" t="n">
        <v>0</v>
      </c>
      <c r="P496" t="n">
        <v>0</v>
      </c>
      <c r="Q496" t="n">
        <v>0</v>
      </c>
      <c r="R496" s="2" t="inlineStr"/>
    </row>
    <row r="497" ht="15" customHeight="1">
      <c r="A497" t="inlineStr">
        <is>
          <t>A 5493-2023</t>
        </is>
      </c>
      <c r="B497" s="1" t="n">
        <v>44957</v>
      </c>
      <c r="C497" s="1" t="n">
        <v>45710</v>
      </c>
      <c r="D497" t="inlineStr">
        <is>
          <t>DALARNAS LÄN</t>
        </is>
      </c>
      <c r="E497" t="inlineStr">
        <is>
          <t>MORA</t>
        </is>
      </c>
      <c r="F497" t="inlineStr">
        <is>
          <t>Allmännings- och besparingsskogar</t>
        </is>
      </c>
      <c r="G497" t="n">
        <v>14.9</v>
      </c>
      <c r="H497" t="n">
        <v>0</v>
      </c>
      <c r="I497" t="n">
        <v>0</v>
      </c>
      <c r="J497" t="n">
        <v>0</v>
      </c>
      <c r="K497" t="n">
        <v>0</v>
      </c>
      <c r="L497" t="n">
        <v>0</v>
      </c>
      <c r="M497" t="n">
        <v>0</v>
      </c>
      <c r="N497" t="n">
        <v>0</v>
      </c>
      <c r="O497" t="n">
        <v>0</v>
      </c>
      <c r="P497" t="n">
        <v>0</v>
      </c>
      <c r="Q497" t="n">
        <v>0</v>
      </c>
      <c r="R497" s="2" t="inlineStr"/>
    </row>
    <row r="498" ht="15" customHeight="1">
      <c r="A498" t="inlineStr">
        <is>
          <t>A 5491-2023</t>
        </is>
      </c>
      <c r="B498" s="1" t="n">
        <v>44957</v>
      </c>
      <c r="C498" s="1" t="n">
        <v>45710</v>
      </c>
      <c r="D498" t="inlineStr">
        <is>
          <t>DALARNAS LÄN</t>
        </is>
      </c>
      <c r="E498" t="inlineStr">
        <is>
          <t>MORA</t>
        </is>
      </c>
      <c r="G498" t="n">
        <v>3.5</v>
      </c>
      <c r="H498" t="n">
        <v>0</v>
      </c>
      <c r="I498" t="n">
        <v>0</v>
      </c>
      <c r="J498" t="n">
        <v>0</v>
      </c>
      <c r="K498" t="n">
        <v>0</v>
      </c>
      <c r="L498" t="n">
        <v>0</v>
      </c>
      <c r="M498" t="n">
        <v>0</v>
      </c>
      <c r="N498" t="n">
        <v>0</v>
      </c>
      <c r="O498" t="n">
        <v>0</v>
      </c>
      <c r="P498" t="n">
        <v>0</v>
      </c>
      <c r="Q498" t="n">
        <v>0</v>
      </c>
      <c r="R498" s="2" t="inlineStr"/>
    </row>
    <row r="499" ht="15" customHeight="1">
      <c r="A499" t="inlineStr">
        <is>
          <t>A 5028-2023</t>
        </is>
      </c>
      <c r="B499" s="1" t="n">
        <v>44958</v>
      </c>
      <c r="C499" s="1" t="n">
        <v>45710</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5031-2023</t>
        </is>
      </c>
      <c r="B500" s="1" t="n">
        <v>44958</v>
      </c>
      <c r="C500" s="1" t="n">
        <v>45710</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5298-2023</t>
        </is>
      </c>
      <c r="B501" s="1" t="n">
        <v>44959</v>
      </c>
      <c r="C501" s="1" t="n">
        <v>45710</v>
      </c>
      <c r="D501" t="inlineStr">
        <is>
          <t>DALARNAS LÄN</t>
        </is>
      </c>
      <c r="E501" t="inlineStr">
        <is>
          <t>MORA</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6168-2023</t>
        </is>
      </c>
      <c r="B502" s="1" t="n">
        <v>44964</v>
      </c>
      <c r="C502" s="1" t="n">
        <v>45710</v>
      </c>
      <c r="D502" t="inlineStr">
        <is>
          <t>DALARNAS LÄN</t>
        </is>
      </c>
      <c r="E502" t="inlineStr">
        <is>
          <t>MORA</t>
        </is>
      </c>
      <c r="G502" t="n">
        <v>12.7</v>
      </c>
      <c r="H502" t="n">
        <v>0</v>
      </c>
      <c r="I502" t="n">
        <v>0</v>
      </c>
      <c r="J502" t="n">
        <v>0</v>
      </c>
      <c r="K502" t="n">
        <v>0</v>
      </c>
      <c r="L502" t="n">
        <v>0</v>
      </c>
      <c r="M502" t="n">
        <v>0</v>
      </c>
      <c r="N502" t="n">
        <v>0</v>
      </c>
      <c r="O502" t="n">
        <v>0</v>
      </c>
      <c r="P502" t="n">
        <v>0</v>
      </c>
      <c r="Q502" t="n">
        <v>0</v>
      </c>
      <c r="R502" s="2" t="inlineStr"/>
    </row>
    <row r="503" ht="15" customHeight="1">
      <c r="A503" t="inlineStr">
        <is>
          <t>A 7613-2023</t>
        </is>
      </c>
      <c r="B503" s="1" t="n">
        <v>44967</v>
      </c>
      <c r="C503" s="1" t="n">
        <v>45710</v>
      </c>
      <c r="D503" t="inlineStr">
        <is>
          <t>DALARNAS LÄN</t>
        </is>
      </c>
      <c r="E503" t="inlineStr">
        <is>
          <t>MORA</t>
        </is>
      </c>
      <c r="G503" t="n">
        <v>3.8</v>
      </c>
      <c r="H503" t="n">
        <v>0</v>
      </c>
      <c r="I503" t="n">
        <v>0</v>
      </c>
      <c r="J503" t="n">
        <v>0</v>
      </c>
      <c r="K503" t="n">
        <v>0</v>
      </c>
      <c r="L503" t="n">
        <v>0</v>
      </c>
      <c r="M503" t="n">
        <v>0</v>
      </c>
      <c r="N503" t="n">
        <v>0</v>
      </c>
      <c r="O503" t="n">
        <v>0</v>
      </c>
      <c r="P503" t="n">
        <v>0</v>
      </c>
      <c r="Q503" t="n">
        <v>0</v>
      </c>
      <c r="R503" s="2" t="inlineStr"/>
    </row>
    <row r="504" ht="15" customHeight="1">
      <c r="A504" t="inlineStr">
        <is>
          <t>A 7464-2023</t>
        </is>
      </c>
      <c r="B504" s="1" t="n">
        <v>44971</v>
      </c>
      <c r="C504" s="1" t="n">
        <v>45710</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8785-2023</t>
        </is>
      </c>
      <c r="B505" s="1" t="n">
        <v>44978</v>
      </c>
      <c r="C505" s="1" t="n">
        <v>45710</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9023-2023</t>
        </is>
      </c>
      <c r="B506" s="1" t="n">
        <v>44979</v>
      </c>
      <c r="C506" s="1" t="n">
        <v>45710</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9828-2023</t>
        </is>
      </c>
      <c r="B507" s="1" t="n">
        <v>44984</v>
      </c>
      <c r="C507" s="1" t="n">
        <v>45710</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10210-2023</t>
        </is>
      </c>
      <c r="B508" s="1" t="n">
        <v>44986</v>
      </c>
      <c r="C508" s="1" t="n">
        <v>45710</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45710</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12675-2023</t>
        </is>
      </c>
      <c r="B510" s="1" t="n">
        <v>45000</v>
      </c>
      <c r="C510" s="1" t="n">
        <v>45710</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12790-2023</t>
        </is>
      </c>
      <c r="B511" s="1" t="n">
        <v>45001</v>
      </c>
      <c r="C511" s="1" t="n">
        <v>45710</v>
      </c>
      <c r="D511" t="inlineStr">
        <is>
          <t>DALARNAS LÄN</t>
        </is>
      </c>
      <c r="E511" t="inlineStr">
        <is>
          <t>MORA</t>
        </is>
      </c>
      <c r="G511" t="n">
        <v>12.3</v>
      </c>
      <c r="H511" t="n">
        <v>0</v>
      </c>
      <c r="I511" t="n">
        <v>0</v>
      </c>
      <c r="J511" t="n">
        <v>0</v>
      </c>
      <c r="K511" t="n">
        <v>0</v>
      </c>
      <c r="L511" t="n">
        <v>0</v>
      </c>
      <c r="M511" t="n">
        <v>0</v>
      </c>
      <c r="N511" t="n">
        <v>0</v>
      </c>
      <c r="O511" t="n">
        <v>0</v>
      </c>
      <c r="P511" t="n">
        <v>0</v>
      </c>
      <c r="Q511" t="n">
        <v>0</v>
      </c>
      <c r="R511" s="2" t="inlineStr"/>
    </row>
    <row r="512" ht="15" customHeight="1">
      <c r="A512" t="inlineStr">
        <is>
          <t>A 12828-2023</t>
        </is>
      </c>
      <c r="B512" s="1" t="n">
        <v>45001</v>
      </c>
      <c r="C512" s="1" t="n">
        <v>45710</v>
      </c>
      <c r="D512" t="inlineStr">
        <is>
          <t>DALARNAS LÄN</t>
        </is>
      </c>
      <c r="E512" t="inlineStr">
        <is>
          <t>MORA</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13177-2023</t>
        </is>
      </c>
      <c r="B513" s="1" t="n">
        <v>45002</v>
      </c>
      <c r="C513" s="1" t="n">
        <v>45710</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13717-2023</t>
        </is>
      </c>
      <c r="B514" s="1" t="n">
        <v>45007</v>
      </c>
      <c r="C514" s="1" t="n">
        <v>45710</v>
      </c>
      <c r="D514" t="inlineStr">
        <is>
          <t>DALARNAS LÄN</t>
        </is>
      </c>
      <c r="E514" t="inlineStr">
        <is>
          <t>MORA</t>
        </is>
      </c>
      <c r="G514" t="n">
        <v>5.6</v>
      </c>
      <c r="H514" t="n">
        <v>0</v>
      </c>
      <c r="I514" t="n">
        <v>0</v>
      </c>
      <c r="J514" t="n">
        <v>0</v>
      </c>
      <c r="K514" t="n">
        <v>0</v>
      </c>
      <c r="L514" t="n">
        <v>0</v>
      </c>
      <c r="M514" t="n">
        <v>0</v>
      </c>
      <c r="N514" t="n">
        <v>0</v>
      </c>
      <c r="O514" t="n">
        <v>0</v>
      </c>
      <c r="P514" t="n">
        <v>0</v>
      </c>
      <c r="Q514" t="n">
        <v>0</v>
      </c>
      <c r="R514" s="2" t="inlineStr"/>
      <c r="U514">
        <f>HYPERLINK("https://klasma.github.io/Logging_2062/knärot/A 13717-2023 karta knärot.png", "A 13717-2023")</f>
        <v/>
      </c>
      <c r="V514">
        <f>HYPERLINK("https://klasma.github.io/Logging_2062/klagomål/A 13717-2023 FSC-klagomål.docx", "A 13717-2023")</f>
        <v/>
      </c>
      <c r="W514">
        <f>HYPERLINK("https://klasma.github.io/Logging_2062/klagomålsmail/A 13717-2023 FSC-klagomål mail.docx", "A 13717-2023")</f>
        <v/>
      </c>
      <c r="X514">
        <f>HYPERLINK("https://klasma.github.io/Logging_2062/tillsyn/A 13717-2023 tillsynsbegäran.docx", "A 13717-2023")</f>
        <v/>
      </c>
      <c r="Y514">
        <f>HYPERLINK("https://klasma.github.io/Logging_2062/tillsynsmail/A 13717-2023 tillsynsbegäran mail.docx", "A 13717-2023")</f>
        <v/>
      </c>
    </row>
    <row r="515" ht="15" customHeight="1">
      <c r="A515" t="inlineStr">
        <is>
          <t>A 14040-2023</t>
        </is>
      </c>
      <c r="B515" s="1" t="n">
        <v>45008</v>
      </c>
      <c r="C515" s="1" t="n">
        <v>45710</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14641-2023</t>
        </is>
      </c>
      <c r="B516" s="1" t="n">
        <v>45013</v>
      </c>
      <c r="C516" s="1" t="n">
        <v>45710</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14981-2023</t>
        </is>
      </c>
      <c r="B517" s="1" t="n">
        <v>45015</v>
      </c>
      <c r="C517" s="1" t="n">
        <v>45710</v>
      </c>
      <c r="D517" t="inlineStr">
        <is>
          <t>DALARNAS LÄN</t>
        </is>
      </c>
      <c r="E517" t="inlineStr">
        <is>
          <t>MORA</t>
        </is>
      </c>
      <c r="G517" t="n">
        <v>11.7</v>
      </c>
      <c r="H517" t="n">
        <v>0</v>
      </c>
      <c r="I517" t="n">
        <v>0</v>
      </c>
      <c r="J517" t="n">
        <v>0</v>
      </c>
      <c r="K517" t="n">
        <v>0</v>
      </c>
      <c r="L517" t="n">
        <v>0</v>
      </c>
      <c r="M517" t="n">
        <v>0</v>
      </c>
      <c r="N517" t="n">
        <v>0</v>
      </c>
      <c r="O517" t="n">
        <v>0</v>
      </c>
      <c r="P517" t="n">
        <v>0</v>
      </c>
      <c r="Q517" t="n">
        <v>0</v>
      </c>
      <c r="R517" s="2" t="inlineStr"/>
    </row>
    <row r="518" ht="15" customHeight="1">
      <c r="A518" t="inlineStr">
        <is>
          <t>A 15416-2023</t>
        </is>
      </c>
      <c r="B518" s="1" t="n">
        <v>45019</v>
      </c>
      <c r="C518" s="1" t="n">
        <v>45710</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15415-2023</t>
        </is>
      </c>
      <c r="B519" s="1" t="n">
        <v>45019</v>
      </c>
      <c r="C519" s="1" t="n">
        <v>45710</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15671-2023</t>
        </is>
      </c>
      <c r="B520" s="1" t="n">
        <v>45021</v>
      </c>
      <c r="C520" s="1" t="n">
        <v>45710</v>
      </c>
      <c r="D520" t="inlineStr">
        <is>
          <t>DALARNAS LÄN</t>
        </is>
      </c>
      <c r="E520" t="inlineStr">
        <is>
          <t>MORA</t>
        </is>
      </c>
      <c r="G520" t="n">
        <v>14.3</v>
      </c>
      <c r="H520" t="n">
        <v>0</v>
      </c>
      <c r="I520" t="n">
        <v>0</v>
      </c>
      <c r="J520" t="n">
        <v>0</v>
      </c>
      <c r="K520" t="n">
        <v>0</v>
      </c>
      <c r="L520" t="n">
        <v>0</v>
      </c>
      <c r="M520" t="n">
        <v>0</v>
      </c>
      <c r="N520" t="n">
        <v>0</v>
      </c>
      <c r="O520" t="n">
        <v>0</v>
      </c>
      <c r="P520" t="n">
        <v>0</v>
      </c>
      <c r="Q520" t="n">
        <v>0</v>
      </c>
      <c r="R520" s="2" t="inlineStr"/>
    </row>
    <row r="521" ht="15" customHeight="1">
      <c r="A521" t="inlineStr">
        <is>
          <t>A 16407-2023</t>
        </is>
      </c>
      <c r="B521" s="1" t="n">
        <v>45029</v>
      </c>
      <c r="C521" s="1" t="n">
        <v>45710</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16852-2023</t>
        </is>
      </c>
      <c r="B522" s="1" t="n">
        <v>45033</v>
      </c>
      <c r="C522" s="1" t="n">
        <v>45710</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17529-2023</t>
        </is>
      </c>
      <c r="B523" s="1" t="n">
        <v>45036</v>
      </c>
      <c r="C523" s="1" t="n">
        <v>45710</v>
      </c>
      <c r="D523" t="inlineStr">
        <is>
          <t>DALARNAS LÄN</t>
        </is>
      </c>
      <c r="E523" t="inlineStr">
        <is>
          <t>MORA</t>
        </is>
      </c>
      <c r="G523" t="n">
        <v>6</v>
      </c>
      <c r="H523" t="n">
        <v>0</v>
      </c>
      <c r="I523" t="n">
        <v>0</v>
      </c>
      <c r="J523" t="n">
        <v>0</v>
      </c>
      <c r="K523" t="n">
        <v>0</v>
      </c>
      <c r="L523" t="n">
        <v>0</v>
      </c>
      <c r="M523" t="n">
        <v>0</v>
      </c>
      <c r="N523" t="n">
        <v>0</v>
      </c>
      <c r="O523" t="n">
        <v>0</v>
      </c>
      <c r="P523" t="n">
        <v>0</v>
      </c>
      <c r="Q523" t="n">
        <v>0</v>
      </c>
      <c r="R523" s="2" t="inlineStr"/>
    </row>
    <row r="524" ht="15" customHeight="1">
      <c r="A524" t="inlineStr">
        <is>
          <t>A 18433-2023</t>
        </is>
      </c>
      <c r="B524" s="1" t="n">
        <v>45042</v>
      </c>
      <c r="C524" s="1" t="n">
        <v>45710</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18725-2023</t>
        </is>
      </c>
      <c r="B525" s="1" t="n">
        <v>45043</v>
      </c>
      <c r="C525" s="1" t="n">
        <v>45710</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19191-2023</t>
        </is>
      </c>
      <c r="B526" s="1" t="n">
        <v>45044</v>
      </c>
      <c r="C526" s="1" t="n">
        <v>45710</v>
      </c>
      <c r="D526" t="inlineStr">
        <is>
          <t>DALARNAS LÄN</t>
        </is>
      </c>
      <c r="E526" t="inlineStr">
        <is>
          <t>MORA</t>
        </is>
      </c>
      <c r="G526" t="n">
        <v>12.5</v>
      </c>
      <c r="H526" t="n">
        <v>0</v>
      </c>
      <c r="I526" t="n">
        <v>0</v>
      </c>
      <c r="J526" t="n">
        <v>0</v>
      </c>
      <c r="K526" t="n">
        <v>0</v>
      </c>
      <c r="L526" t="n">
        <v>0</v>
      </c>
      <c r="M526" t="n">
        <v>0</v>
      </c>
      <c r="N526" t="n">
        <v>0</v>
      </c>
      <c r="O526" t="n">
        <v>0</v>
      </c>
      <c r="P526" t="n">
        <v>0</v>
      </c>
      <c r="Q526" t="n">
        <v>0</v>
      </c>
      <c r="R526" s="2" t="inlineStr"/>
    </row>
    <row r="527" ht="15" customHeight="1">
      <c r="A527" t="inlineStr">
        <is>
          <t>A 19202-2023</t>
        </is>
      </c>
      <c r="B527" s="1" t="n">
        <v>45044</v>
      </c>
      <c r="C527" s="1" t="n">
        <v>45710</v>
      </c>
      <c r="D527" t="inlineStr">
        <is>
          <t>DALARNAS LÄN</t>
        </is>
      </c>
      <c r="E527" t="inlineStr">
        <is>
          <t>MORA</t>
        </is>
      </c>
      <c r="G527" t="n">
        <v>28.5</v>
      </c>
      <c r="H527" t="n">
        <v>0</v>
      </c>
      <c r="I527" t="n">
        <v>0</v>
      </c>
      <c r="J527" t="n">
        <v>0</v>
      </c>
      <c r="K527" t="n">
        <v>0</v>
      </c>
      <c r="L527" t="n">
        <v>0</v>
      </c>
      <c r="M527" t="n">
        <v>0</v>
      </c>
      <c r="N527" t="n">
        <v>0</v>
      </c>
      <c r="O527" t="n">
        <v>0</v>
      </c>
      <c r="P527" t="n">
        <v>0</v>
      </c>
      <c r="Q527" t="n">
        <v>0</v>
      </c>
      <c r="R527" s="2" t="inlineStr"/>
    </row>
    <row r="528" ht="15" customHeight="1">
      <c r="A528" t="inlineStr">
        <is>
          <t>A 19286-2023</t>
        </is>
      </c>
      <c r="B528" s="1" t="n">
        <v>45049</v>
      </c>
      <c r="C528" s="1" t="n">
        <v>45710</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20297-2023</t>
        </is>
      </c>
      <c r="B529" s="1" t="n">
        <v>45056</v>
      </c>
      <c r="C529" s="1" t="n">
        <v>45710</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45710</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20300-2023</t>
        </is>
      </c>
      <c r="B531" s="1" t="n">
        <v>45056</v>
      </c>
      <c r="C531" s="1" t="n">
        <v>45710</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20504-2023</t>
        </is>
      </c>
      <c r="B532" s="1" t="n">
        <v>45057</v>
      </c>
      <c r="C532" s="1" t="n">
        <v>45710</v>
      </c>
      <c r="D532" t="inlineStr">
        <is>
          <t>DALARNAS LÄN</t>
        </is>
      </c>
      <c r="E532" t="inlineStr">
        <is>
          <t>MORA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20563-2023</t>
        </is>
      </c>
      <c r="B533" s="1" t="n">
        <v>45057</v>
      </c>
      <c r="C533" s="1" t="n">
        <v>45710</v>
      </c>
      <c r="D533" t="inlineStr">
        <is>
          <t>DALARNAS LÄN</t>
        </is>
      </c>
      <c r="E533" t="inlineStr">
        <is>
          <t>MORA</t>
        </is>
      </c>
      <c r="F533" t="inlineStr">
        <is>
          <t>Bergvik skog öst AB</t>
        </is>
      </c>
      <c r="G533" t="n">
        <v>23.2</v>
      </c>
      <c r="H533" t="n">
        <v>0</v>
      </c>
      <c r="I533" t="n">
        <v>0</v>
      </c>
      <c r="J533" t="n">
        <v>0</v>
      </c>
      <c r="K533" t="n">
        <v>0</v>
      </c>
      <c r="L533" t="n">
        <v>0</v>
      </c>
      <c r="M533" t="n">
        <v>0</v>
      </c>
      <c r="N533" t="n">
        <v>0</v>
      </c>
      <c r="O533" t="n">
        <v>0</v>
      </c>
      <c r="P533" t="n">
        <v>0</v>
      </c>
      <c r="Q533" t="n">
        <v>0</v>
      </c>
      <c r="R533" s="2" t="inlineStr"/>
    </row>
    <row r="534" ht="15" customHeight="1">
      <c r="A534" t="inlineStr">
        <is>
          <t>A 21034-2023</t>
        </is>
      </c>
      <c r="B534" s="1" t="n">
        <v>45061</v>
      </c>
      <c r="C534" s="1" t="n">
        <v>45710</v>
      </c>
      <c r="D534" t="inlineStr">
        <is>
          <t>DALARNAS LÄN</t>
        </is>
      </c>
      <c r="E534" t="inlineStr">
        <is>
          <t>MORA</t>
        </is>
      </c>
      <c r="F534" t="inlineStr">
        <is>
          <t>Bergvik skog öst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21055-2023</t>
        </is>
      </c>
      <c r="B535" s="1" t="n">
        <v>45061</v>
      </c>
      <c r="C535" s="1" t="n">
        <v>45710</v>
      </c>
      <c r="D535" t="inlineStr">
        <is>
          <t>DALARNAS LÄN</t>
        </is>
      </c>
      <c r="E535" t="inlineStr">
        <is>
          <t>MORA</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21027-2023</t>
        </is>
      </c>
      <c r="B536" s="1" t="n">
        <v>45061</v>
      </c>
      <c r="C536" s="1" t="n">
        <v>45710</v>
      </c>
      <c r="D536" t="inlineStr">
        <is>
          <t>DALARNAS LÄN</t>
        </is>
      </c>
      <c r="E536" t="inlineStr">
        <is>
          <t>MORA</t>
        </is>
      </c>
      <c r="F536" t="inlineStr">
        <is>
          <t>Bergvik skog öst AB</t>
        </is>
      </c>
      <c r="G536" t="n">
        <v>5.1</v>
      </c>
      <c r="H536" t="n">
        <v>0</v>
      </c>
      <c r="I536" t="n">
        <v>0</v>
      </c>
      <c r="J536" t="n">
        <v>0</v>
      </c>
      <c r="K536" t="n">
        <v>0</v>
      </c>
      <c r="L536" t="n">
        <v>0</v>
      </c>
      <c r="M536" t="n">
        <v>0</v>
      </c>
      <c r="N536" t="n">
        <v>0</v>
      </c>
      <c r="O536" t="n">
        <v>0</v>
      </c>
      <c r="P536" t="n">
        <v>0</v>
      </c>
      <c r="Q536" t="n">
        <v>0</v>
      </c>
      <c r="R536" s="2" t="inlineStr"/>
    </row>
    <row r="537" ht="15" customHeight="1">
      <c r="A537" t="inlineStr">
        <is>
          <t>A 21410-2023</t>
        </is>
      </c>
      <c r="B537" s="1" t="n">
        <v>45063</v>
      </c>
      <c r="C537" s="1" t="n">
        <v>45710</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21898-2023</t>
        </is>
      </c>
      <c r="B538" s="1" t="n">
        <v>45068</v>
      </c>
      <c r="C538" s="1" t="n">
        <v>45710</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21834-2023</t>
        </is>
      </c>
      <c r="B539" s="1" t="n">
        <v>45068</v>
      </c>
      <c r="C539" s="1" t="n">
        <v>45710</v>
      </c>
      <c r="D539" t="inlineStr">
        <is>
          <t>DALARNAS LÄN</t>
        </is>
      </c>
      <c r="E539" t="inlineStr">
        <is>
          <t>MORA</t>
        </is>
      </c>
      <c r="G539" t="n">
        <v>3.2</v>
      </c>
      <c r="H539" t="n">
        <v>0</v>
      </c>
      <c r="I539" t="n">
        <v>0</v>
      </c>
      <c r="J539" t="n">
        <v>0</v>
      </c>
      <c r="K539" t="n">
        <v>0</v>
      </c>
      <c r="L539" t="n">
        <v>0</v>
      </c>
      <c r="M539" t="n">
        <v>0</v>
      </c>
      <c r="N539" t="n">
        <v>0</v>
      </c>
      <c r="O539" t="n">
        <v>0</v>
      </c>
      <c r="P539" t="n">
        <v>0</v>
      </c>
      <c r="Q539" t="n">
        <v>0</v>
      </c>
      <c r="R539" s="2" t="inlineStr"/>
    </row>
    <row r="540" ht="15" customHeight="1">
      <c r="A540" t="inlineStr">
        <is>
          <t>A 21896-2023</t>
        </is>
      </c>
      <c r="B540" s="1" t="n">
        <v>45068</v>
      </c>
      <c r="C540" s="1" t="n">
        <v>45710</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22449-2023</t>
        </is>
      </c>
      <c r="B541" s="1" t="n">
        <v>45070</v>
      </c>
      <c r="C541" s="1" t="n">
        <v>45710</v>
      </c>
      <c r="D541" t="inlineStr">
        <is>
          <t>DALARNAS LÄN</t>
        </is>
      </c>
      <c r="E541" t="inlineStr">
        <is>
          <t>MORA</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22492-2023</t>
        </is>
      </c>
      <c r="B542" s="1" t="n">
        <v>45071</v>
      </c>
      <c r="C542" s="1" t="n">
        <v>45710</v>
      </c>
      <c r="D542" t="inlineStr">
        <is>
          <t>DALARNAS LÄN</t>
        </is>
      </c>
      <c r="E542" t="inlineStr">
        <is>
          <t>MORA</t>
        </is>
      </c>
      <c r="G542" t="n">
        <v>5.8</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45710</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22841-2023</t>
        </is>
      </c>
      <c r="B544" s="1" t="n">
        <v>45072</v>
      </c>
      <c r="C544" s="1" t="n">
        <v>45710</v>
      </c>
      <c r="D544" t="inlineStr">
        <is>
          <t>DALARNAS LÄN</t>
        </is>
      </c>
      <c r="E544" t="inlineStr">
        <is>
          <t>MORA</t>
        </is>
      </c>
      <c r="G544" t="n">
        <v>4</v>
      </c>
      <c r="H544" t="n">
        <v>0</v>
      </c>
      <c r="I544" t="n">
        <v>0</v>
      </c>
      <c r="J544" t="n">
        <v>0</v>
      </c>
      <c r="K544" t="n">
        <v>0</v>
      </c>
      <c r="L544" t="n">
        <v>0</v>
      </c>
      <c r="M544" t="n">
        <v>0</v>
      </c>
      <c r="N544" t="n">
        <v>0</v>
      </c>
      <c r="O544" t="n">
        <v>0</v>
      </c>
      <c r="P544" t="n">
        <v>0</v>
      </c>
      <c r="Q544" t="n">
        <v>0</v>
      </c>
      <c r="R544" s="2" t="inlineStr"/>
    </row>
    <row r="545" ht="15" customHeight="1">
      <c r="A545" t="inlineStr">
        <is>
          <t>A 22881-2023</t>
        </is>
      </c>
      <c r="B545" s="1" t="n">
        <v>45072</v>
      </c>
      <c r="C545" s="1" t="n">
        <v>45710</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22888-2023</t>
        </is>
      </c>
      <c r="B546" s="1" t="n">
        <v>45072</v>
      </c>
      <c r="C546" s="1" t="n">
        <v>45710</v>
      </c>
      <c r="D546" t="inlineStr">
        <is>
          <t>DALARNAS LÄN</t>
        </is>
      </c>
      <c r="E546" t="inlineStr">
        <is>
          <t>MORA</t>
        </is>
      </c>
      <c r="G546" t="n">
        <v>3.5</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45710</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22887-2023</t>
        </is>
      </c>
      <c r="B548" s="1" t="n">
        <v>45072</v>
      </c>
      <c r="C548" s="1" t="n">
        <v>45710</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23113-2023</t>
        </is>
      </c>
      <c r="B549" s="1" t="n">
        <v>45075</v>
      </c>
      <c r="C549" s="1" t="n">
        <v>45710</v>
      </c>
      <c r="D549" t="inlineStr">
        <is>
          <t>DALARNAS LÄN</t>
        </is>
      </c>
      <c r="E549" t="inlineStr">
        <is>
          <t>MORA</t>
        </is>
      </c>
      <c r="G549" t="n">
        <v>18.3</v>
      </c>
      <c r="H549" t="n">
        <v>0</v>
      </c>
      <c r="I549" t="n">
        <v>0</v>
      </c>
      <c r="J549" t="n">
        <v>0</v>
      </c>
      <c r="K549" t="n">
        <v>0</v>
      </c>
      <c r="L549" t="n">
        <v>0</v>
      </c>
      <c r="M549" t="n">
        <v>0</v>
      </c>
      <c r="N549" t="n">
        <v>0</v>
      </c>
      <c r="O549" t="n">
        <v>0</v>
      </c>
      <c r="P549" t="n">
        <v>0</v>
      </c>
      <c r="Q549" t="n">
        <v>0</v>
      </c>
      <c r="R549" s="2" t="inlineStr"/>
    </row>
    <row r="550" ht="15" customHeight="1">
      <c r="A550" t="inlineStr">
        <is>
          <t>A 23192-2023</t>
        </is>
      </c>
      <c r="B550" s="1" t="n">
        <v>45075</v>
      </c>
      <c r="C550" s="1" t="n">
        <v>45710</v>
      </c>
      <c r="D550" t="inlineStr">
        <is>
          <t>DALARNAS LÄN</t>
        </is>
      </c>
      <c r="E550" t="inlineStr">
        <is>
          <t>MORA</t>
        </is>
      </c>
      <c r="G550" t="n">
        <v>12.3</v>
      </c>
      <c r="H550" t="n">
        <v>0</v>
      </c>
      <c r="I550" t="n">
        <v>0</v>
      </c>
      <c r="J550" t="n">
        <v>0</v>
      </c>
      <c r="K550" t="n">
        <v>0</v>
      </c>
      <c r="L550" t="n">
        <v>0</v>
      </c>
      <c r="M550" t="n">
        <v>0</v>
      </c>
      <c r="N550" t="n">
        <v>0</v>
      </c>
      <c r="O550" t="n">
        <v>0</v>
      </c>
      <c r="P550" t="n">
        <v>0</v>
      </c>
      <c r="Q550" t="n">
        <v>0</v>
      </c>
      <c r="R550" s="2" t="inlineStr"/>
    </row>
    <row r="551" ht="15" customHeight="1">
      <c r="A551" t="inlineStr">
        <is>
          <t>A 23194-2023</t>
        </is>
      </c>
      <c r="B551" s="1" t="n">
        <v>45075</v>
      </c>
      <c r="C551" s="1" t="n">
        <v>45710</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23586-2023</t>
        </is>
      </c>
      <c r="B552" s="1" t="n">
        <v>45077</v>
      </c>
      <c r="C552" s="1" t="n">
        <v>45710</v>
      </c>
      <c r="D552" t="inlineStr">
        <is>
          <t>DALARNAS LÄN</t>
        </is>
      </c>
      <c r="E552" t="inlineStr">
        <is>
          <t>MORA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23737-2023</t>
        </is>
      </c>
      <c r="B553" s="1" t="n">
        <v>45077</v>
      </c>
      <c r="C553" s="1" t="n">
        <v>45710</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23948-2023</t>
        </is>
      </c>
      <c r="B554" s="1" t="n">
        <v>45078</v>
      </c>
      <c r="C554" s="1" t="n">
        <v>45710</v>
      </c>
      <c r="D554" t="inlineStr">
        <is>
          <t>DALARNAS LÄN</t>
        </is>
      </c>
      <c r="E554" t="inlineStr">
        <is>
          <t>MORA</t>
        </is>
      </c>
      <c r="G554" t="n">
        <v>6.4</v>
      </c>
      <c r="H554" t="n">
        <v>0</v>
      </c>
      <c r="I554" t="n">
        <v>0</v>
      </c>
      <c r="J554" t="n">
        <v>0</v>
      </c>
      <c r="K554" t="n">
        <v>0</v>
      </c>
      <c r="L554" t="n">
        <v>0</v>
      </c>
      <c r="M554" t="n">
        <v>0</v>
      </c>
      <c r="N554" t="n">
        <v>0</v>
      </c>
      <c r="O554" t="n">
        <v>0</v>
      </c>
      <c r="P554" t="n">
        <v>0</v>
      </c>
      <c r="Q554" t="n">
        <v>0</v>
      </c>
      <c r="R554" s="2" t="inlineStr"/>
    </row>
    <row r="555" ht="15" customHeight="1">
      <c r="A555" t="inlineStr">
        <is>
          <t>A 24085-2023</t>
        </is>
      </c>
      <c r="B555" s="1" t="n">
        <v>45079</v>
      </c>
      <c r="C555" s="1" t="n">
        <v>45710</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25200-2023</t>
        </is>
      </c>
      <c r="B556" s="1" t="n">
        <v>45079</v>
      </c>
      <c r="C556" s="1" t="n">
        <v>45710</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24634-2023</t>
        </is>
      </c>
      <c r="B557" s="1" t="n">
        <v>45084</v>
      </c>
      <c r="C557" s="1" t="n">
        <v>45710</v>
      </c>
      <c r="D557" t="inlineStr">
        <is>
          <t>DALARNAS LÄN</t>
        </is>
      </c>
      <c r="E557" t="inlineStr">
        <is>
          <t>MORA</t>
        </is>
      </c>
      <c r="G557" t="n">
        <v>13.3</v>
      </c>
      <c r="H557" t="n">
        <v>0</v>
      </c>
      <c r="I557" t="n">
        <v>0</v>
      </c>
      <c r="J557" t="n">
        <v>0</v>
      </c>
      <c r="K557" t="n">
        <v>0</v>
      </c>
      <c r="L557" t="n">
        <v>0</v>
      </c>
      <c r="M557" t="n">
        <v>0</v>
      </c>
      <c r="N557" t="n">
        <v>0</v>
      </c>
      <c r="O557" t="n">
        <v>0</v>
      </c>
      <c r="P557" t="n">
        <v>0</v>
      </c>
      <c r="Q557" t="n">
        <v>0</v>
      </c>
      <c r="R557" s="2" t="inlineStr"/>
    </row>
    <row r="558" ht="15" customHeight="1">
      <c r="A558" t="inlineStr">
        <is>
          <t>A 24664-2023</t>
        </is>
      </c>
      <c r="B558" s="1" t="n">
        <v>45084</v>
      </c>
      <c r="C558" s="1" t="n">
        <v>45710</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24657-2023</t>
        </is>
      </c>
      <c r="B559" s="1" t="n">
        <v>45084</v>
      </c>
      <c r="C559" s="1" t="n">
        <v>45710</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26273-2023</t>
        </is>
      </c>
      <c r="B560" s="1" t="n">
        <v>45086</v>
      </c>
      <c r="C560" s="1" t="n">
        <v>45710</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25629-2023</t>
        </is>
      </c>
      <c r="B561" s="1" t="n">
        <v>45089</v>
      </c>
      <c r="C561" s="1" t="n">
        <v>45710</v>
      </c>
      <c r="D561" t="inlineStr">
        <is>
          <t>DALARNAS LÄN</t>
        </is>
      </c>
      <c r="E561" t="inlineStr">
        <is>
          <t>MORA</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25749-2023</t>
        </is>
      </c>
      <c r="B562" s="1" t="n">
        <v>45090</v>
      </c>
      <c r="C562" s="1" t="n">
        <v>45710</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25865-2023</t>
        </is>
      </c>
      <c r="B563" s="1" t="n">
        <v>45090</v>
      </c>
      <c r="C563" s="1" t="n">
        <v>45710</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25906-2023</t>
        </is>
      </c>
      <c r="B564" s="1" t="n">
        <v>45090</v>
      </c>
      <c r="C564" s="1" t="n">
        <v>45710</v>
      </c>
      <c r="D564" t="inlineStr">
        <is>
          <t>DALARNAS LÄN</t>
        </is>
      </c>
      <c r="E564" t="inlineStr">
        <is>
          <t>MORA</t>
        </is>
      </c>
      <c r="G564" t="n">
        <v>13.3</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v>
      </c>
      <c r="C565" s="1" t="n">
        <v>45710</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25869-2023</t>
        </is>
      </c>
      <c r="B566" s="1" t="n">
        <v>45090</v>
      </c>
      <c r="C566" s="1" t="n">
        <v>45710</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25874-2023</t>
        </is>
      </c>
      <c r="B567" s="1" t="n">
        <v>45090</v>
      </c>
      <c r="C567" s="1" t="n">
        <v>45710</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25881-2023</t>
        </is>
      </c>
      <c r="B568" s="1" t="n">
        <v>45090</v>
      </c>
      <c r="C568" s="1" t="n">
        <v>45710</v>
      </c>
      <c r="D568" t="inlineStr">
        <is>
          <t>DALARNAS LÄN</t>
        </is>
      </c>
      <c r="E568" t="inlineStr">
        <is>
          <t>MORA</t>
        </is>
      </c>
      <c r="G568" t="n">
        <v>8.5</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v>
      </c>
      <c r="C569" s="1" t="n">
        <v>45710</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26786-2023</t>
        </is>
      </c>
      <c r="B570" s="1" t="n">
        <v>45093</v>
      </c>
      <c r="C570" s="1" t="n">
        <v>45710</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27188-2023</t>
        </is>
      </c>
      <c r="B571" s="1" t="n">
        <v>45096</v>
      </c>
      <c r="C571" s="1" t="n">
        <v>45710</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27880-2023</t>
        </is>
      </c>
      <c r="B572" s="1" t="n">
        <v>45098</v>
      </c>
      <c r="C572" s="1" t="n">
        <v>45710</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45710</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28095-2023</t>
        </is>
      </c>
      <c r="B574" s="1" t="n">
        <v>45099</v>
      </c>
      <c r="C574" s="1" t="n">
        <v>45710</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28315-2023</t>
        </is>
      </c>
      <c r="B575" s="1" t="n">
        <v>45099</v>
      </c>
      <c r="C575" s="1" t="n">
        <v>45710</v>
      </c>
      <c r="D575" t="inlineStr">
        <is>
          <t>DALARNAS LÄN</t>
        </is>
      </c>
      <c r="E575" t="inlineStr">
        <is>
          <t>MORA</t>
        </is>
      </c>
      <c r="G575" t="n">
        <v>5.4</v>
      </c>
      <c r="H575" t="n">
        <v>0</v>
      </c>
      <c r="I575" t="n">
        <v>0</v>
      </c>
      <c r="J575" t="n">
        <v>0</v>
      </c>
      <c r="K575" t="n">
        <v>0</v>
      </c>
      <c r="L575" t="n">
        <v>0</v>
      </c>
      <c r="M575" t="n">
        <v>0</v>
      </c>
      <c r="N575" t="n">
        <v>0</v>
      </c>
      <c r="O575" t="n">
        <v>0</v>
      </c>
      <c r="P575" t="n">
        <v>0</v>
      </c>
      <c r="Q575" t="n">
        <v>0</v>
      </c>
      <c r="R575" s="2" t="inlineStr"/>
    </row>
    <row r="576" ht="15" customHeight="1">
      <c r="A576" t="inlineStr">
        <is>
          <t>A 28318-2023</t>
        </is>
      </c>
      <c r="B576" s="1" t="n">
        <v>45099</v>
      </c>
      <c r="C576" s="1" t="n">
        <v>45710</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28596-2023</t>
        </is>
      </c>
      <c r="B577" s="1" t="n">
        <v>45103</v>
      </c>
      <c r="C577" s="1" t="n">
        <v>45710</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28832-2023</t>
        </is>
      </c>
      <c r="B578" s="1" t="n">
        <v>45104</v>
      </c>
      <c r="C578" s="1" t="n">
        <v>45710</v>
      </c>
      <c r="D578" t="inlineStr">
        <is>
          <t>DALARNAS LÄN</t>
        </is>
      </c>
      <c r="E578" t="inlineStr">
        <is>
          <t>MORA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28934-2023</t>
        </is>
      </c>
      <c r="B579" s="1" t="n">
        <v>45104</v>
      </c>
      <c r="C579" s="1" t="n">
        <v>45710</v>
      </c>
      <c r="D579" t="inlineStr">
        <is>
          <t>DALARNAS LÄN</t>
        </is>
      </c>
      <c r="E579" t="inlineStr">
        <is>
          <t>MORA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29022-2023</t>
        </is>
      </c>
      <c r="B580" s="1" t="n">
        <v>45104</v>
      </c>
      <c r="C580" s="1" t="n">
        <v>45710</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29118-2023</t>
        </is>
      </c>
      <c r="B581" s="1" t="n">
        <v>45105</v>
      </c>
      <c r="C581" s="1" t="n">
        <v>45710</v>
      </c>
      <c r="D581" t="inlineStr">
        <is>
          <t>DALARNAS LÄN</t>
        </is>
      </c>
      <c r="E581" t="inlineStr">
        <is>
          <t>MORA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29191-2023</t>
        </is>
      </c>
      <c r="B582" s="1" t="n">
        <v>45105</v>
      </c>
      <c r="C582" s="1" t="n">
        <v>45710</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45710</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29116-2023</t>
        </is>
      </c>
      <c r="B584" s="1" t="n">
        <v>45105</v>
      </c>
      <c r="C584" s="1" t="n">
        <v>45710</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29188-2023</t>
        </is>
      </c>
      <c r="B585" s="1" t="n">
        <v>45105</v>
      </c>
      <c r="C585" s="1" t="n">
        <v>45710</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29192-2023</t>
        </is>
      </c>
      <c r="B586" s="1" t="n">
        <v>45105</v>
      </c>
      <c r="C586" s="1" t="n">
        <v>45710</v>
      </c>
      <c r="D586" t="inlineStr">
        <is>
          <t>DALARNAS LÄN</t>
        </is>
      </c>
      <c r="E586" t="inlineStr">
        <is>
          <t>MORA</t>
        </is>
      </c>
      <c r="G586" t="n">
        <v>10.5</v>
      </c>
      <c r="H586" t="n">
        <v>0</v>
      </c>
      <c r="I586" t="n">
        <v>0</v>
      </c>
      <c r="J586" t="n">
        <v>0</v>
      </c>
      <c r="K586" t="n">
        <v>0</v>
      </c>
      <c r="L586" t="n">
        <v>0</v>
      </c>
      <c r="M586" t="n">
        <v>0</v>
      </c>
      <c r="N586" t="n">
        <v>0</v>
      </c>
      <c r="O586" t="n">
        <v>0</v>
      </c>
      <c r="P586" t="n">
        <v>0</v>
      </c>
      <c r="Q586" t="n">
        <v>0</v>
      </c>
      <c r="R586" s="2" t="inlineStr"/>
    </row>
    <row r="587" ht="15" customHeight="1">
      <c r="A587" t="inlineStr">
        <is>
          <t>A 31040-2023</t>
        </is>
      </c>
      <c r="B587" s="1" t="n">
        <v>45113</v>
      </c>
      <c r="C587" s="1" t="n">
        <v>45710</v>
      </c>
      <c r="D587" t="inlineStr">
        <is>
          <t>DALARNAS LÄN</t>
        </is>
      </c>
      <c r="E587" t="inlineStr">
        <is>
          <t>MORA</t>
        </is>
      </c>
      <c r="F587" t="inlineStr">
        <is>
          <t>Bergvik skog väst AB</t>
        </is>
      </c>
      <c r="G587" t="n">
        <v>11.6</v>
      </c>
      <c r="H587" t="n">
        <v>0</v>
      </c>
      <c r="I587" t="n">
        <v>0</v>
      </c>
      <c r="J587" t="n">
        <v>0</v>
      </c>
      <c r="K587" t="n">
        <v>0</v>
      </c>
      <c r="L587" t="n">
        <v>0</v>
      </c>
      <c r="M587" t="n">
        <v>0</v>
      </c>
      <c r="N587" t="n">
        <v>0</v>
      </c>
      <c r="O587" t="n">
        <v>0</v>
      </c>
      <c r="P587" t="n">
        <v>0</v>
      </c>
      <c r="Q587" t="n">
        <v>0</v>
      </c>
      <c r="R587" s="2" t="inlineStr"/>
    </row>
    <row r="588" ht="15" customHeight="1">
      <c r="A588" t="inlineStr">
        <is>
          <t>A 31241-2023</t>
        </is>
      </c>
      <c r="B588" s="1" t="n">
        <v>45114</v>
      </c>
      <c r="C588" s="1" t="n">
        <v>45710</v>
      </c>
      <c r="D588" t="inlineStr">
        <is>
          <t>DALARNAS LÄN</t>
        </is>
      </c>
      <c r="E588" t="inlineStr">
        <is>
          <t>MORA</t>
        </is>
      </c>
      <c r="G588" t="n">
        <v>17.5</v>
      </c>
      <c r="H588" t="n">
        <v>0</v>
      </c>
      <c r="I588" t="n">
        <v>0</v>
      </c>
      <c r="J588" t="n">
        <v>0</v>
      </c>
      <c r="K588" t="n">
        <v>0</v>
      </c>
      <c r="L588" t="n">
        <v>0</v>
      </c>
      <c r="M588" t="n">
        <v>0</v>
      </c>
      <c r="N588" t="n">
        <v>0</v>
      </c>
      <c r="O588" t="n">
        <v>0</v>
      </c>
      <c r="P588" t="n">
        <v>0</v>
      </c>
      <c r="Q588" t="n">
        <v>0</v>
      </c>
      <c r="R588" s="2" t="inlineStr"/>
    </row>
    <row r="589" ht="15" customHeight="1">
      <c r="A589" t="inlineStr">
        <is>
          <t>A 31366-2023</t>
        </is>
      </c>
      <c r="B589" s="1" t="n">
        <v>45114</v>
      </c>
      <c r="C589" s="1" t="n">
        <v>45710</v>
      </c>
      <c r="D589" t="inlineStr">
        <is>
          <t>DALARNAS LÄN</t>
        </is>
      </c>
      <c r="E589" t="inlineStr">
        <is>
          <t>MORA</t>
        </is>
      </c>
      <c r="G589" t="n">
        <v>4</v>
      </c>
      <c r="H589" t="n">
        <v>0</v>
      </c>
      <c r="I589" t="n">
        <v>0</v>
      </c>
      <c r="J589" t="n">
        <v>0</v>
      </c>
      <c r="K589" t="n">
        <v>0</v>
      </c>
      <c r="L589" t="n">
        <v>0</v>
      </c>
      <c r="M589" t="n">
        <v>0</v>
      </c>
      <c r="N589" t="n">
        <v>0</v>
      </c>
      <c r="O589" t="n">
        <v>0</v>
      </c>
      <c r="P589" t="n">
        <v>0</v>
      </c>
      <c r="Q589" t="n">
        <v>0</v>
      </c>
      <c r="R589" s="2" t="inlineStr"/>
    </row>
    <row r="590" ht="15" customHeight="1">
      <c r="A590" t="inlineStr">
        <is>
          <t>A 33676-2023</t>
        </is>
      </c>
      <c r="B590" s="1" t="n">
        <v>45132</v>
      </c>
      <c r="C590" s="1" t="n">
        <v>45710</v>
      </c>
      <c r="D590" t="inlineStr">
        <is>
          <t>DALARNAS LÄN</t>
        </is>
      </c>
      <c r="E590" t="inlineStr">
        <is>
          <t>MORA</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34193-2023</t>
        </is>
      </c>
      <c r="B591" s="1" t="n">
        <v>45138</v>
      </c>
      <c r="C591" s="1" t="n">
        <v>45710</v>
      </c>
      <c r="D591" t="inlineStr">
        <is>
          <t>DALARNAS LÄN</t>
        </is>
      </c>
      <c r="E591" t="inlineStr">
        <is>
          <t>MORA</t>
        </is>
      </c>
      <c r="G591" t="n">
        <v>10.4</v>
      </c>
      <c r="H591" t="n">
        <v>0</v>
      </c>
      <c r="I591" t="n">
        <v>0</v>
      </c>
      <c r="J591" t="n">
        <v>0</v>
      </c>
      <c r="K591" t="n">
        <v>0</v>
      </c>
      <c r="L591" t="n">
        <v>0</v>
      </c>
      <c r="M591" t="n">
        <v>0</v>
      </c>
      <c r="N591" t="n">
        <v>0</v>
      </c>
      <c r="O591" t="n">
        <v>0</v>
      </c>
      <c r="P591" t="n">
        <v>0</v>
      </c>
      <c r="Q591" t="n">
        <v>0</v>
      </c>
      <c r="R591" s="2" t="inlineStr"/>
    </row>
    <row r="592" ht="15" customHeight="1">
      <c r="A592" t="inlineStr">
        <is>
          <t>A 34278-2023</t>
        </is>
      </c>
      <c r="B592" s="1" t="n">
        <v>45138</v>
      </c>
      <c r="C592" s="1" t="n">
        <v>45710</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35040-2023</t>
        </is>
      </c>
      <c r="B593" s="1" t="n">
        <v>45145</v>
      </c>
      <c r="C593" s="1" t="n">
        <v>45710</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35041-2023</t>
        </is>
      </c>
      <c r="B594" s="1" t="n">
        <v>45145</v>
      </c>
      <c r="C594" s="1" t="n">
        <v>45710</v>
      </c>
      <c r="D594" t="inlineStr">
        <is>
          <t>DALARNAS LÄN</t>
        </is>
      </c>
      <c r="E594" t="inlineStr">
        <is>
          <t>MORA</t>
        </is>
      </c>
      <c r="G594" t="n">
        <v>15.4</v>
      </c>
      <c r="H594" t="n">
        <v>0</v>
      </c>
      <c r="I594" t="n">
        <v>0</v>
      </c>
      <c r="J594" t="n">
        <v>0</v>
      </c>
      <c r="K594" t="n">
        <v>0</v>
      </c>
      <c r="L594" t="n">
        <v>0</v>
      </c>
      <c r="M594" t="n">
        <v>0</v>
      </c>
      <c r="N594" t="n">
        <v>0</v>
      </c>
      <c r="O594" t="n">
        <v>0</v>
      </c>
      <c r="P594" t="n">
        <v>0</v>
      </c>
      <c r="Q594" t="n">
        <v>0</v>
      </c>
      <c r="R594" s="2" t="inlineStr"/>
    </row>
    <row r="595" ht="15" customHeight="1">
      <c r="A595" t="inlineStr">
        <is>
          <t>A 35236-2023</t>
        </is>
      </c>
      <c r="B595" s="1" t="n">
        <v>45145</v>
      </c>
      <c r="C595" s="1" t="n">
        <v>45710</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35033-2023</t>
        </is>
      </c>
      <c r="B596" s="1" t="n">
        <v>45145</v>
      </c>
      <c r="C596" s="1" t="n">
        <v>45710</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45710</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v>
      </c>
      <c r="C598" s="1" t="n">
        <v>45710</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35923-2023</t>
        </is>
      </c>
      <c r="B599" s="1" t="n">
        <v>45148</v>
      </c>
      <c r="C599" s="1" t="n">
        <v>45710</v>
      </c>
      <c r="D599" t="inlineStr">
        <is>
          <t>DALARNAS LÄN</t>
        </is>
      </c>
      <c r="E599" t="inlineStr">
        <is>
          <t>MORA</t>
        </is>
      </c>
      <c r="G599" t="n">
        <v>10.7</v>
      </c>
      <c r="H599" t="n">
        <v>0</v>
      </c>
      <c r="I599" t="n">
        <v>0</v>
      </c>
      <c r="J599" t="n">
        <v>0</v>
      </c>
      <c r="K599" t="n">
        <v>0</v>
      </c>
      <c r="L599" t="n">
        <v>0</v>
      </c>
      <c r="M599" t="n">
        <v>0</v>
      </c>
      <c r="N599" t="n">
        <v>0</v>
      </c>
      <c r="O599" t="n">
        <v>0</v>
      </c>
      <c r="P599" t="n">
        <v>0</v>
      </c>
      <c r="Q599" t="n">
        <v>0</v>
      </c>
      <c r="R599" s="2" t="inlineStr"/>
    </row>
    <row r="600" ht="15" customHeight="1">
      <c r="A600" t="inlineStr">
        <is>
          <t>A 36740-2023</t>
        </is>
      </c>
      <c r="B600" s="1" t="n">
        <v>45153</v>
      </c>
      <c r="C600" s="1" t="n">
        <v>45710</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36600-2023</t>
        </is>
      </c>
      <c r="B601" s="1" t="n">
        <v>45153</v>
      </c>
      <c r="C601" s="1" t="n">
        <v>45710</v>
      </c>
      <c r="D601" t="inlineStr">
        <is>
          <t>DALARNAS LÄN</t>
        </is>
      </c>
      <c r="E601" t="inlineStr">
        <is>
          <t>MORA</t>
        </is>
      </c>
      <c r="G601" t="n">
        <v>7.3</v>
      </c>
      <c r="H601" t="n">
        <v>0</v>
      </c>
      <c r="I601" t="n">
        <v>0</v>
      </c>
      <c r="J601" t="n">
        <v>0</v>
      </c>
      <c r="K601" t="n">
        <v>0</v>
      </c>
      <c r="L601" t="n">
        <v>0</v>
      </c>
      <c r="M601" t="n">
        <v>0</v>
      </c>
      <c r="N601" t="n">
        <v>0</v>
      </c>
      <c r="O601" t="n">
        <v>0</v>
      </c>
      <c r="P601" t="n">
        <v>0</v>
      </c>
      <c r="Q601" t="n">
        <v>0</v>
      </c>
      <c r="R601" s="2" t="inlineStr"/>
    </row>
    <row r="602" ht="15" customHeight="1">
      <c r="A602" t="inlineStr">
        <is>
          <t>A 37552-2023</t>
        </is>
      </c>
      <c r="B602" s="1" t="n">
        <v>45159</v>
      </c>
      <c r="C602" s="1" t="n">
        <v>45710</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37553-2023</t>
        </is>
      </c>
      <c r="B603" s="1" t="n">
        <v>45159</v>
      </c>
      <c r="C603" s="1" t="n">
        <v>45710</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37710-2023</t>
        </is>
      </c>
      <c r="B604" s="1" t="n">
        <v>45159</v>
      </c>
      <c r="C604" s="1" t="n">
        <v>45710</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37554-2023</t>
        </is>
      </c>
      <c r="B605" s="1" t="n">
        <v>45159</v>
      </c>
      <c r="C605" s="1" t="n">
        <v>45710</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37932-2023</t>
        </is>
      </c>
      <c r="B606" s="1" t="n">
        <v>45160</v>
      </c>
      <c r="C606" s="1" t="n">
        <v>45710</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38159-2023</t>
        </is>
      </c>
      <c r="B607" s="1" t="n">
        <v>45161</v>
      </c>
      <c r="C607" s="1" t="n">
        <v>45710</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38468-2023</t>
        </is>
      </c>
      <c r="B608" s="1" t="n">
        <v>45162</v>
      </c>
      <c r="C608" s="1" t="n">
        <v>45710</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38479-2023</t>
        </is>
      </c>
      <c r="B609" s="1" t="n">
        <v>45162</v>
      </c>
      <c r="C609" s="1" t="n">
        <v>45710</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39009-2023</t>
        </is>
      </c>
      <c r="B610" s="1" t="n">
        <v>45162</v>
      </c>
      <c r="C610" s="1" t="n">
        <v>45710</v>
      </c>
      <c r="D610" t="inlineStr">
        <is>
          <t>DALARNAS LÄN</t>
        </is>
      </c>
      <c r="E610" t="inlineStr">
        <is>
          <t>MORA</t>
        </is>
      </c>
      <c r="G610" t="n">
        <v>1.9</v>
      </c>
      <c r="H610" t="n">
        <v>0</v>
      </c>
      <c r="I610" t="n">
        <v>0</v>
      </c>
      <c r="J610" t="n">
        <v>0</v>
      </c>
      <c r="K610" t="n">
        <v>0</v>
      </c>
      <c r="L610" t="n">
        <v>0</v>
      </c>
      <c r="M610" t="n">
        <v>0</v>
      </c>
      <c r="N610" t="n">
        <v>0</v>
      </c>
      <c r="O610" t="n">
        <v>0</v>
      </c>
      <c r="P610" t="n">
        <v>0</v>
      </c>
      <c r="Q610" t="n">
        <v>0</v>
      </c>
      <c r="R610" s="2" t="inlineStr"/>
    </row>
    <row r="611" ht="15" customHeight="1">
      <c r="A611" t="inlineStr">
        <is>
          <t>A 38627-2023</t>
        </is>
      </c>
      <c r="B611" s="1" t="n">
        <v>45162</v>
      </c>
      <c r="C611" s="1" t="n">
        <v>45710</v>
      </c>
      <c r="D611" t="inlineStr">
        <is>
          <t>DALARNAS LÄN</t>
        </is>
      </c>
      <c r="E611" t="inlineStr">
        <is>
          <t>MORA</t>
        </is>
      </c>
      <c r="G611" t="n">
        <v>6.5</v>
      </c>
      <c r="H611" t="n">
        <v>0</v>
      </c>
      <c r="I611" t="n">
        <v>0</v>
      </c>
      <c r="J611" t="n">
        <v>0</v>
      </c>
      <c r="K611" t="n">
        <v>0</v>
      </c>
      <c r="L611" t="n">
        <v>0</v>
      </c>
      <c r="M611" t="n">
        <v>0</v>
      </c>
      <c r="N611" t="n">
        <v>0</v>
      </c>
      <c r="O611" t="n">
        <v>0</v>
      </c>
      <c r="P611" t="n">
        <v>0</v>
      </c>
      <c r="Q611" t="n">
        <v>0</v>
      </c>
      <c r="R611" s="2" t="inlineStr"/>
    </row>
    <row r="612" ht="15" customHeight="1">
      <c r="A612" t="inlineStr">
        <is>
          <t>A 39233-2023</t>
        </is>
      </c>
      <c r="B612" s="1" t="n">
        <v>45166</v>
      </c>
      <c r="C612" s="1" t="n">
        <v>45710</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39312-2023</t>
        </is>
      </c>
      <c r="B613" s="1" t="n">
        <v>45166</v>
      </c>
      <c r="C613" s="1" t="n">
        <v>45710</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39694-2023</t>
        </is>
      </c>
      <c r="B614" s="1" t="n">
        <v>45167</v>
      </c>
      <c r="C614" s="1" t="n">
        <v>45710</v>
      </c>
      <c r="D614" t="inlineStr">
        <is>
          <t>DALARNAS LÄN</t>
        </is>
      </c>
      <c r="E614" t="inlineStr">
        <is>
          <t>MORA</t>
        </is>
      </c>
      <c r="G614" t="n">
        <v>3.6</v>
      </c>
      <c r="H614" t="n">
        <v>0</v>
      </c>
      <c r="I614" t="n">
        <v>0</v>
      </c>
      <c r="J614" t="n">
        <v>0</v>
      </c>
      <c r="K614" t="n">
        <v>0</v>
      </c>
      <c r="L614" t="n">
        <v>0</v>
      </c>
      <c r="M614" t="n">
        <v>0</v>
      </c>
      <c r="N614" t="n">
        <v>0</v>
      </c>
      <c r="O614" t="n">
        <v>0</v>
      </c>
      <c r="P614" t="n">
        <v>0</v>
      </c>
      <c r="Q614" t="n">
        <v>0</v>
      </c>
      <c r="R614" s="2" t="inlineStr"/>
    </row>
    <row r="615" ht="15" customHeight="1">
      <c r="A615" t="inlineStr">
        <is>
          <t>A 39674-2023</t>
        </is>
      </c>
      <c r="B615" s="1" t="n">
        <v>45167</v>
      </c>
      <c r="C615" s="1" t="n">
        <v>45710</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39847-2023</t>
        </is>
      </c>
      <c r="B616" s="1" t="n">
        <v>45168</v>
      </c>
      <c r="C616" s="1" t="n">
        <v>45710</v>
      </c>
      <c r="D616" t="inlineStr">
        <is>
          <t>DALARNAS LÄN</t>
        </is>
      </c>
      <c r="E616" t="inlineStr">
        <is>
          <t>MORA</t>
        </is>
      </c>
      <c r="G616" t="n">
        <v>2.2</v>
      </c>
      <c r="H616" t="n">
        <v>0</v>
      </c>
      <c r="I616" t="n">
        <v>0</v>
      </c>
      <c r="J616" t="n">
        <v>0</v>
      </c>
      <c r="K616" t="n">
        <v>0</v>
      </c>
      <c r="L616" t="n">
        <v>0</v>
      </c>
      <c r="M616" t="n">
        <v>0</v>
      </c>
      <c r="N616" t="n">
        <v>0</v>
      </c>
      <c r="O616" t="n">
        <v>0</v>
      </c>
      <c r="P616" t="n">
        <v>0</v>
      </c>
      <c r="Q616" t="n">
        <v>0</v>
      </c>
      <c r="R616" s="2" t="inlineStr"/>
    </row>
    <row r="617" ht="15" customHeight="1">
      <c r="A617" t="inlineStr">
        <is>
          <t>A 40034-2023</t>
        </is>
      </c>
      <c r="B617" s="1" t="n">
        <v>45168</v>
      </c>
      <c r="C617" s="1" t="n">
        <v>45710</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40247-2023</t>
        </is>
      </c>
      <c r="B618" s="1" t="n">
        <v>45169</v>
      </c>
      <c r="C618" s="1" t="n">
        <v>45710</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40651-2023</t>
        </is>
      </c>
      <c r="B619" s="1" t="n">
        <v>45170</v>
      </c>
      <c r="C619" s="1" t="n">
        <v>45710</v>
      </c>
      <c r="D619" t="inlineStr">
        <is>
          <t>DALARNAS LÄN</t>
        </is>
      </c>
      <c r="E619" t="inlineStr">
        <is>
          <t>MORA</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40949-2023</t>
        </is>
      </c>
      <c r="B620" s="1" t="n">
        <v>45173</v>
      </c>
      <c r="C620" s="1" t="n">
        <v>45710</v>
      </c>
      <c r="D620" t="inlineStr">
        <is>
          <t>DALARNAS LÄN</t>
        </is>
      </c>
      <c r="E620" t="inlineStr">
        <is>
          <t>MORA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41169-2023</t>
        </is>
      </c>
      <c r="B621" s="1" t="n">
        <v>45174</v>
      </c>
      <c r="C621" s="1" t="n">
        <v>45710</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41170-2023</t>
        </is>
      </c>
      <c r="B622" s="1" t="n">
        <v>45174</v>
      </c>
      <c r="C622" s="1" t="n">
        <v>45710</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41638-2023</t>
        </is>
      </c>
      <c r="B623" s="1" t="n">
        <v>45175</v>
      </c>
      <c r="C623" s="1" t="n">
        <v>45710</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41637-2023</t>
        </is>
      </c>
      <c r="B624" s="1" t="n">
        <v>45175</v>
      </c>
      <c r="C624" s="1" t="n">
        <v>45710</v>
      </c>
      <c r="D624" t="inlineStr">
        <is>
          <t>DALARNAS LÄN</t>
        </is>
      </c>
      <c r="E624" t="inlineStr">
        <is>
          <t>MORA</t>
        </is>
      </c>
      <c r="G624" t="n">
        <v>10.4</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45710</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42267-2023</t>
        </is>
      </c>
      <c r="B626" s="1" t="n">
        <v>45180</v>
      </c>
      <c r="C626" s="1" t="n">
        <v>45710</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43498-2023</t>
        </is>
      </c>
      <c r="B627" s="1" t="n">
        <v>45184</v>
      </c>
      <c r="C627" s="1" t="n">
        <v>45710</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v>
      </c>
      <c r="C628" s="1" t="n">
        <v>45710</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43533-2023</t>
        </is>
      </c>
      <c r="B629" s="1" t="n">
        <v>45184</v>
      </c>
      <c r="C629" s="1" t="n">
        <v>45710</v>
      </c>
      <c r="D629" t="inlineStr">
        <is>
          <t>DALARNAS LÄN</t>
        </is>
      </c>
      <c r="E629" t="inlineStr">
        <is>
          <t>MORA</t>
        </is>
      </c>
      <c r="F629" t="inlineStr">
        <is>
          <t>Bergvik skog väst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43863-2023</t>
        </is>
      </c>
      <c r="B630" s="1" t="n">
        <v>45187</v>
      </c>
      <c r="C630" s="1" t="n">
        <v>45710</v>
      </c>
      <c r="D630" t="inlineStr">
        <is>
          <t>DALARNAS LÄN</t>
        </is>
      </c>
      <c r="E630" t="inlineStr">
        <is>
          <t>MORA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44201-2023</t>
        </is>
      </c>
      <c r="B631" s="1" t="n">
        <v>45188</v>
      </c>
      <c r="C631" s="1" t="n">
        <v>45710</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45710</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44106-2023</t>
        </is>
      </c>
      <c r="B633" s="1" t="n">
        <v>45188</v>
      </c>
      <c r="C633" s="1" t="n">
        <v>45710</v>
      </c>
      <c r="D633" t="inlineStr">
        <is>
          <t>DALARNAS LÄN</t>
        </is>
      </c>
      <c r="E633" t="inlineStr">
        <is>
          <t>MORA</t>
        </is>
      </c>
      <c r="G633" t="n">
        <v>10.1</v>
      </c>
      <c r="H633" t="n">
        <v>0</v>
      </c>
      <c r="I633" t="n">
        <v>0</v>
      </c>
      <c r="J633" t="n">
        <v>0</v>
      </c>
      <c r="K633" t="n">
        <v>0</v>
      </c>
      <c r="L633" t="n">
        <v>0</v>
      </c>
      <c r="M633" t="n">
        <v>0</v>
      </c>
      <c r="N633" t="n">
        <v>0</v>
      </c>
      <c r="O633" t="n">
        <v>0</v>
      </c>
      <c r="P633" t="n">
        <v>0</v>
      </c>
      <c r="Q633" t="n">
        <v>0</v>
      </c>
      <c r="R633" s="2" t="inlineStr"/>
    </row>
    <row r="634" ht="15" customHeight="1">
      <c r="A634" t="inlineStr">
        <is>
          <t>A 44117-2023</t>
        </is>
      </c>
      <c r="B634" s="1" t="n">
        <v>45188</v>
      </c>
      <c r="C634" s="1" t="n">
        <v>45710</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44177-2023</t>
        </is>
      </c>
      <c r="B635" s="1" t="n">
        <v>45188</v>
      </c>
      <c r="C635" s="1" t="n">
        <v>45710</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45710</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44718-2023</t>
        </is>
      </c>
      <c r="B637" s="1" t="n">
        <v>45190</v>
      </c>
      <c r="C637" s="1" t="n">
        <v>45710</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44820-2023</t>
        </is>
      </c>
      <c r="B638" s="1" t="n">
        <v>45190</v>
      </c>
      <c r="C638" s="1" t="n">
        <v>45710</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44817-2023</t>
        </is>
      </c>
      <c r="B639" s="1" t="n">
        <v>45190</v>
      </c>
      <c r="C639" s="1" t="n">
        <v>45710</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45295-2023</t>
        </is>
      </c>
      <c r="B640" s="1" t="n">
        <v>45191</v>
      </c>
      <c r="C640" s="1" t="n">
        <v>45710</v>
      </c>
      <c r="D640" t="inlineStr">
        <is>
          <t>DALARNAS LÄN</t>
        </is>
      </c>
      <c r="E640" t="inlineStr">
        <is>
          <t>MORA</t>
        </is>
      </c>
      <c r="G640" t="n">
        <v>10.9</v>
      </c>
      <c r="H640" t="n">
        <v>0</v>
      </c>
      <c r="I640" t="n">
        <v>0</v>
      </c>
      <c r="J640" t="n">
        <v>0</v>
      </c>
      <c r="K640" t="n">
        <v>0</v>
      </c>
      <c r="L640" t="n">
        <v>0</v>
      </c>
      <c r="M640" t="n">
        <v>0</v>
      </c>
      <c r="N640" t="n">
        <v>0</v>
      </c>
      <c r="O640" t="n">
        <v>0</v>
      </c>
      <c r="P640" t="n">
        <v>0</v>
      </c>
      <c r="Q640" t="n">
        <v>0</v>
      </c>
      <c r="R640" s="2" t="inlineStr"/>
    </row>
    <row r="641" ht="15" customHeight="1">
      <c r="A641" t="inlineStr">
        <is>
          <t>A 45562-2023</t>
        </is>
      </c>
      <c r="B641" s="1" t="n">
        <v>45194</v>
      </c>
      <c r="C641" s="1" t="n">
        <v>45710</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45710</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46087-2023</t>
        </is>
      </c>
      <c r="B643" s="1" t="n">
        <v>45196</v>
      </c>
      <c r="C643" s="1" t="n">
        <v>45710</v>
      </c>
      <c r="D643" t="inlineStr">
        <is>
          <t>DALARNAS LÄN</t>
        </is>
      </c>
      <c r="E643" t="inlineStr">
        <is>
          <t>MORA</t>
        </is>
      </c>
      <c r="F643" t="inlineStr">
        <is>
          <t>Bergvik skog öst AB</t>
        </is>
      </c>
      <c r="G643" t="n">
        <v>24.2</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v>
      </c>
      <c r="C644" s="1" t="n">
        <v>45710</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47036-2023</t>
        </is>
      </c>
      <c r="B645" s="1" t="n">
        <v>45196</v>
      </c>
      <c r="C645" s="1" t="n">
        <v>45710</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46486-2023</t>
        </is>
      </c>
      <c r="B646" s="1" t="n">
        <v>45197</v>
      </c>
      <c r="C646" s="1" t="n">
        <v>45710</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46612-2023</t>
        </is>
      </c>
      <c r="B647" s="1" t="n">
        <v>45198</v>
      </c>
      <c r="C647" s="1" t="n">
        <v>45710</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46791-2023</t>
        </is>
      </c>
      <c r="B648" s="1" t="n">
        <v>45198</v>
      </c>
      <c r="C648" s="1" t="n">
        <v>45710</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46755-2023</t>
        </is>
      </c>
      <c r="B649" s="1" t="n">
        <v>45198</v>
      </c>
      <c r="C649" s="1" t="n">
        <v>45710</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47347-2023</t>
        </is>
      </c>
      <c r="B650" s="1" t="n">
        <v>45202</v>
      </c>
      <c r="C650" s="1" t="n">
        <v>45710</v>
      </c>
      <c r="D650" t="inlineStr">
        <is>
          <t>DALARNAS LÄN</t>
        </is>
      </c>
      <c r="E650" t="inlineStr">
        <is>
          <t>MORA</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47410-2023</t>
        </is>
      </c>
      <c r="B651" s="1" t="n">
        <v>45202</v>
      </c>
      <c r="C651" s="1" t="n">
        <v>45710</v>
      </c>
      <c r="D651" t="inlineStr">
        <is>
          <t>DALARNAS LÄN</t>
        </is>
      </c>
      <c r="E651" t="inlineStr">
        <is>
          <t>MORA</t>
        </is>
      </c>
      <c r="G651" t="n">
        <v>7.3</v>
      </c>
      <c r="H651" t="n">
        <v>0</v>
      </c>
      <c r="I651" t="n">
        <v>0</v>
      </c>
      <c r="J651" t="n">
        <v>0</v>
      </c>
      <c r="K651" t="n">
        <v>0</v>
      </c>
      <c r="L651" t="n">
        <v>0</v>
      </c>
      <c r="M651" t="n">
        <v>0</v>
      </c>
      <c r="N651" t="n">
        <v>0</v>
      </c>
      <c r="O651" t="n">
        <v>0</v>
      </c>
      <c r="P651" t="n">
        <v>0</v>
      </c>
      <c r="Q651" t="n">
        <v>0</v>
      </c>
      <c r="R651" s="2" t="inlineStr"/>
    </row>
    <row r="652" ht="15" customHeight="1">
      <c r="A652" t="inlineStr">
        <is>
          <t>A 47440-2023</t>
        </is>
      </c>
      <c r="B652" s="1" t="n">
        <v>45202</v>
      </c>
      <c r="C652" s="1" t="n">
        <v>45710</v>
      </c>
      <c r="D652" t="inlineStr">
        <is>
          <t>DALARNAS LÄN</t>
        </is>
      </c>
      <c r="E652" t="inlineStr">
        <is>
          <t>MORA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47574-2023</t>
        </is>
      </c>
      <c r="B653" s="1" t="n">
        <v>45203</v>
      </c>
      <c r="C653" s="1" t="n">
        <v>45710</v>
      </c>
      <c r="D653" t="inlineStr">
        <is>
          <t>DALARNAS LÄN</t>
        </is>
      </c>
      <c r="E653" t="inlineStr">
        <is>
          <t>MORA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47683-2023</t>
        </is>
      </c>
      <c r="B654" s="1" t="n">
        <v>45203</v>
      </c>
      <c r="C654" s="1" t="n">
        <v>45710</v>
      </c>
      <c r="D654" t="inlineStr">
        <is>
          <t>DALARNAS LÄN</t>
        </is>
      </c>
      <c r="E654" t="inlineStr">
        <is>
          <t>MORA</t>
        </is>
      </c>
      <c r="F654" t="inlineStr">
        <is>
          <t>Kyrkan</t>
        </is>
      </c>
      <c r="G654" t="n">
        <v>33.8</v>
      </c>
      <c r="H654" t="n">
        <v>0</v>
      </c>
      <c r="I654" t="n">
        <v>0</v>
      </c>
      <c r="J654" t="n">
        <v>0</v>
      </c>
      <c r="K654" t="n">
        <v>0</v>
      </c>
      <c r="L654" t="n">
        <v>0</v>
      </c>
      <c r="M654" t="n">
        <v>0</v>
      </c>
      <c r="N654" t="n">
        <v>0</v>
      </c>
      <c r="O654" t="n">
        <v>0</v>
      </c>
      <c r="P654" t="n">
        <v>0</v>
      </c>
      <c r="Q654" t="n">
        <v>0</v>
      </c>
      <c r="R654" s="2" t="inlineStr"/>
    </row>
    <row r="655" ht="15" customHeight="1">
      <c r="A655" t="inlineStr">
        <is>
          <t>A 48825-2023</t>
        </is>
      </c>
      <c r="B655" s="1" t="n">
        <v>45203</v>
      </c>
      <c r="C655" s="1" t="n">
        <v>45710</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48824-2023</t>
        </is>
      </c>
      <c r="B656" s="1" t="n">
        <v>45203</v>
      </c>
      <c r="C656" s="1" t="n">
        <v>45710</v>
      </c>
      <c r="D656" t="inlineStr">
        <is>
          <t>DALARNAS LÄN</t>
        </is>
      </c>
      <c r="E656" t="inlineStr">
        <is>
          <t>MORA</t>
        </is>
      </c>
      <c r="G656" t="n">
        <v>3.3</v>
      </c>
      <c r="H656" t="n">
        <v>0</v>
      </c>
      <c r="I656" t="n">
        <v>0</v>
      </c>
      <c r="J656" t="n">
        <v>0</v>
      </c>
      <c r="K656" t="n">
        <v>0</v>
      </c>
      <c r="L656" t="n">
        <v>0</v>
      </c>
      <c r="M656" t="n">
        <v>0</v>
      </c>
      <c r="N656" t="n">
        <v>0</v>
      </c>
      <c r="O656" t="n">
        <v>0</v>
      </c>
      <c r="P656" t="n">
        <v>0</v>
      </c>
      <c r="Q656" t="n">
        <v>0</v>
      </c>
      <c r="R656" s="2" t="inlineStr"/>
    </row>
    <row r="657" ht="15" customHeight="1">
      <c r="A657" t="inlineStr">
        <is>
          <t>A 47855-2023</t>
        </is>
      </c>
      <c r="B657" s="1" t="n">
        <v>45204</v>
      </c>
      <c r="C657" s="1" t="n">
        <v>45710</v>
      </c>
      <c r="D657" t="inlineStr">
        <is>
          <t>DALARNAS LÄN</t>
        </is>
      </c>
      <c r="E657" t="inlineStr">
        <is>
          <t>MORA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48027-2023</t>
        </is>
      </c>
      <c r="B658" s="1" t="n">
        <v>45204</v>
      </c>
      <c r="C658" s="1" t="n">
        <v>45710</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48113-2023</t>
        </is>
      </c>
      <c r="B659" s="1" t="n">
        <v>45205</v>
      </c>
      <c r="C659" s="1" t="n">
        <v>45710</v>
      </c>
      <c r="D659" t="inlineStr">
        <is>
          <t>DALARNAS LÄN</t>
        </is>
      </c>
      <c r="E659" t="inlineStr">
        <is>
          <t>MORA</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48313-2023</t>
        </is>
      </c>
      <c r="B660" s="1" t="n">
        <v>45205</v>
      </c>
      <c r="C660" s="1" t="n">
        <v>45710</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48339-2023</t>
        </is>
      </c>
      <c r="B661" s="1" t="n">
        <v>45205</v>
      </c>
      <c r="C661" s="1" t="n">
        <v>45710</v>
      </c>
      <c r="D661" t="inlineStr">
        <is>
          <t>DALARNAS LÄN</t>
        </is>
      </c>
      <c r="E661" t="inlineStr">
        <is>
          <t>MORA</t>
        </is>
      </c>
      <c r="G661" t="n">
        <v>2.3</v>
      </c>
      <c r="H661" t="n">
        <v>0</v>
      </c>
      <c r="I661" t="n">
        <v>0</v>
      </c>
      <c r="J661" t="n">
        <v>0</v>
      </c>
      <c r="K661" t="n">
        <v>0</v>
      </c>
      <c r="L661" t="n">
        <v>0</v>
      </c>
      <c r="M661" t="n">
        <v>0</v>
      </c>
      <c r="N661" t="n">
        <v>0</v>
      </c>
      <c r="O661" t="n">
        <v>0</v>
      </c>
      <c r="P661" t="n">
        <v>0</v>
      </c>
      <c r="Q661" t="n">
        <v>0</v>
      </c>
      <c r="R661" s="2" t="inlineStr"/>
    </row>
    <row r="662" ht="15" customHeight="1">
      <c r="A662" t="inlineStr">
        <is>
          <t>A 48342-2023</t>
        </is>
      </c>
      <c r="B662" s="1" t="n">
        <v>45205</v>
      </c>
      <c r="C662" s="1" t="n">
        <v>45710</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48924-2023</t>
        </is>
      </c>
      <c r="B663" s="1" t="n">
        <v>45209</v>
      </c>
      <c r="C663" s="1" t="n">
        <v>45710</v>
      </c>
      <c r="D663" t="inlineStr">
        <is>
          <t>DALARNAS LÄN</t>
        </is>
      </c>
      <c r="E663" t="inlineStr">
        <is>
          <t>MORA</t>
        </is>
      </c>
      <c r="G663" t="n">
        <v>10.8</v>
      </c>
      <c r="H663" t="n">
        <v>0</v>
      </c>
      <c r="I663" t="n">
        <v>0</v>
      </c>
      <c r="J663" t="n">
        <v>0</v>
      </c>
      <c r="K663" t="n">
        <v>0</v>
      </c>
      <c r="L663" t="n">
        <v>0</v>
      </c>
      <c r="M663" t="n">
        <v>0</v>
      </c>
      <c r="N663" t="n">
        <v>0</v>
      </c>
      <c r="O663" t="n">
        <v>0</v>
      </c>
      <c r="P663" t="n">
        <v>0</v>
      </c>
      <c r="Q663" t="n">
        <v>0</v>
      </c>
      <c r="R663" s="2" t="inlineStr"/>
    </row>
    <row r="664" ht="15" customHeight="1">
      <c r="A664" t="inlineStr">
        <is>
          <t>A 49158-2023</t>
        </is>
      </c>
      <c r="B664" s="1" t="n">
        <v>45210</v>
      </c>
      <c r="C664" s="1" t="n">
        <v>45710</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49159-2023</t>
        </is>
      </c>
      <c r="B665" s="1" t="n">
        <v>45210</v>
      </c>
      <c r="C665" s="1" t="n">
        <v>45710</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45710</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49778-2023</t>
        </is>
      </c>
      <c r="B667" s="1" t="n">
        <v>45212</v>
      </c>
      <c r="C667" s="1" t="n">
        <v>45710</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49991-2023</t>
        </is>
      </c>
      <c r="B668" s="1" t="n">
        <v>45215</v>
      </c>
      <c r="C668" s="1" t="n">
        <v>45710</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49995-2023</t>
        </is>
      </c>
      <c r="B669" s="1" t="n">
        <v>45215</v>
      </c>
      <c r="C669" s="1" t="n">
        <v>45710</v>
      </c>
      <c r="D669" t="inlineStr">
        <is>
          <t>DALARNAS LÄN</t>
        </is>
      </c>
      <c r="E669" t="inlineStr">
        <is>
          <t>MORA</t>
        </is>
      </c>
      <c r="G669" t="n">
        <v>4</v>
      </c>
      <c r="H669" t="n">
        <v>0</v>
      </c>
      <c r="I669" t="n">
        <v>0</v>
      </c>
      <c r="J669" t="n">
        <v>0</v>
      </c>
      <c r="K669" t="n">
        <v>0</v>
      </c>
      <c r="L669" t="n">
        <v>0</v>
      </c>
      <c r="M669" t="n">
        <v>0</v>
      </c>
      <c r="N669" t="n">
        <v>0</v>
      </c>
      <c r="O669" t="n">
        <v>0</v>
      </c>
      <c r="P669" t="n">
        <v>0</v>
      </c>
      <c r="Q669" t="n">
        <v>0</v>
      </c>
      <c r="R669" s="2" t="inlineStr"/>
    </row>
    <row r="670" ht="15" customHeight="1">
      <c r="A670" t="inlineStr">
        <is>
          <t>A 51729-2023</t>
        </is>
      </c>
      <c r="B670" s="1" t="n">
        <v>45215</v>
      </c>
      <c r="C670" s="1" t="n">
        <v>45710</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50721-2023</t>
        </is>
      </c>
      <c r="B671" s="1" t="n">
        <v>45217</v>
      </c>
      <c r="C671" s="1" t="n">
        <v>45710</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50759-2023</t>
        </is>
      </c>
      <c r="B672" s="1" t="n">
        <v>45217</v>
      </c>
      <c r="C672" s="1" t="n">
        <v>45710</v>
      </c>
      <c r="D672" t="inlineStr">
        <is>
          <t>DALARNAS LÄN</t>
        </is>
      </c>
      <c r="E672" t="inlineStr">
        <is>
          <t>MORA</t>
        </is>
      </c>
      <c r="G672" t="n">
        <v>5.3</v>
      </c>
      <c r="H672" t="n">
        <v>0</v>
      </c>
      <c r="I672" t="n">
        <v>0</v>
      </c>
      <c r="J672" t="n">
        <v>0</v>
      </c>
      <c r="K672" t="n">
        <v>0</v>
      </c>
      <c r="L672" t="n">
        <v>0</v>
      </c>
      <c r="M672" t="n">
        <v>0</v>
      </c>
      <c r="N672" t="n">
        <v>0</v>
      </c>
      <c r="O672" t="n">
        <v>0</v>
      </c>
      <c r="P672" t="n">
        <v>0</v>
      </c>
      <c r="Q672" t="n">
        <v>0</v>
      </c>
      <c r="R672" s="2" t="inlineStr"/>
    </row>
    <row r="673" ht="15" customHeight="1">
      <c r="A673" t="inlineStr">
        <is>
          <t>A 51150-2023</t>
        </is>
      </c>
      <c r="B673" s="1" t="n">
        <v>45219</v>
      </c>
      <c r="C673" s="1" t="n">
        <v>45710</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51348-2023</t>
        </is>
      </c>
      <c r="B674" s="1" t="n">
        <v>45219</v>
      </c>
      <c r="C674" s="1" t="n">
        <v>45710</v>
      </c>
      <c r="D674" t="inlineStr">
        <is>
          <t>DALARNAS LÄN</t>
        </is>
      </c>
      <c r="E674" t="inlineStr">
        <is>
          <t>MORA</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51253-2023</t>
        </is>
      </c>
      <c r="B675" s="1" t="n">
        <v>45219</v>
      </c>
      <c r="C675" s="1" t="n">
        <v>45710</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51146-2023</t>
        </is>
      </c>
      <c r="B676" s="1" t="n">
        <v>45219</v>
      </c>
      <c r="C676" s="1" t="n">
        <v>45710</v>
      </c>
      <c r="D676" t="inlineStr">
        <is>
          <t>DALARNAS LÄN</t>
        </is>
      </c>
      <c r="E676" t="inlineStr">
        <is>
          <t>MORA</t>
        </is>
      </c>
      <c r="G676" t="n">
        <v>6.9</v>
      </c>
      <c r="H676" t="n">
        <v>0</v>
      </c>
      <c r="I676" t="n">
        <v>0</v>
      </c>
      <c r="J676" t="n">
        <v>0</v>
      </c>
      <c r="K676" t="n">
        <v>0</v>
      </c>
      <c r="L676" t="n">
        <v>0</v>
      </c>
      <c r="M676" t="n">
        <v>0</v>
      </c>
      <c r="N676" t="n">
        <v>0</v>
      </c>
      <c r="O676" t="n">
        <v>0</v>
      </c>
      <c r="P676" t="n">
        <v>0</v>
      </c>
      <c r="Q676" t="n">
        <v>0</v>
      </c>
      <c r="R676" s="2" t="inlineStr"/>
    </row>
    <row r="677" ht="15" customHeight="1">
      <c r="A677" t="inlineStr">
        <is>
          <t>A 51650-2023</t>
        </is>
      </c>
      <c r="B677" s="1" t="n">
        <v>45222</v>
      </c>
      <c r="C677" s="1" t="n">
        <v>45710</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51739-2023</t>
        </is>
      </c>
      <c r="B678" s="1" t="n">
        <v>45222</v>
      </c>
      <c r="C678" s="1" t="n">
        <v>45710</v>
      </c>
      <c r="D678" t="inlineStr">
        <is>
          <t>DALARNAS LÄN</t>
        </is>
      </c>
      <c r="E678" t="inlineStr">
        <is>
          <t>MORA</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51570-2023</t>
        </is>
      </c>
      <c r="B679" s="1" t="n">
        <v>45222</v>
      </c>
      <c r="C679" s="1" t="n">
        <v>45710</v>
      </c>
      <c r="D679" t="inlineStr">
        <is>
          <t>DALARNAS LÄN</t>
        </is>
      </c>
      <c r="E679" t="inlineStr">
        <is>
          <t>MORA</t>
        </is>
      </c>
      <c r="G679" t="n">
        <v>10.1</v>
      </c>
      <c r="H679" t="n">
        <v>0</v>
      </c>
      <c r="I679" t="n">
        <v>0</v>
      </c>
      <c r="J679" t="n">
        <v>0</v>
      </c>
      <c r="K679" t="n">
        <v>0</v>
      </c>
      <c r="L679" t="n">
        <v>0</v>
      </c>
      <c r="M679" t="n">
        <v>0</v>
      </c>
      <c r="N679" t="n">
        <v>0</v>
      </c>
      <c r="O679" t="n">
        <v>0</v>
      </c>
      <c r="P679" t="n">
        <v>0</v>
      </c>
      <c r="Q679" t="n">
        <v>0</v>
      </c>
      <c r="R679" s="2" t="inlineStr"/>
    </row>
    <row r="680" ht="15" customHeight="1">
      <c r="A680" t="inlineStr">
        <is>
          <t>A 51628-2023</t>
        </is>
      </c>
      <c r="B680" s="1" t="n">
        <v>45222</v>
      </c>
      <c r="C680" s="1" t="n">
        <v>45710</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51780-2023</t>
        </is>
      </c>
      <c r="B681" s="1" t="n">
        <v>45222</v>
      </c>
      <c r="C681" s="1" t="n">
        <v>45710</v>
      </c>
      <c r="D681" t="inlineStr">
        <is>
          <t>DALARNAS LÄN</t>
        </is>
      </c>
      <c r="E681" t="inlineStr">
        <is>
          <t>MORA</t>
        </is>
      </c>
      <c r="G681" t="n">
        <v>9.9</v>
      </c>
      <c r="H681" t="n">
        <v>0</v>
      </c>
      <c r="I681" t="n">
        <v>0</v>
      </c>
      <c r="J681" t="n">
        <v>0</v>
      </c>
      <c r="K681" t="n">
        <v>0</v>
      </c>
      <c r="L681" t="n">
        <v>0</v>
      </c>
      <c r="M681" t="n">
        <v>0</v>
      </c>
      <c r="N681" t="n">
        <v>0</v>
      </c>
      <c r="O681" t="n">
        <v>0</v>
      </c>
      <c r="P681" t="n">
        <v>0</v>
      </c>
      <c r="Q681" t="n">
        <v>0</v>
      </c>
      <c r="R681" s="2" t="inlineStr"/>
    </row>
    <row r="682" ht="15" customHeight="1">
      <c r="A682" t="inlineStr">
        <is>
          <t>A 52006-2023</t>
        </is>
      </c>
      <c r="B682" s="1" t="n">
        <v>45223</v>
      </c>
      <c r="C682" s="1" t="n">
        <v>45710</v>
      </c>
      <c r="D682" t="inlineStr">
        <is>
          <t>DALARNAS LÄN</t>
        </is>
      </c>
      <c r="E682" t="inlineStr">
        <is>
          <t>MORA</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52584-2023</t>
        </is>
      </c>
      <c r="B683" s="1" t="n">
        <v>45225</v>
      </c>
      <c r="C683" s="1" t="n">
        <v>45710</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52766-2023</t>
        </is>
      </c>
      <c r="B684" s="1" t="n">
        <v>45226</v>
      </c>
      <c r="C684" s="1" t="n">
        <v>45710</v>
      </c>
      <c r="D684" t="inlineStr">
        <is>
          <t>DALARNAS LÄN</t>
        </is>
      </c>
      <c r="E684" t="inlineStr">
        <is>
          <t>MORA</t>
        </is>
      </c>
      <c r="G684" t="n">
        <v>4.3</v>
      </c>
      <c r="H684" t="n">
        <v>0</v>
      </c>
      <c r="I684" t="n">
        <v>0</v>
      </c>
      <c r="J684" t="n">
        <v>0</v>
      </c>
      <c r="K684" t="n">
        <v>0</v>
      </c>
      <c r="L684" t="n">
        <v>0</v>
      </c>
      <c r="M684" t="n">
        <v>0</v>
      </c>
      <c r="N684" t="n">
        <v>0</v>
      </c>
      <c r="O684" t="n">
        <v>0</v>
      </c>
      <c r="P684" t="n">
        <v>0</v>
      </c>
      <c r="Q684" t="n">
        <v>0</v>
      </c>
      <c r="R684" s="2" t="inlineStr"/>
    </row>
    <row r="685" ht="15" customHeight="1">
      <c r="A685" t="inlineStr">
        <is>
          <t>A 52919-2023</t>
        </is>
      </c>
      <c r="B685" s="1" t="n">
        <v>45226</v>
      </c>
      <c r="C685" s="1" t="n">
        <v>45710</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52908-2023</t>
        </is>
      </c>
      <c r="B686" s="1" t="n">
        <v>45226</v>
      </c>
      <c r="C686" s="1" t="n">
        <v>45710</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53026-2023</t>
        </is>
      </c>
      <c r="B687" s="1" t="n">
        <v>45226</v>
      </c>
      <c r="C687" s="1" t="n">
        <v>45710</v>
      </c>
      <c r="D687" t="inlineStr">
        <is>
          <t>DALARNAS LÄN</t>
        </is>
      </c>
      <c r="E687" t="inlineStr">
        <is>
          <t>MORA</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52804-2023</t>
        </is>
      </c>
      <c r="B688" s="1" t="n">
        <v>45226</v>
      </c>
      <c r="C688" s="1" t="n">
        <v>45710</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54626-2023</t>
        </is>
      </c>
      <c r="B689" s="1" t="n">
        <v>45228</v>
      </c>
      <c r="C689" s="1" t="n">
        <v>45710</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54593-2023</t>
        </is>
      </c>
      <c r="B690" s="1" t="n">
        <v>45228</v>
      </c>
      <c r="C690" s="1" t="n">
        <v>45710</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54627-2023</t>
        </is>
      </c>
      <c r="B691" s="1" t="n">
        <v>45228</v>
      </c>
      <c r="C691" s="1" t="n">
        <v>45710</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54594-2023</t>
        </is>
      </c>
      <c r="B692" s="1" t="n">
        <v>45228</v>
      </c>
      <c r="C692" s="1" t="n">
        <v>45710</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53344-2023</t>
        </is>
      </c>
      <c r="B693" s="1" t="n">
        <v>45229</v>
      </c>
      <c r="C693" s="1" t="n">
        <v>45710</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53349-2023</t>
        </is>
      </c>
      <c r="B694" s="1" t="n">
        <v>45229</v>
      </c>
      <c r="C694" s="1" t="n">
        <v>45710</v>
      </c>
      <c r="D694" t="inlineStr">
        <is>
          <t>DALARNAS LÄN</t>
        </is>
      </c>
      <c r="E694" t="inlineStr">
        <is>
          <t>MORA</t>
        </is>
      </c>
      <c r="G694" t="n">
        <v>3</v>
      </c>
      <c r="H694" t="n">
        <v>0</v>
      </c>
      <c r="I694" t="n">
        <v>0</v>
      </c>
      <c r="J694" t="n">
        <v>0</v>
      </c>
      <c r="K694" t="n">
        <v>0</v>
      </c>
      <c r="L694" t="n">
        <v>0</v>
      </c>
      <c r="M694" t="n">
        <v>0</v>
      </c>
      <c r="N694" t="n">
        <v>0</v>
      </c>
      <c r="O694" t="n">
        <v>0</v>
      </c>
      <c r="P694" t="n">
        <v>0</v>
      </c>
      <c r="Q694" t="n">
        <v>0</v>
      </c>
      <c r="R694" s="2" t="inlineStr"/>
    </row>
    <row r="695" ht="15" customHeight="1">
      <c r="A695" t="inlineStr">
        <is>
          <t>A 53297-2023</t>
        </is>
      </c>
      <c r="B695" s="1" t="n">
        <v>45229</v>
      </c>
      <c r="C695" s="1" t="n">
        <v>45710</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53341-2023</t>
        </is>
      </c>
      <c r="B696" s="1" t="n">
        <v>45229</v>
      </c>
      <c r="C696" s="1" t="n">
        <v>45710</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54003-2023</t>
        </is>
      </c>
      <c r="B697" s="1" t="n">
        <v>45231</v>
      </c>
      <c r="C697" s="1" t="n">
        <v>45710</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55225-2023</t>
        </is>
      </c>
      <c r="B698" s="1" t="n">
        <v>45231</v>
      </c>
      <c r="C698" s="1" t="n">
        <v>45710</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53994-2023</t>
        </is>
      </c>
      <c r="B699" s="1" t="n">
        <v>45231</v>
      </c>
      <c r="C699" s="1" t="n">
        <v>45710</v>
      </c>
      <c r="D699" t="inlineStr">
        <is>
          <t>DALARNAS LÄN</t>
        </is>
      </c>
      <c r="E699" t="inlineStr">
        <is>
          <t>MORA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54097-2023</t>
        </is>
      </c>
      <c r="B700" s="1" t="n">
        <v>45232</v>
      </c>
      <c r="C700" s="1" t="n">
        <v>45710</v>
      </c>
      <c r="D700" t="inlineStr">
        <is>
          <t>DALARNAS LÄN</t>
        </is>
      </c>
      <c r="E700" t="inlineStr">
        <is>
          <t>MORA</t>
        </is>
      </c>
      <c r="G700" t="n">
        <v>5.6</v>
      </c>
      <c r="H700" t="n">
        <v>0</v>
      </c>
      <c r="I700" t="n">
        <v>0</v>
      </c>
      <c r="J700" t="n">
        <v>0</v>
      </c>
      <c r="K700" t="n">
        <v>0</v>
      </c>
      <c r="L700" t="n">
        <v>0</v>
      </c>
      <c r="M700" t="n">
        <v>0</v>
      </c>
      <c r="N700" t="n">
        <v>0</v>
      </c>
      <c r="O700" t="n">
        <v>0</v>
      </c>
      <c r="P700" t="n">
        <v>0</v>
      </c>
      <c r="Q700" t="n">
        <v>0</v>
      </c>
      <c r="R700" s="2" t="inlineStr"/>
    </row>
    <row r="701" ht="15" customHeight="1">
      <c r="A701" t="inlineStr">
        <is>
          <t>A 54121-2023</t>
        </is>
      </c>
      <c r="B701" s="1" t="n">
        <v>45232</v>
      </c>
      <c r="C701" s="1" t="n">
        <v>45710</v>
      </c>
      <c r="D701" t="inlineStr">
        <is>
          <t>DALARNAS LÄN</t>
        </is>
      </c>
      <c r="E701" t="inlineStr">
        <is>
          <t>MORA</t>
        </is>
      </c>
      <c r="G701" t="n">
        <v>7</v>
      </c>
      <c r="H701" t="n">
        <v>0</v>
      </c>
      <c r="I701" t="n">
        <v>0</v>
      </c>
      <c r="J701" t="n">
        <v>0</v>
      </c>
      <c r="K701" t="n">
        <v>0</v>
      </c>
      <c r="L701" t="n">
        <v>0</v>
      </c>
      <c r="M701" t="n">
        <v>0</v>
      </c>
      <c r="N701" t="n">
        <v>0</v>
      </c>
      <c r="O701" t="n">
        <v>0</v>
      </c>
      <c r="P701" t="n">
        <v>0</v>
      </c>
      <c r="Q701" t="n">
        <v>0</v>
      </c>
      <c r="R701" s="2" t="inlineStr"/>
    </row>
    <row r="702" ht="15" customHeight="1">
      <c r="A702" t="inlineStr">
        <is>
          <t>A 54129-2023</t>
        </is>
      </c>
      <c r="B702" s="1" t="n">
        <v>45232</v>
      </c>
      <c r="C702" s="1" t="n">
        <v>45710</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54193-2023</t>
        </is>
      </c>
      <c r="B703" s="1" t="n">
        <v>45232</v>
      </c>
      <c r="C703" s="1" t="n">
        <v>45710</v>
      </c>
      <c r="D703" t="inlineStr">
        <is>
          <t>DALARNAS LÄN</t>
        </is>
      </c>
      <c r="E703" t="inlineStr">
        <is>
          <t>MORA</t>
        </is>
      </c>
      <c r="G703" t="n">
        <v>5.7</v>
      </c>
      <c r="H703" t="n">
        <v>0</v>
      </c>
      <c r="I703" t="n">
        <v>0</v>
      </c>
      <c r="J703" t="n">
        <v>0</v>
      </c>
      <c r="K703" t="n">
        <v>0</v>
      </c>
      <c r="L703" t="n">
        <v>0</v>
      </c>
      <c r="M703" t="n">
        <v>0</v>
      </c>
      <c r="N703" t="n">
        <v>0</v>
      </c>
      <c r="O703" t="n">
        <v>0</v>
      </c>
      <c r="P703" t="n">
        <v>0</v>
      </c>
      <c r="Q703" t="n">
        <v>0</v>
      </c>
      <c r="R703" s="2" t="inlineStr"/>
    </row>
    <row r="704" ht="15" customHeight="1">
      <c r="A704" t="inlineStr">
        <is>
          <t>A 54194-2023</t>
        </is>
      </c>
      <c r="B704" s="1" t="n">
        <v>45232</v>
      </c>
      <c r="C704" s="1" t="n">
        <v>45710</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v>
      </c>
      <c r="C705" s="1" t="n">
        <v>45710</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54253-2023</t>
        </is>
      </c>
      <c r="B706" s="1" t="n">
        <v>45232</v>
      </c>
      <c r="C706" s="1" t="n">
        <v>45710</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54257-2023</t>
        </is>
      </c>
      <c r="B707" s="1" t="n">
        <v>45232</v>
      </c>
      <c r="C707" s="1" t="n">
        <v>45710</v>
      </c>
      <c r="D707" t="inlineStr">
        <is>
          <t>DALARNAS LÄN</t>
        </is>
      </c>
      <c r="E707" t="inlineStr">
        <is>
          <t>MORA</t>
        </is>
      </c>
      <c r="G707" t="n">
        <v>4</v>
      </c>
      <c r="H707" t="n">
        <v>0</v>
      </c>
      <c r="I707" t="n">
        <v>0</v>
      </c>
      <c r="J707" t="n">
        <v>0</v>
      </c>
      <c r="K707" t="n">
        <v>0</v>
      </c>
      <c r="L707" t="n">
        <v>0</v>
      </c>
      <c r="M707" t="n">
        <v>0</v>
      </c>
      <c r="N707" t="n">
        <v>0</v>
      </c>
      <c r="O707" t="n">
        <v>0</v>
      </c>
      <c r="P707" t="n">
        <v>0</v>
      </c>
      <c r="Q707" t="n">
        <v>0</v>
      </c>
      <c r="R707" s="2" t="inlineStr"/>
    </row>
    <row r="708" ht="15" customHeight="1">
      <c r="A708" t="inlineStr">
        <is>
          <t>A 54827-2023</t>
        </is>
      </c>
      <c r="B708" s="1" t="n">
        <v>45236</v>
      </c>
      <c r="C708" s="1" t="n">
        <v>45710</v>
      </c>
      <c r="D708" t="inlineStr">
        <is>
          <t>DALARNAS LÄN</t>
        </is>
      </c>
      <c r="E708" t="inlineStr">
        <is>
          <t>MORA</t>
        </is>
      </c>
      <c r="G708" t="n">
        <v>18.7</v>
      </c>
      <c r="H708" t="n">
        <v>0</v>
      </c>
      <c r="I708" t="n">
        <v>0</v>
      </c>
      <c r="J708" t="n">
        <v>0</v>
      </c>
      <c r="K708" t="n">
        <v>0</v>
      </c>
      <c r="L708" t="n">
        <v>0</v>
      </c>
      <c r="M708" t="n">
        <v>0</v>
      </c>
      <c r="N708" t="n">
        <v>0</v>
      </c>
      <c r="O708" t="n">
        <v>0</v>
      </c>
      <c r="P708" t="n">
        <v>0</v>
      </c>
      <c r="Q708" t="n">
        <v>0</v>
      </c>
      <c r="R708" s="2" t="inlineStr"/>
    </row>
    <row r="709" ht="15" customHeight="1">
      <c r="A709" t="inlineStr">
        <is>
          <t>A 54923-2023</t>
        </is>
      </c>
      <c r="B709" s="1" t="n">
        <v>45236</v>
      </c>
      <c r="C709" s="1" t="n">
        <v>45710</v>
      </c>
      <c r="D709" t="inlineStr">
        <is>
          <t>DALARNAS LÄN</t>
        </is>
      </c>
      <c r="E709" t="inlineStr">
        <is>
          <t>MORA</t>
        </is>
      </c>
      <c r="G709" t="n">
        <v>7.3</v>
      </c>
      <c r="H709" t="n">
        <v>0</v>
      </c>
      <c r="I709" t="n">
        <v>0</v>
      </c>
      <c r="J709" t="n">
        <v>0</v>
      </c>
      <c r="K709" t="n">
        <v>0</v>
      </c>
      <c r="L709" t="n">
        <v>0</v>
      </c>
      <c r="M709" t="n">
        <v>0</v>
      </c>
      <c r="N709" t="n">
        <v>0</v>
      </c>
      <c r="O709" t="n">
        <v>0</v>
      </c>
      <c r="P709" t="n">
        <v>0</v>
      </c>
      <c r="Q709" t="n">
        <v>0</v>
      </c>
      <c r="R709" s="2" t="inlineStr"/>
    </row>
    <row r="710" ht="15" customHeight="1">
      <c r="A710" t="inlineStr">
        <is>
          <t>A 55222-2023</t>
        </is>
      </c>
      <c r="B710" s="1" t="n">
        <v>45237</v>
      </c>
      <c r="C710" s="1" t="n">
        <v>45710</v>
      </c>
      <c r="D710" t="inlineStr">
        <is>
          <t>DALARNAS LÄN</t>
        </is>
      </c>
      <c r="E710" t="inlineStr">
        <is>
          <t>MORA</t>
        </is>
      </c>
      <c r="F710" t="inlineStr">
        <is>
          <t>Allmännings- och besparingsskogar</t>
        </is>
      </c>
      <c r="G710" t="n">
        <v>19.8</v>
      </c>
      <c r="H710" t="n">
        <v>0</v>
      </c>
      <c r="I710" t="n">
        <v>0</v>
      </c>
      <c r="J710" t="n">
        <v>0</v>
      </c>
      <c r="K710" t="n">
        <v>0</v>
      </c>
      <c r="L710" t="n">
        <v>0</v>
      </c>
      <c r="M710" t="n">
        <v>0</v>
      </c>
      <c r="N710" t="n">
        <v>0</v>
      </c>
      <c r="O710" t="n">
        <v>0</v>
      </c>
      <c r="P710" t="n">
        <v>0</v>
      </c>
      <c r="Q710" t="n">
        <v>0</v>
      </c>
      <c r="R710" s="2" t="inlineStr"/>
    </row>
    <row r="711" ht="15" customHeight="1">
      <c r="A711" t="inlineStr">
        <is>
          <t>A 55398-2023</t>
        </is>
      </c>
      <c r="B711" s="1" t="n">
        <v>45238</v>
      </c>
      <c r="C711" s="1" t="n">
        <v>45710</v>
      </c>
      <c r="D711" t="inlineStr">
        <is>
          <t>DALARNAS LÄN</t>
        </is>
      </c>
      <c r="E711" t="inlineStr">
        <is>
          <t>MORA</t>
        </is>
      </c>
      <c r="G711" t="n">
        <v>7.2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v>
      </c>
      <c r="C712" s="1" t="n">
        <v>45710</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55848-2023</t>
        </is>
      </c>
      <c r="B713" s="1" t="n">
        <v>45239</v>
      </c>
      <c r="C713" s="1" t="n">
        <v>45710</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56010-2023</t>
        </is>
      </c>
      <c r="B714" s="1" t="n">
        <v>45240</v>
      </c>
      <c r="C714" s="1" t="n">
        <v>45710</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56037-2023</t>
        </is>
      </c>
      <c r="B715" s="1" t="n">
        <v>45240</v>
      </c>
      <c r="C715" s="1" t="n">
        <v>45710</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56020-2023</t>
        </is>
      </c>
      <c r="B716" s="1" t="n">
        <v>45240</v>
      </c>
      <c r="C716" s="1" t="n">
        <v>45710</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56012-2023</t>
        </is>
      </c>
      <c r="B717" s="1" t="n">
        <v>45240</v>
      </c>
      <c r="C717" s="1" t="n">
        <v>45710</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56239-2023</t>
        </is>
      </c>
      <c r="B718" s="1" t="n">
        <v>45240</v>
      </c>
      <c r="C718" s="1" t="n">
        <v>45710</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56032-2023</t>
        </is>
      </c>
      <c r="B719" s="1" t="n">
        <v>45240</v>
      </c>
      <c r="C719" s="1" t="n">
        <v>45710</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55977-2023</t>
        </is>
      </c>
      <c r="B720" s="1" t="n">
        <v>45240</v>
      </c>
      <c r="C720" s="1" t="n">
        <v>45710</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56009-2023</t>
        </is>
      </c>
      <c r="B721" s="1" t="n">
        <v>45240</v>
      </c>
      <c r="C721" s="1" t="n">
        <v>45710</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55984-2023</t>
        </is>
      </c>
      <c r="B722" s="1" t="n">
        <v>45240</v>
      </c>
      <c r="C722" s="1" t="n">
        <v>45710</v>
      </c>
      <c r="D722" t="inlineStr">
        <is>
          <t>DALARNAS LÄN</t>
        </is>
      </c>
      <c r="E722" t="inlineStr">
        <is>
          <t>MORA</t>
        </is>
      </c>
      <c r="G722" t="n">
        <v>5.3</v>
      </c>
      <c r="H722" t="n">
        <v>0</v>
      </c>
      <c r="I722" t="n">
        <v>0</v>
      </c>
      <c r="J722" t="n">
        <v>0</v>
      </c>
      <c r="K722" t="n">
        <v>0</v>
      </c>
      <c r="L722" t="n">
        <v>0</v>
      </c>
      <c r="M722" t="n">
        <v>0</v>
      </c>
      <c r="N722" t="n">
        <v>0</v>
      </c>
      <c r="O722" t="n">
        <v>0</v>
      </c>
      <c r="P722" t="n">
        <v>0</v>
      </c>
      <c r="Q722" t="n">
        <v>0</v>
      </c>
      <c r="R722" s="2" t="inlineStr"/>
    </row>
    <row r="723" ht="15" customHeight="1">
      <c r="A723" t="inlineStr">
        <is>
          <t>A 56711-2023</t>
        </is>
      </c>
      <c r="B723" s="1" t="n">
        <v>45244</v>
      </c>
      <c r="C723" s="1" t="n">
        <v>45710</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56767-2023</t>
        </is>
      </c>
      <c r="B724" s="1" t="n">
        <v>45244</v>
      </c>
      <c r="C724" s="1" t="n">
        <v>45710</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56934-2023</t>
        </is>
      </c>
      <c r="B725" s="1" t="n">
        <v>45244</v>
      </c>
      <c r="C725" s="1" t="n">
        <v>45710</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57319-2023</t>
        </is>
      </c>
      <c r="B726" s="1" t="n">
        <v>45245</v>
      </c>
      <c r="C726" s="1" t="n">
        <v>45710</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57314-2023</t>
        </is>
      </c>
      <c r="B727" s="1" t="n">
        <v>45245</v>
      </c>
      <c r="C727" s="1" t="n">
        <v>45710</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57625-2023</t>
        </is>
      </c>
      <c r="B728" s="1" t="n">
        <v>45246</v>
      </c>
      <c r="C728" s="1" t="n">
        <v>45710</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57989-2023</t>
        </is>
      </c>
      <c r="B729" s="1" t="n">
        <v>45247</v>
      </c>
      <c r="C729" s="1" t="n">
        <v>45710</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45710</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58075-2023</t>
        </is>
      </c>
      <c r="B731" s="1" t="n">
        <v>45247</v>
      </c>
      <c r="C731" s="1" t="n">
        <v>45710</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57889-2023</t>
        </is>
      </c>
      <c r="B732" s="1" t="n">
        <v>45247</v>
      </c>
      <c r="C732" s="1" t="n">
        <v>45710</v>
      </c>
      <c r="D732" t="inlineStr">
        <is>
          <t>DALARNAS LÄN</t>
        </is>
      </c>
      <c r="E732" t="inlineStr">
        <is>
          <t>MORA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58972-2023</t>
        </is>
      </c>
      <c r="B733" s="1" t="n">
        <v>45252</v>
      </c>
      <c r="C733" s="1" t="n">
        <v>45710</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58977-2023</t>
        </is>
      </c>
      <c r="B734" s="1" t="n">
        <v>45252</v>
      </c>
      <c r="C734" s="1" t="n">
        <v>45710</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v>
      </c>
      <c r="C735" s="1" t="n">
        <v>45710</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59168-2023</t>
        </is>
      </c>
      <c r="B736" s="1" t="n">
        <v>45253</v>
      </c>
      <c r="C736" s="1" t="n">
        <v>45710</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59174-2023</t>
        </is>
      </c>
      <c r="B737" s="1" t="n">
        <v>45253</v>
      </c>
      <c r="C737" s="1" t="n">
        <v>45710</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59170-2023</t>
        </is>
      </c>
      <c r="B738" s="1" t="n">
        <v>45253</v>
      </c>
      <c r="C738" s="1" t="n">
        <v>45710</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59180-2023</t>
        </is>
      </c>
      <c r="B739" s="1" t="n">
        <v>45253</v>
      </c>
      <c r="C739" s="1" t="n">
        <v>45710</v>
      </c>
      <c r="D739" t="inlineStr">
        <is>
          <t>DALARNAS LÄN</t>
        </is>
      </c>
      <c r="E739" t="inlineStr">
        <is>
          <t>MORA</t>
        </is>
      </c>
      <c r="G739" t="n">
        <v>6</v>
      </c>
      <c r="H739" t="n">
        <v>0</v>
      </c>
      <c r="I739" t="n">
        <v>0</v>
      </c>
      <c r="J739" t="n">
        <v>0</v>
      </c>
      <c r="K739" t="n">
        <v>0</v>
      </c>
      <c r="L739" t="n">
        <v>0</v>
      </c>
      <c r="M739" t="n">
        <v>0</v>
      </c>
      <c r="N739" t="n">
        <v>0</v>
      </c>
      <c r="O739" t="n">
        <v>0</v>
      </c>
      <c r="P739" t="n">
        <v>0</v>
      </c>
      <c r="Q739" t="n">
        <v>0</v>
      </c>
      <c r="R739" s="2" t="inlineStr"/>
    </row>
    <row r="740" ht="15" customHeight="1">
      <c r="A740" t="inlineStr">
        <is>
          <t>A 59182-2023</t>
        </is>
      </c>
      <c r="B740" s="1" t="n">
        <v>45253</v>
      </c>
      <c r="C740" s="1" t="n">
        <v>45710</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59995-2023</t>
        </is>
      </c>
      <c r="B741" s="1" t="n">
        <v>45254</v>
      </c>
      <c r="C741" s="1" t="n">
        <v>45710</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59891-2023</t>
        </is>
      </c>
      <c r="B742" s="1" t="n">
        <v>45254</v>
      </c>
      <c r="C742" s="1" t="n">
        <v>45710</v>
      </c>
      <c r="D742" t="inlineStr">
        <is>
          <t>DALARNAS LÄN</t>
        </is>
      </c>
      <c r="E742" t="inlineStr">
        <is>
          <t>MORA</t>
        </is>
      </c>
      <c r="G742" t="n">
        <v>9</v>
      </c>
      <c r="H742" t="n">
        <v>0</v>
      </c>
      <c r="I742" t="n">
        <v>0</v>
      </c>
      <c r="J742" t="n">
        <v>0</v>
      </c>
      <c r="K742" t="n">
        <v>0</v>
      </c>
      <c r="L742" t="n">
        <v>0</v>
      </c>
      <c r="M742" t="n">
        <v>0</v>
      </c>
      <c r="N742" t="n">
        <v>0</v>
      </c>
      <c r="O742" t="n">
        <v>0</v>
      </c>
      <c r="P742" t="n">
        <v>0</v>
      </c>
      <c r="Q742" t="n">
        <v>0</v>
      </c>
      <c r="R742" s="2" t="inlineStr"/>
    </row>
    <row r="743" ht="15" customHeight="1">
      <c r="A743" t="inlineStr">
        <is>
          <t>A 59850-2023</t>
        </is>
      </c>
      <c r="B743" s="1" t="n">
        <v>45257</v>
      </c>
      <c r="C743" s="1" t="n">
        <v>45710</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59868-2023</t>
        </is>
      </c>
      <c r="B744" s="1" t="n">
        <v>45257</v>
      </c>
      <c r="C744" s="1" t="n">
        <v>45710</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60258-2023</t>
        </is>
      </c>
      <c r="B745" s="1" t="n">
        <v>45258</v>
      </c>
      <c r="C745" s="1" t="n">
        <v>45710</v>
      </c>
      <c r="D745" t="inlineStr">
        <is>
          <t>DALARNAS LÄN</t>
        </is>
      </c>
      <c r="E745" t="inlineStr">
        <is>
          <t>MORA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45710</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60526-2023</t>
        </is>
      </c>
      <c r="B747" s="1" t="n">
        <v>45259</v>
      </c>
      <c r="C747" s="1" t="n">
        <v>45710</v>
      </c>
      <c r="D747" t="inlineStr">
        <is>
          <t>DALARNAS LÄN</t>
        </is>
      </c>
      <c r="E747" t="inlineStr">
        <is>
          <t>MORA</t>
        </is>
      </c>
      <c r="G747" t="n">
        <v>6.7</v>
      </c>
      <c r="H747" t="n">
        <v>0</v>
      </c>
      <c r="I747" t="n">
        <v>0</v>
      </c>
      <c r="J747" t="n">
        <v>0</v>
      </c>
      <c r="K747" t="n">
        <v>0</v>
      </c>
      <c r="L747" t="n">
        <v>0</v>
      </c>
      <c r="M747" t="n">
        <v>0</v>
      </c>
      <c r="N747" t="n">
        <v>0</v>
      </c>
      <c r="O747" t="n">
        <v>0</v>
      </c>
      <c r="P747" t="n">
        <v>0</v>
      </c>
      <c r="Q747" t="n">
        <v>0</v>
      </c>
      <c r="R747" s="2" t="inlineStr"/>
    </row>
    <row r="748" ht="15" customHeight="1">
      <c r="A748" t="inlineStr">
        <is>
          <t>A 60428-2023</t>
        </is>
      </c>
      <c r="B748" s="1" t="n">
        <v>45259</v>
      </c>
      <c r="C748" s="1" t="n">
        <v>45710</v>
      </c>
      <c r="D748" t="inlineStr">
        <is>
          <t>DALARNAS LÄN</t>
        </is>
      </c>
      <c r="E748" t="inlineStr">
        <is>
          <t>MORA</t>
        </is>
      </c>
      <c r="G748" t="n">
        <v>4.9</v>
      </c>
      <c r="H748" t="n">
        <v>0</v>
      </c>
      <c r="I748" t="n">
        <v>0</v>
      </c>
      <c r="J748" t="n">
        <v>0</v>
      </c>
      <c r="K748" t="n">
        <v>0</v>
      </c>
      <c r="L748" t="n">
        <v>0</v>
      </c>
      <c r="M748" t="n">
        <v>0</v>
      </c>
      <c r="N748" t="n">
        <v>0</v>
      </c>
      <c r="O748" t="n">
        <v>0</v>
      </c>
      <c r="P748" t="n">
        <v>0</v>
      </c>
      <c r="Q748" t="n">
        <v>0</v>
      </c>
      <c r="R748" s="2" t="inlineStr"/>
    </row>
    <row r="749" ht="15" customHeight="1">
      <c r="A749" t="inlineStr">
        <is>
          <t>A 60465-2023</t>
        </is>
      </c>
      <c r="B749" s="1" t="n">
        <v>45259</v>
      </c>
      <c r="C749" s="1" t="n">
        <v>45710</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60666-2023</t>
        </is>
      </c>
      <c r="B750" s="1" t="n">
        <v>45260</v>
      </c>
      <c r="C750" s="1" t="n">
        <v>45710</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60674-2023</t>
        </is>
      </c>
      <c r="B751" s="1" t="n">
        <v>45260</v>
      </c>
      <c r="C751" s="1" t="n">
        <v>45710</v>
      </c>
      <c r="D751" t="inlineStr">
        <is>
          <t>DALARNAS LÄN</t>
        </is>
      </c>
      <c r="E751" t="inlineStr">
        <is>
          <t>MORA</t>
        </is>
      </c>
      <c r="G751" t="n">
        <v>2.9</v>
      </c>
      <c r="H751" t="n">
        <v>0</v>
      </c>
      <c r="I751" t="n">
        <v>0</v>
      </c>
      <c r="J751" t="n">
        <v>0</v>
      </c>
      <c r="K751" t="n">
        <v>0</v>
      </c>
      <c r="L751" t="n">
        <v>0</v>
      </c>
      <c r="M751" t="n">
        <v>0</v>
      </c>
      <c r="N751" t="n">
        <v>0</v>
      </c>
      <c r="O751" t="n">
        <v>0</v>
      </c>
      <c r="P751" t="n">
        <v>0</v>
      </c>
      <c r="Q751" t="n">
        <v>0</v>
      </c>
      <c r="R751" s="2" t="inlineStr"/>
    </row>
    <row r="752" ht="15" customHeight="1">
      <c r="A752" t="inlineStr">
        <is>
          <t>A 60673-2023</t>
        </is>
      </c>
      <c r="B752" s="1" t="n">
        <v>45260</v>
      </c>
      <c r="C752" s="1" t="n">
        <v>45710</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v>
      </c>
      <c r="C753" s="1" t="n">
        <v>45710</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60718-2023</t>
        </is>
      </c>
      <c r="B754" s="1" t="n">
        <v>45260</v>
      </c>
      <c r="C754" s="1" t="n">
        <v>45710</v>
      </c>
      <c r="D754" t="inlineStr">
        <is>
          <t>DALARNAS LÄN</t>
        </is>
      </c>
      <c r="E754" t="inlineStr">
        <is>
          <t>MORA</t>
        </is>
      </c>
      <c r="G754" t="n">
        <v>2.6</v>
      </c>
      <c r="H754" t="n">
        <v>0</v>
      </c>
      <c r="I754" t="n">
        <v>0</v>
      </c>
      <c r="J754" t="n">
        <v>0</v>
      </c>
      <c r="K754" t="n">
        <v>0</v>
      </c>
      <c r="L754" t="n">
        <v>0</v>
      </c>
      <c r="M754" t="n">
        <v>0</v>
      </c>
      <c r="N754" t="n">
        <v>0</v>
      </c>
      <c r="O754" t="n">
        <v>0</v>
      </c>
      <c r="P754" t="n">
        <v>0</v>
      </c>
      <c r="Q754" t="n">
        <v>0</v>
      </c>
      <c r="R754" s="2" t="inlineStr"/>
    </row>
    <row r="755" ht="15" customHeight="1">
      <c r="A755" t="inlineStr">
        <is>
          <t>A 61249-2023</t>
        </is>
      </c>
      <c r="B755" s="1" t="n">
        <v>45264</v>
      </c>
      <c r="C755" s="1" t="n">
        <v>45710</v>
      </c>
      <c r="D755" t="inlineStr">
        <is>
          <t>DALARNAS LÄN</t>
        </is>
      </c>
      <c r="E755" t="inlineStr">
        <is>
          <t>MORA</t>
        </is>
      </c>
      <c r="F755" t="inlineStr">
        <is>
          <t>Allmännings- och besparingsskogar</t>
        </is>
      </c>
      <c r="G755" t="n">
        <v>1.7</v>
      </c>
      <c r="H755" t="n">
        <v>0</v>
      </c>
      <c r="I755" t="n">
        <v>0</v>
      </c>
      <c r="J755" t="n">
        <v>0</v>
      </c>
      <c r="K755" t="n">
        <v>0</v>
      </c>
      <c r="L755" t="n">
        <v>0</v>
      </c>
      <c r="M755" t="n">
        <v>0</v>
      </c>
      <c r="N755" t="n">
        <v>0</v>
      </c>
      <c r="O755" t="n">
        <v>0</v>
      </c>
      <c r="P755" t="n">
        <v>0</v>
      </c>
      <c r="Q755" t="n">
        <v>0</v>
      </c>
      <c r="R755" s="2" t="inlineStr"/>
    </row>
    <row r="756" ht="15" customHeight="1">
      <c r="A756" t="inlineStr">
        <is>
          <t>A 61405-2023</t>
        </is>
      </c>
      <c r="B756" s="1" t="n">
        <v>45264</v>
      </c>
      <c r="C756" s="1" t="n">
        <v>45710</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61273-2023</t>
        </is>
      </c>
      <c r="B757" s="1" t="n">
        <v>45264</v>
      </c>
      <c r="C757" s="1" t="n">
        <v>45710</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61217-2023</t>
        </is>
      </c>
      <c r="B758" s="1" t="n">
        <v>45264</v>
      </c>
      <c r="C758" s="1" t="n">
        <v>45710</v>
      </c>
      <c r="D758" t="inlineStr">
        <is>
          <t>DALARNAS LÄN</t>
        </is>
      </c>
      <c r="E758" t="inlineStr">
        <is>
          <t>MORA</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61261-2023</t>
        </is>
      </c>
      <c r="B759" s="1" t="n">
        <v>45264</v>
      </c>
      <c r="C759" s="1" t="n">
        <v>45710</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61270-2023</t>
        </is>
      </c>
      <c r="B760" s="1" t="n">
        <v>45264</v>
      </c>
      <c r="C760" s="1" t="n">
        <v>45710</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61392-2023</t>
        </is>
      </c>
      <c r="B761" s="1" t="n">
        <v>45264</v>
      </c>
      <c r="C761" s="1" t="n">
        <v>45710</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61209-2023</t>
        </is>
      </c>
      <c r="B762" s="1" t="n">
        <v>45264</v>
      </c>
      <c r="C762" s="1" t="n">
        <v>45710</v>
      </c>
      <c r="D762" t="inlineStr">
        <is>
          <t>DALARNAS LÄN</t>
        </is>
      </c>
      <c r="E762" t="inlineStr">
        <is>
          <t>MORA</t>
        </is>
      </c>
      <c r="F762" t="inlineStr">
        <is>
          <t>Bergvik skog öst AB</t>
        </is>
      </c>
      <c r="G762" t="n">
        <v>4.8</v>
      </c>
      <c r="H762" t="n">
        <v>0</v>
      </c>
      <c r="I762" t="n">
        <v>0</v>
      </c>
      <c r="J762" t="n">
        <v>0</v>
      </c>
      <c r="K762" t="n">
        <v>0</v>
      </c>
      <c r="L762" t="n">
        <v>0</v>
      </c>
      <c r="M762" t="n">
        <v>0</v>
      </c>
      <c r="N762" t="n">
        <v>0</v>
      </c>
      <c r="O762" t="n">
        <v>0</v>
      </c>
      <c r="P762" t="n">
        <v>0</v>
      </c>
      <c r="Q762" t="n">
        <v>0</v>
      </c>
      <c r="R762" s="2" t="inlineStr"/>
    </row>
    <row r="763" ht="15" customHeight="1">
      <c r="A763" t="inlineStr">
        <is>
          <t>A 61218-2023</t>
        </is>
      </c>
      <c r="B763" s="1" t="n">
        <v>45264</v>
      </c>
      <c r="C763" s="1" t="n">
        <v>45710</v>
      </c>
      <c r="D763" t="inlineStr">
        <is>
          <t>DALARNAS LÄN</t>
        </is>
      </c>
      <c r="E763" t="inlineStr">
        <is>
          <t>MORA</t>
        </is>
      </c>
      <c r="F763" t="inlineStr">
        <is>
          <t>Allmännings- och besparingsskogar</t>
        </is>
      </c>
      <c r="G763" t="n">
        <v>2.6</v>
      </c>
      <c r="H763" t="n">
        <v>0</v>
      </c>
      <c r="I763" t="n">
        <v>0</v>
      </c>
      <c r="J763" t="n">
        <v>0</v>
      </c>
      <c r="K763" t="n">
        <v>0</v>
      </c>
      <c r="L763" t="n">
        <v>0</v>
      </c>
      <c r="M763" t="n">
        <v>0</v>
      </c>
      <c r="N763" t="n">
        <v>0</v>
      </c>
      <c r="O763" t="n">
        <v>0</v>
      </c>
      <c r="P763" t="n">
        <v>0</v>
      </c>
      <c r="Q763" t="n">
        <v>0</v>
      </c>
      <c r="R763" s="2" t="inlineStr"/>
    </row>
    <row r="764" ht="15" customHeight="1">
      <c r="A764" t="inlineStr">
        <is>
          <t>A 61222-2023</t>
        </is>
      </c>
      <c r="B764" s="1" t="n">
        <v>45264</v>
      </c>
      <c r="C764" s="1" t="n">
        <v>45710</v>
      </c>
      <c r="D764" t="inlineStr">
        <is>
          <t>DALARNAS LÄN</t>
        </is>
      </c>
      <c r="E764" t="inlineStr">
        <is>
          <t>MORA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61425-2023</t>
        </is>
      </c>
      <c r="B765" s="1" t="n">
        <v>45264</v>
      </c>
      <c r="C765" s="1" t="n">
        <v>45710</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61529-2023</t>
        </is>
      </c>
      <c r="B766" s="1" t="n">
        <v>45265</v>
      </c>
      <c r="C766" s="1" t="n">
        <v>45710</v>
      </c>
      <c r="D766" t="inlineStr">
        <is>
          <t>DALARNAS LÄN</t>
        </is>
      </c>
      <c r="E766" t="inlineStr">
        <is>
          <t>MORA</t>
        </is>
      </c>
      <c r="G766" t="n">
        <v>29.6</v>
      </c>
      <c r="H766" t="n">
        <v>0</v>
      </c>
      <c r="I766" t="n">
        <v>0</v>
      </c>
      <c r="J766" t="n">
        <v>0</v>
      </c>
      <c r="K766" t="n">
        <v>0</v>
      </c>
      <c r="L766" t="n">
        <v>0</v>
      </c>
      <c r="M766" t="n">
        <v>0</v>
      </c>
      <c r="N766" t="n">
        <v>0</v>
      </c>
      <c r="O766" t="n">
        <v>0</v>
      </c>
      <c r="P766" t="n">
        <v>0</v>
      </c>
      <c r="Q766" t="n">
        <v>0</v>
      </c>
      <c r="R766" s="2" t="inlineStr"/>
    </row>
    <row r="767" ht="15" customHeight="1">
      <c r="A767" t="inlineStr">
        <is>
          <t>A 61990-2023</t>
        </is>
      </c>
      <c r="B767" s="1" t="n">
        <v>45265</v>
      </c>
      <c r="C767" s="1" t="n">
        <v>45710</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61998-2023</t>
        </is>
      </c>
      <c r="B768" s="1" t="n">
        <v>45265</v>
      </c>
      <c r="C768" s="1" t="n">
        <v>45710</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61922-2023</t>
        </is>
      </c>
      <c r="B769" s="1" t="n">
        <v>45266</v>
      </c>
      <c r="C769" s="1" t="n">
        <v>45710</v>
      </c>
      <c r="D769" t="inlineStr">
        <is>
          <t>DALARNAS LÄN</t>
        </is>
      </c>
      <c r="E769" t="inlineStr">
        <is>
          <t>MORA</t>
        </is>
      </c>
      <c r="G769" t="n">
        <v>4.9</v>
      </c>
      <c r="H769" t="n">
        <v>0</v>
      </c>
      <c r="I769" t="n">
        <v>0</v>
      </c>
      <c r="J769" t="n">
        <v>0</v>
      </c>
      <c r="K769" t="n">
        <v>0</v>
      </c>
      <c r="L769" t="n">
        <v>0</v>
      </c>
      <c r="M769" t="n">
        <v>0</v>
      </c>
      <c r="N769" t="n">
        <v>0</v>
      </c>
      <c r="O769" t="n">
        <v>0</v>
      </c>
      <c r="P769" t="n">
        <v>0</v>
      </c>
      <c r="Q769" t="n">
        <v>0</v>
      </c>
      <c r="R769" s="2" t="inlineStr"/>
    </row>
    <row r="770" ht="15" customHeight="1">
      <c r="A770" t="inlineStr">
        <is>
          <t>A 62246-2023</t>
        </is>
      </c>
      <c r="B770" s="1" t="n">
        <v>45266</v>
      </c>
      <c r="C770" s="1" t="n">
        <v>45710</v>
      </c>
      <c r="D770" t="inlineStr">
        <is>
          <t>DALARNAS LÄN</t>
        </is>
      </c>
      <c r="E770" t="inlineStr">
        <is>
          <t>MORA</t>
        </is>
      </c>
      <c r="G770" t="n">
        <v>10.7</v>
      </c>
      <c r="H770" t="n">
        <v>0</v>
      </c>
      <c r="I770" t="n">
        <v>0</v>
      </c>
      <c r="J770" t="n">
        <v>0</v>
      </c>
      <c r="K770" t="n">
        <v>0</v>
      </c>
      <c r="L770" t="n">
        <v>0</v>
      </c>
      <c r="M770" t="n">
        <v>0</v>
      </c>
      <c r="N770" t="n">
        <v>0</v>
      </c>
      <c r="O770" t="n">
        <v>0</v>
      </c>
      <c r="P770" t="n">
        <v>0</v>
      </c>
      <c r="Q770" t="n">
        <v>0</v>
      </c>
      <c r="R770" s="2" t="inlineStr"/>
    </row>
    <row r="771" ht="15" customHeight="1">
      <c r="A771" t="inlineStr">
        <is>
          <t>A 62660-2023</t>
        </is>
      </c>
      <c r="B771" s="1" t="n">
        <v>45271</v>
      </c>
      <c r="C771" s="1" t="n">
        <v>45710</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62853-2023</t>
        </is>
      </c>
      <c r="B772" s="1" t="n">
        <v>45272</v>
      </c>
      <c r="C772" s="1" t="n">
        <v>45710</v>
      </c>
      <c r="D772" t="inlineStr">
        <is>
          <t>DALARNAS LÄN</t>
        </is>
      </c>
      <c r="E772" t="inlineStr">
        <is>
          <t>MORA</t>
        </is>
      </c>
      <c r="G772" t="n">
        <v>13.6</v>
      </c>
      <c r="H772" t="n">
        <v>0</v>
      </c>
      <c r="I772" t="n">
        <v>0</v>
      </c>
      <c r="J772" t="n">
        <v>0</v>
      </c>
      <c r="K772" t="n">
        <v>0</v>
      </c>
      <c r="L772" t="n">
        <v>0</v>
      </c>
      <c r="M772" t="n">
        <v>0</v>
      </c>
      <c r="N772" t="n">
        <v>0</v>
      </c>
      <c r="O772" t="n">
        <v>0</v>
      </c>
      <c r="P772" t="n">
        <v>0</v>
      </c>
      <c r="Q772" t="n">
        <v>0</v>
      </c>
      <c r="R772" s="2" t="inlineStr"/>
    </row>
    <row r="773" ht="15" customHeight="1">
      <c r="A773" t="inlineStr">
        <is>
          <t>A 62854-2023</t>
        </is>
      </c>
      <c r="B773" s="1" t="n">
        <v>45272</v>
      </c>
      <c r="C773" s="1" t="n">
        <v>45710</v>
      </c>
      <c r="D773" t="inlineStr">
        <is>
          <t>DALARNAS LÄN</t>
        </is>
      </c>
      <c r="E773" t="inlineStr">
        <is>
          <t>MORA</t>
        </is>
      </c>
      <c r="G773" t="n">
        <v>11.3</v>
      </c>
      <c r="H773" t="n">
        <v>0</v>
      </c>
      <c r="I773" t="n">
        <v>0</v>
      </c>
      <c r="J773" t="n">
        <v>0</v>
      </c>
      <c r="K773" t="n">
        <v>0</v>
      </c>
      <c r="L773" t="n">
        <v>0</v>
      </c>
      <c r="M773" t="n">
        <v>0</v>
      </c>
      <c r="N773" t="n">
        <v>0</v>
      </c>
      <c r="O773" t="n">
        <v>0</v>
      </c>
      <c r="P773" t="n">
        <v>0</v>
      </c>
      <c r="Q773" t="n">
        <v>0</v>
      </c>
      <c r="R773" s="2" t="inlineStr"/>
    </row>
    <row r="774" ht="15" customHeight="1">
      <c r="A774" t="inlineStr">
        <is>
          <t>A 63168-2023</t>
        </is>
      </c>
      <c r="B774" s="1" t="n">
        <v>45273</v>
      </c>
      <c r="C774" s="1" t="n">
        <v>45710</v>
      </c>
      <c r="D774" t="inlineStr">
        <is>
          <t>DALARNAS LÄN</t>
        </is>
      </c>
      <c r="E774" t="inlineStr">
        <is>
          <t>MORA</t>
        </is>
      </c>
      <c r="G774" t="n">
        <v>4</v>
      </c>
      <c r="H774" t="n">
        <v>0</v>
      </c>
      <c r="I774" t="n">
        <v>0</v>
      </c>
      <c r="J774" t="n">
        <v>0</v>
      </c>
      <c r="K774" t="n">
        <v>0</v>
      </c>
      <c r="L774" t="n">
        <v>0</v>
      </c>
      <c r="M774" t="n">
        <v>0</v>
      </c>
      <c r="N774" t="n">
        <v>0</v>
      </c>
      <c r="O774" t="n">
        <v>0</v>
      </c>
      <c r="P774" t="n">
        <v>0</v>
      </c>
      <c r="Q774" t="n">
        <v>0</v>
      </c>
      <c r="R774" s="2" t="inlineStr"/>
    </row>
    <row r="775" ht="15" customHeight="1">
      <c r="A775" t="inlineStr">
        <is>
          <t>A 63958-2023</t>
        </is>
      </c>
      <c r="B775" s="1" t="n">
        <v>45278</v>
      </c>
      <c r="C775" s="1" t="n">
        <v>45710</v>
      </c>
      <c r="D775" t="inlineStr">
        <is>
          <t>DALARNAS LÄN</t>
        </is>
      </c>
      <c r="E775" t="inlineStr">
        <is>
          <t>MORA</t>
        </is>
      </c>
      <c r="G775" t="n">
        <v>1.9</v>
      </c>
      <c r="H775" t="n">
        <v>0</v>
      </c>
      <c r="I775" t="n">
        <v>0</v>
      </c>
      <c r="J775" t="n">
        <v>0</v>
      </c>
      <c r="K775" t="n">
        <v>0</v>
      </c>
      <c r="L775" t="n">
        <v>0</v>
      </c>
      <c r="M775" t="n">
        <v>0</v>
      </c>
      <c r="N775" t="n">
        <v>0</v>
      </c>
      <c r="O775" t="n">
        <v>0</v>
      </c>
      <c r="P775" t="n">
        <v>0</v>
      </c>
      <c r="Q775" t="n">
        <v>0</v>
      </c>
      <c r="R775" s="2" t="inlineStr"/>
    </row>
    <row r="776" ht="15" customHeight="1">
      <c r="A776" t="inlineStr">
        <is>
          <t>A 64099-2023</t>
        </is>
      </c>
      <c r="B776" s="1" t="n">
        <v>45279</v>
      </c>
      <c r="C776" s="1" t="n">
        <v>45710</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64088-2023</t>
        </is>
      </c>
      <c r="B777" s="1" t="n">
        <v>45279</v>
      </c>
      <c r="C777" s="1" t="n">
        <v>45710</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64093-2023</t>
        </is>
      </c>
      <c r="B778" s="1" t="n">
        <v>45279</v>
      </c>
      <c r="C778" s="1" t="n">
        <v>45710</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64327-2023</t>
        </is>
      </c>
      <c r="B779" s="1" t="n">
        <v>45280</v>
      </c>
      <c r="C779" s="1" t="n">
        <v>45710</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439-2024</t>
        </is>
      </c>
      <c r="B780" s="1" t="n">
        <v>45296</v>
      </c>
      <c r="C780" s="1" t="n">
        <v>45710</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442-2024</t>
        </is>
      </c>
      <c r="B781" s="1" t="n">
        <v>45296</v>
      </c>
      <c r="C781" s="1" t="n">
        <v>45710</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437-2024</t>
        </is>
      </c>
      <c r="B782" s="1" t="n">
        <v>45296</v>
      </c>
      <c r="C782" s="1" t="n">
        <v>45710</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501-2024</t>
        </is>
      </c>
      <c r="B783" s="1" t="n">
        <v>45299</v>
      </c>
      <c r="C783" s="1" t="n">
        <v>45710</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571-2024</t>
        </is>
      </c>
      <c r="B784" s="1" t="n">
        <v>45299</v>
      </c>
      <c r="C784" s="1" t="n">
        <v>45710</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573-2024</t>
        </is>
      </c>
      <c r="B785" s="1" t="n">
        <v>45299</v>
      </c>
      <c r="C785" s="1" t="n">
        <v>45710</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2084-2024</t>
        </is>
      </c>
      <c r="B786" s="1" t="n">
        <v>45309</v>
      </c>
      <c r="C786" s="1" t="n">
        <v>45710</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2276-2024</t>
        </is>
      </c>
      <c r="B787" s="1" t="n">
        <v>45310</v>
      </c>
      <c r="C787" s="1" t="n">
        <v>45710</v>
      </c>
      <c r="D787" t="inlineStr">
        <is>
          <t>DALARNAS LÄN</t>
        </is>
      </c>
      <c r="E787" t="inlineStr">
        <is>
          <t>MORA</t>
        </is>
      </c>
      <c r="G787" t="n">
        <v>3.7</v>
      </c>
      <c r="H787" t="n">
        <v>0</v>
      </c>
      <c r="I787" t="n">
        <v>0</v>
      </c>
      <c r="J787" t="n">
        <v>0</v>
      </c>
      <c r="K787" t="n">
        <v>0</v>
      </c>
      <c r="L787" t="n">
        <v>0</v>
      </c>
      <c r="M787" t="n">
        <v>0</v>
      </c>
      <c r="N787" t="n">
        <v>0</v>
      </c>
      <c r="O787" t="n">
        <v>0</v>
      </c>
      <c r="P787" t="n">
        <v>0</v>
      </c>
      <c r="Q787" t="n">
        <v>0</v>
      </c>
      <c r="R787" s="2" t="inlineStr"/>
    </row>
    <row r="788" ht="15" customHeight="1">
      <c r="A788" t="inlineStr">
        <is>
          <t>A 2292-2024</t>
        </is>
      </c>
      <c r="B788" s="1" t="n">
        <v>45310</v>
      </c>
      <c r="C788" s="1" t="n">
        <v>45710</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3107-2024</t>
        </is>
      </c>
      <c r="B789" s="1" t="n">
        <v>45316</v>
      </c>
      <c r="C789" s="1" t="n">
        <v>45710</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3219-2024</t>
        </is>
      </c>
      <c r="B790" s="1" t="n">
        <v>45316</v>
      </c>
      <c r="C790" s="1" t="n">
        <v>45710</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3322-2024</t>
        </is>
      </c>
      <c r="B791" s="1" t="n">
        <v>45317</v>
      </c>
      <c r="C791" s="1" t="n">
        <v>45710</v>
      </c>
      <c r="D791" t="inlineStr">
        <is>
          <t>DALARNAS LÄN</t>
        </is>
      </c>
      <c r="E791" t="inlineStr">
        <is>
          <t>MORA</t>
        </is>
      </c>
      <c r="G791" t="n">
        <v>3.8</v>
      </c>
      <c r="H791" t="n">
        <v>0</v>
      </c>
      <c r="I791" t="n">
        <v>0</v>
      </c>
      <c r="J791" t="n">
        <v>0</v>
      </c>
      <c r="K791" t="n">
        <v>0</v>
      </c>
      <c r="L791" t="n">
        <v>0</v>
      </c>
      <c r="M791" t="n">
        <v>0</v>
      </c>
      <c r="N791" t="n">
        <v>0</v>
      </c>
      <c r="O791" t="n">
        <v>0</v>
      </c>
      <c r="P791" t="n">
        <v>0</v>
      </c>
      <c r="Q791" t="n">
        <v>0</v>
      </c>
      <c r="R791" s="2" t="inlineStr"/>
    </row>
    <row r="792" ht="15" customHeight="1">
      <c r="A792" t="inlineStr">
        <is>
          <t>A 3531-2024</t>
        </is>
      </c>
      <c r="B792" s="1" t="n">
        <v>45320</v>
      </c>
      <c r="C792" s="1" t="n">
        <v>45710</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c r="U792">
        <f>HYPERLINK("https://klasma.github.io/Logging_2062/knärot/A 3531-2024 karta knärot.png", "A 3531-2024")</f>
        <v/>
      </c>
      <c r="V792">
        <f>HYPERLINK("https://klasma.github.io/Logging_2062/klagomål/A 3531-2024 FSC-klagomål.docx", "A 3531-2024")</f>
        <v/>
      </c>
      <c r="W792">
        <f>HYPERLINK("https://klasma.github.io/Logging_2062/klagomålsmail/A 3531-2024 FSC-klagomål mail.docx", "A 3531-2024")</f>
        <v/>
      </c>
      <c r="X792">
        <f>HYPERLINK("https://klasma.github.io/Logging_2062/tillsyn/A 3531-2024 tillsynsbegäran.docx", "A 3531-2024")</f>
        <v/>
      </c>
      <c r="Y792">
        <f>HYPERLINK("https://klasma.github.io/Logging_2062/tillsynsmail/A 3531-2024 tillsynsbegäran mail.docx", "A 3531-2024")</f>
        <v/>
      </c>
    </row>
    <row r="793" ht="15" customHeight="1">
      <c r="A793" t="inlineStr">
        <is>
          <t>A 4479-2024</t>
        </is>
      </c>
      <c r="B793" s="1" t="n">
        <v>45327</v>
      </c>
      <c r="C793" s="1" t="n">
        <v>45710</v>
      </c>
      <c r="D793" t="inlineStr">
        <is>
          <t>DALARNAS LÄN</t>
        </is>
      </c>
      <c r="E793" t="inlineStr">
        <is>
          <t>MORA</t>
        </is>
      </c>
      <c r="G793" t="n">
        <v>4.1</v>
      </c>
      <c r="H793" t="n">
        <v>0</v>
      </c>
      <c r="I793" t="n">
        <v>0</v>
      </c>
      <c r="J793" t="n">
        <v>0</v>
      </c>
      <c r="K793" t="n">
        <v>0</v>
      </c>
      <c r="L793" t="n">
        <v>0</v>
      </c>
      <c r="M793" t="n">
        <v>0</v>
      </c>
      <c r="N793" t="n">
        <v>0</v>
      </c>
      <c r="O793" t="n">
        <v>0</v>
      </c>
      <c r="P793" t="n">
        <v>0</v>
      </c>
      <c r="Q793" t="n">
        <v>0</v>
      </c>
      <c r="R793" s="2" t="inlineStr"/>
    </row>
    <row r="794" ht="15" customHeight="1">
      <c r="A794" t="inlineStr">
        <is>
          <t>A 4773-2024</t>
        </is>
      </c>
      <c r="B794" s="1" t="n">
        <v>45328</v>
      </c>
      <c r="C794" s="1" t="n">
        <v>45710</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5217-2024</t>
        </is>
      </c>
      <c r="B795" s="1" t="n">
        <v>45330</v>
      </c>
      <c r="C795" s="1" t="n">
        <v>45710</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5461-2024</t>
        </is>
      </c>
      <c r="B796" s="1" t="n">
        <v>45332</v>
      </c>
      <c r="C796" s="1" t="n">
        <v>45710</v>
      </c>
      <c r="D796" t="inlineStr">
        <is>
          <t>DALARNAS LÄN</t>
        </is>
      </c>
      <c r="E796" t="inlineStr">
        <is>
          <t>MORA</t>
        </is>
      </c>
      <c r="G796" t="n">
        <v>6.7</v>
      </c>
      <c r="H796" t="n">
        <v>0</v>
      </c>
      <c r="I796" t="n">
        <v>0</v>
      </c>
      <c r="J796" t="n">
        <v>0</v>
      </c>
      <c r="K796" t="n">
        <v>0</v>
      </c>
      <c r="L796" t="n">
        <v>0</v>
      </c>
      <c r="M796" t="n">
        <v>0</v>
      </c>
      <c r="N796" t="n">
        <v>0</v>
      </c>
      <c r="O796" t="n">
        <v>0</v>
      </c>
      <c r="P796" t="n">
        <v>0</v>
      </c>
      <c r="Q796" t="n">
        <v>0</v>
      </c>
      <c r="R796" s="2" t="inlineStr"/>
    </row>
    <row r="797" ht="15" customHeight="1">
      <c r="A797" t="inlineStr">
        <is>
          <t>A 5542-2024</t>
        </is>
      </c>
      <c r="B797" s="1" t="n">
        <v>45334</v>
      </c>
      <c r="C797" s="1" t="n">
        <v>45710</v>
      </c>
      <c r="D797" t="inlineStr">
        <is>
          <t>DALARNAS LÄN</t>
        </is>
      </c>
      <c r="E797" t="inlineStr">
        <is>
          <t>MORA</t>
        </is>
      </c>
      <c r="F797" t="inlineStr">
        <is>
          <t>Kommuner</t>
        </is>
      </c>
      <c r="G797" t="n">
        <v>0.1</v>
      </c>
      <c r="H797" t="n">
        <v>0</v>
      </c>
      <c r="I797" t="n">
        <v>0</v>
      </c>
      <c r="J797" t="n">
        <v>0</v>
      </c>
      <c r="K797" t="n">
        <v>0</v>
      </c>
      <c r="L797" t="n">
        <v>0</v>
      </c>
      <c r="M797" t="n">
        <v>0</v>
      </c>
      <c r="N797" t="n">
        <v>0</v>
      </c>
      <c r="O797" t="n">
        <v>0</v>
      </c>
      <c r="P797" t="n">
        <v>0</v>
      </c>
      <c r="Q797" t="n">
        <v>0</v>
      </c>
      <c r="R797" s="2" t="inlineStr"/>
    </row>
    <row r="798" ht="15" customHeight="1">
      <c r="A798" t="inlineStr">
        <is>
          <t>A 5527-2024</t>
        </is>
      </c>
      <c r="B798" s="1" t="n">
        <v>45334</v>
      </c>
      <c r="C798" s="1" t="n">
        <v>45710</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5532-2024</t>
        </is>
      </c>
      <c r="B799" s="1" t="n">
        <v>45334</v>
      </c>
      <c r="C799" s="1" t="n">
        <v>45710</v>
      </c>
      <c r="D799" t="inlineStr">
        <is>
          <t>DALARNAS LÄN</t>
        </is>
      </c>
      <c r="E799" t="inlineStr">
        <is>
          <t>MORA</t>
        </is>
      </c>
      <c r="G799" t="n">
        <v>8.4</v>
      </c>
      <c r="H799" t="n">
        <v>0</v>
      </c>
      <c r="I799" t="n">
        <v>0</v>
      </c>
      <c r="J799" t="n">
        <v>0</v>
      </c>
      <c r="K799" t="n">
        <v>0</v>
      </c>
      <c r="L799" t="n">
        <v>0</v>
      </c>
      <c r="M799" t="n">
        <v>0</v>
      </c>
      <c r="N799" t="n">
        <v>0</v>
      </c>
      <c r="O799" t="n">
        <v>0</v>
      </c>
      <c r="P799" t="n">
        <v>0</v>
      </c>
      <c r="Q799" t="n">
        <v>0</v>
      </c>
      <c r="R799" s="2" t="inlineStr"/>
    </row>
    <row r="800" ht="15" customHeight="1">
      <c r="A800" t="inlineStr">
        <is>
          <t>A 5540-2024</t>
        </is>
      </c>
      <c r="B800" s="1" t="n">
        <v>45334</v>
      </c>
      <c r="C800" s="1" t="n">
        <v>45710</v>
      </c>
      <c r="D800" t="inlineStr">
        <is>
          <t>DALARNAS LÄN</t>
        </is>
      </c>
      <c r="E800" t="inlineStr">
        <is>
          <t>MORA</t>
        </is>
      </c>
      <c r="G800" t="n">
        <v>1.1</v>
      </c>
      <c r="H800" t="n">
        <v>0</v>
      </c>
      <c r="I800" t="n">
        <v>0</v>
      </c>
      <c r="J800" t="n">
        <v>0</v>
      </c>
      <c r="K800" t="n">
        <v>0</v>
      </c>
      <c r="L800" t="n">
        <v>0</v>
      </c>
      <c r="M800" t="n">
        <v>0</v>
      </c>
      <c r="N800" t="n">
        <v>0</v>
      </c>
      <c r="O800" t="n">
        <v>0</v>
      </c>
      <c r="P800" t="n">
        <v>0</v>
      </c>
      <c r="Q800" t="n">
        <v>0</v>
      </c>
      <c r="R800" s="2" t="inlineStr"/>
    </row>
    <row r="801" ht="15" customHeight="1">
      <c r="A801" t="inlineStr">
        <is>
          <t>A 5541-2024</t>
        </is>
      </c>
      <c r="B801" s="1" t="n">
        <v>45334</v>
      </c>
      <c r="C801" s="1" t="n">
        <v>45710</v>
      </c>
      <c r="D801" t="inlineStr">
        <is>
          <t>DALARNAS LÄN</t>
        </is>
      </c>
      <c r="E801" t="inlineStr">
        <is>
          <t>MORA</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5644-2024</t>
        </is>
      </c>
      <c r="B802" s="1" t="n">
        <v>45334</v>
      </c>
      <c r="C802" s="1" t="n">
        <v>45710</v>
      </c>
      <c r="D802" t="inlineStr">
        <is>
          <t>DALARNAS LÄN</t>
        </is>
      </c>
      <c r="E802" t="inlineStr">
        <is>
          <t>MORA</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6007-2024</t>
        </is>
      </c>
      <c r="B803" s="1" t="n">
        <v>45336</v>
      </c>
      <c r="C803" s="1" t="n">
        <v>45710</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6183-2024</t>
        </is>
      </c>
      <c r="B804" s="1" t="n">
        <v>45337</v>
      </c>
      <c r="C804" s="1" t="n">
        <v>45710</v>
      </c>
      <c r="D804" t="inlineStr">
        <is>
          <t>DALARNAS LÄN</t>
        </is>
      </c>
      <c r="E804" t="inlineStr">
        <is>
          <t>MORA</t>
        </is>
      </c>
      <c r="G804" t="n">
        <v>7.9</v>
      </c>
      <c r="H804" t="n">
        <v>0</v>
      </c>
      <c r="I804" t="n">
        <v>0</v>
      </c>
      <c r="J804" t="n">
        <v>0</v>
      </c>
      <c r="K804" t="n">
        <v>0</v>
      </c>
      <c r="L804" t="n">
        <v>0</v>
      </c>
      <c r="M804" t="n">
        <v>0</v>
      </c>
      <c r="N804" t="n">
        <v>0</v>
      </c>
      <c r="O804" t="n">
        <v>0</v>
      </c>
      <c r="P804" t="n">
        <v>0</v>
      </c>
      <c r="Q804" t="n">
        <v>0</v>
      </c>
      <c r="R804" s="2" t="inlineStr"/>
    </row>
    <row r="805" ht="15" customHeight="1">
      <c r="A805" t="inlineStr">
        <is>
          <t>A 6175-2024</t>
        </is>
      </c>
      <c r="B805" s="1" t="n">
        <v>45337</v>
      </c>
      <c r="C805" s="1" t="n">
        <v>45710</v>
      </c>
      <c r="D805" t="inlineStr">
        <is>
          <t>DALARNAS LÄN</t>
        </is>
      </c>
      <c r="E805" t="inlineStr">
        <is>
          <t>MORA</t>
        </is>
      </c>
      <c r="G805" t="n">
        <v>16.1</v>
      </c>
      <c r="H805" t="n">
        <v>0</v>
      </c>
      <c r="I805" t="n">
        <v>0</v>
      </c>
      <c r="J805" t="n">
        <v>0</v>
      </c>
      <c r="K805" t="n">
        <v>0</v>
      </c>
      <c r="L805" t="n">
        <v>0</v>
      </c>
      <c r="M805" t="n">
        <v>0</v>
      </c>
      <c r="N805" t="n">
        <v>0</v>
      </c>
      <c r="O805" t="n">
        <v>0</v>
      </c>
      <c r="P805" t="n">
        <v>0</v>
      </c>
      <c r="Q805" t="n">
        <v>0</v>
      </c>
      <c r="R805" s="2" t="inlineStr"/>
    </row>
    <row r="806" ht="15" customHeight="1">
      <c r="A806" t="inlineStr">
        <is>
          <t>A 7116-2024</t>
        </is>
      </c>
      <c r="B806" s="1" t="n">
        <v>45343</v>
      </c>
      <c r="C806" s="1" t="n">
        <v>45710</v>
      </c>
      <c r="D806" t="inlineStr">
        <is>
          <t>DALARNAS LÄN</t>
        </is>
      </c>
      <c r="E806" t="inlineStr">
        <is>
          <t>MORA</t>
        </is>
      </c>
      <c r="G806" t="n">
        <v>0.3</v>
      </c>
      <c r="H806" t="n">
        <v>0</v>
      </c>
      <c r="I806" t="n">
        <v>0</v>
      </c>
      <c r="J806" t="n">
        <v>0</v>
      </c>
      <c r="K806" t="n">
        <v>0</v>
      </c>
      <c r="L806" t="n">
        <v>0</v>
      </c>
      <c r="M806" t="n">
        <v>0</v>
      </c>
      <c r="N806" t="n">
        <v>0</v>
      </c>
      <c r="O806" t="n">
        <v>0</v>
      </c>
      <c r="P806" t="n">
        <v>0</v>
      </c>
      <c r="Q806" t="n">
        <v>0</v>
      </c>
      <c r="R806" s="2" t="inlineStr"/>
    </row>
    <row r="807" ht="15" customHeight="1">
      <c r="A807" t="inlineStr">
        <is>
          <t>A 7414-2024</t>
        </is>
      </c>
      <c r="B807" s="1" t="n">
        <v>45345</v>
      </c>
      <c r="C807" s="1" t="n">
        <v>45710</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7945-2024</t>
        </is>
      </c>
      <c r="B808" s="1" t="n">
        <v>45350</v>
      </c>
      <c r="C808" s="1" t="n">
        <v>45710</v>
      </c>
      <c r="D808" t="inlineStr">
        <is>
          <t>DALARNAS LÄN</t>
        </is>
      </c>
      <c r="E808" t="inlineStr">
        <is>
          <t>MORA</t>
        </is>
      </c>
      <c r="G808" t="n">
        <v>4.4</v>
      </c>
      <c r="H808" t="n">
        <v>0</v>
      </c>
      <c r="I808" t="n">
        <v>0</v>
      </c>
      <c r="J808" t="n">
        <v>0</v>
      </c>
      <c r="K808" t="n">
        <v>0</v>
      </c>
      <c r="L808" t="n">
        <v>0</v>
      </c>
      <c r="M808" t="n">
        <v>0</v>
      </c>
      <c r="N808" t="n">
        <v>0</v>
      </c>
      <c r="O808" t="n">
        <v>0</v>
      </c>
      <c r="P808" t="n">
        <v>0</v>
      </c>
      <c r="Q808" t="n">
        <v>0</v>
      </c>
      <c r="R808" s="2" t="inlineStr"/>
    </row>
    <row r="809" ht="15" customHeight="1">
      <c r="A809" t="inlineStr">
        <is>
          <t>A 7972-2024</t>
        </is>
      </c>
      <c r="B809" s="1" t="n">
        <v>45350</v>
      </c>
      <c r="C809" s="1" t="n">
        <v>45710</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8068-2024</t>
        </is>
      </c>
      <c r="B810" s="1" t="n">
        <v>45351</v>
      </c>
      <c r="C810" s="1" t="n">
        <v>45710</v>
      </c>
      <c r="D810" t="inlineStr">
        <is>
          <t>DALARNAS LÄN</t>
        </is>
      </c>
      <c r="E810" t="inlineStr">
        <is>
          <t>MORA</t>
        </is>
      </c>
      <c r="G810" t="n">
        <v>6.4</v>
      </c>
      <c r="H810" t="n">
        <v>0</v>
      </c>
      <c r="I810" t="n">
        <v>0</v>
      </c>
      <c r="J810" t="n">
        <v>0</v>
      </c>
      <c r="K810" t="n">
        <v>0</v>
      </c>
      <c r="L810" t="n">
        <v>0</v>
      </c>
      <c r="M810" t="n">
        <v>0</v>
      </c>
      <c r="N810" t="n">
        <v>0</v>
      </c>
      <c r="O810" t="n">
        <v>0</v>
      </c>
      <c r="P810" t="n">
        <v>0</v>
      </c>
      <c r="Q810" t="n">
        <v>0</v>
      </c>
      <c r="R810" s="2" t="inlineStr"/>
    </row>
    <row r="811" ht="15" customHeight="1">
      <c r="A811" t="inlineStr">
        <is>
          <t>A 8100-2024</t>
        </is>
      </c>
      <c r="B811" s="1" t="n">
        <v>45351</v>
      </c>
      <c r="C811" s="1" t="n">
        <v>45710</v>
      </c>
      <c r="D811" t="inlineStr">
        <is>
          <t>DALARNAS LÄN</t>
        </is>
      </c>
      <c r="E811" t="inlineStr">
        <is>
          <t>MORA</t>
        </is>
      </c>
      <c r="G811" t="n">
        <v>3.2</v>
      </c>
      <c r="H811" t="n">
        <v>0</v>
      </c>
      <c r="I811" t="n">
        <v>0</v>
      </c>
      <c r="J811" t="n">
        <v>0</v>
      </c>
      <c r="K811" t="n">
        <v>0</v>
      </c>
      <c r="L811" t="n">
        <v>0</v>
      </c>
      <c r="M811" t="n">
        <v>0</v>
      </c>
      <c r="N811" t="n">
        <v>0</v>
      </c>
      <c r="O811" t="n">
        <v>0</v>
      </c>
      <c r="P811" t="n">
        <v>0</v>
      </c>
      <c r="Q811" t="n">
        <v>0</v>
      </c>
      <c r="R811" s="2" t="inlineStr"/>
    </row>
    <row r="812" ht="15" customHeight="1">
      <c r="A812" t="inlineStr">
        <is>
          <t>A 9276-2024</t>
        </is>
      </c>
      <c r="B812" s="1" t="n">
        <v>45358</v>
      </c>
      <c r="C812" s="1" t="n">
        <v>45710</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9277-2024</t>
        </is>
      </c>
      <c r="B813" s="1" t="n">
        <v>45358</v>
      </c>
      <c r="C813" s="1" t="n">
        <v>45710</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9855-2024</t>
        </is>
      </c>
      <c r="B814" s="1" t="n">
        <v>45363</v>
      </c>
      <c r="C814" s="1" t="n">
        <v>45710</v>
      </c>
      <c r="D814" t="inlineStr">
        <is>
          <t>DALARNAS LÄN</t>
        </is>
      </c>
      <c r="E814" t="inlineStr">
        <is>
          <t>MORA</t>
        </is>
      </c>
      <c r="G814" t="n">
        <v>8.6</v>
      </c>
      <c r="H814" t="n">
        <v>0</v>
      </c>
      <c r="I814" t="n">
        <v>0</v>
      </c>
      <c r="J814" t="n">
        <v>0</v>
      </c>
      <c r="K814" t="n">
        <v>0</v>
      </c>
      <c r="L814" t="n">
        <v>0</v>
      </c>
      <c r="M814" t="n">
        <v>0</v>
      </c>
      <c r="N814" t="n">
        <v>0</v>
      </c>
      <c r="O814" t="n">
        <v>0</v>
      </c>
      <c r="P814" t="n">
        <v>0</v>
      </c>
      <c r="Q814" t="n">
        <v>0</v>
      </c>
      <c r="R814" s="2" t="inlineStr"/>
    </row>
    <row r="815" ht="15" customHeight="1">
      <c r="A815" t="inlineStr">
        <is>
          <t>A 11218-2024</t>
        </is>
      </c>
      <c r="B815" s="1" t="n">
        <v>45371</v>
      </c>
      <c r="C815" s="1" t="n">
        <v>45710</v>
      </c>
      <c r="D815" t="inlineStr">
        <is>
          <t>DALARNAS LÄN</t>
        </is>
      </c>
      <c r="E815" t="inlineStr">
        <is>
          <t>MORA</t>
        </is>
      </c>
      <c r="G815" t="n">
        <v>11.9</v>
      </c>
      <c r="H815" t="n">
        <v>0</v>
      </c>
      <c r="I815" t="n">
        <v>0</v>
      </c>
      <c r="J815" t="n">
        <v>0</v>
      </c>
      <c r="K815" t="n">
        <v>0</v>
      </c>
      <c r="L815" t="n">
        <v>0</v>
      </c>
      <c r="M815" t="n">
        <v>0</v>
      </c>
      <c r="N815" t="n">
        <v>0</v>
      </c>
      <c r="O815" t="n">
        <v>0</v>
      </c>
      <c r="P815" t="n">
        <v>0</v>
      </c>
      <c r="Q815" t="n">
        <v>0</v>
      </c>
      <c r="R815" s="2" t="inlineStr"/>
    </row>
    <row r="816" ht="15" customHeight="1">
      <c r="A816" t="inlineStr">
        <is>
          <t>A 11354-2024</t>
        </is>
      </c>
      <c r="B816" s="1" t="n">
        <v>45372</v>
      </c>
      <c r="C816" s="1" t="n">
        <v>45710</v>
      </c>
      <c r="D816" t="inlineStr">
        <is>
          <t>DALARNAS LÄN</t>
        </is>
      </c>
      <c r="E816" t="inlineStr">
        <is>
          <t>MORA</t>
        </is>
      </c>
      <c r="G816" t="n">
        <v>2.5</v>
      </c>
      <c r="H816" t="n">
        <v>0</v>
      </c>
      <c r="I816" t="n">
        <v>0</v>
      </c>
      <c r="J816" t="n">
        <v>0</v>
      </c>
      <c r="K816" t="n">
        <v>0</v>
      </c>
      <c r="L816" t="n">
        <v>0</v>
      </c>
      <c r="M816" t="n">
        <v>0</v>
      </c>
      <c r="N816" t="n">
        <v>0</v>
      </c>
      <c r="O816" t="n">
        <v>0</v>
      </c>
      <c r="P816" t="n">
        <v>0</v>
      </c>
      <c r="Q816" t="n">
        <v>0</v>
      </c>
      <c r="R816" s="2" t="inlineStr"/>
    </row>
    <row r="817" ht="15" customHeight="1">
      <c r="A817" t="inlineStr">
        <is>
          <t>A 11463-2024</t>
        </is>
      </c>
      <c r="B817" s="1" t="n">
        <v>45372</v>
      </c>
      <c r="C817" s="1" t="n">
        <v>45710</v>
      </c>
      <c r="D817" t="inlineStr">
        <is>
          <t>DALARNAS LÄN</t>
        </is>
      </c>
      <c r="E817" t="inlineStr">
        <is>
          <t>MORA</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11919-2024</t>
        </is>
      </c>
      <c r="B818" s="1" t="n">
        <v>45376</v>
      </c>
      <c r="C818" s="1" t="n">
        <v>45710</v>
      </c>
      <c r="D818" t="inlineStr">
        <is>
          <t>DALARNAS LÄN</t>
        </is>
      </c>
      <c r="E818" t="inlineStr">
        <is>
          <t>MORA</t>
        </is>
      </c>
      <c r="G818" t="n">
        <v>3.5</v>
      </c>
      <c r="H818" t="n">
        <v>0</v>
      </c>
      <c r="I818" t="n">
        <v>0</v>
      </c>
      <c r="J818" t="n">
        <v>0</v>
      </c>
      <c r="K818" t="n">
        <v>0</v>
      </c>
      <c r="L818" t="n">
        <v>0</v>
      </c>
      <c r="M818" t="n">
        <v>0</v>
      </c>
      <c r="N818" t="n">
        <v>0</v>
      </c>
      <c r="O818" t="n">
        <v>0</v>
      </c>
      <c r="P818" t="n">
        <v>0</v>
      </c>
      <c r="Q818" t="n">
        <v>0</v>
      </c>
      <c r="R818" s="2" t="inlineStr"/>
    </row>
    <row r="819" ht="15" customHeight="1">
      <c r="A819" t="inlineStr">
        <is>
          <t>A 12987-2024</t>
        </is>
      </c>
      <c r="B819" s="1" t="n">
        <v>45385</v>
      </c>
      <c r="C819" s="1" t="n">
        <v>45710</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13492-2024</t>
        </is>
      </c>
      <c r="B820" s="1" t="n">
        <v>45387</v>
      </c>
      <c r="C820" s="1" t="n">
        <v>45710</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13479-2024</t>
        </is>
      </c>
      <c r="B821" s="1" t="n">
        <v>45387</v>
      </c>
      <c r="C821" s="1" t="n">
        <v>45710</v>
      </c>
      <c r="D821" t="inlineStr">
        <is>
          <t>DALARNAS LÄN</t>
        </is>
      </c>
      <c r="E821" t="inlineStr">
        <is>
          <t>MORA</t>
        </is>
      </c>
      <c r="G821" t="n">
        <v>1.4</v>
      </c>
      <c r="H821" t="n">
        <v>0</v>
      </c>
      <c r="I821" t="n">
        <v>0</v>
      </c>
      <c r="J821" t="n">
        <v>0</v>
      </c>
      <c r="K821" t="n">
        <v>0</v>
      </c>
      <c r="L821" t="n">
        <v>0</v>
      </c>
      <c r="M821" t="n">
        <v>0</v>
      </c>
      <c r="N821" t="n">
        <v>0</v>
      </c>
      <c r="O821" t="n">
        <v>0</v>
      </c>
      <c r="P821" t="n">
        <v>0</v>
      </c>
      <c r="Q821" t="n">
        <v>0</v>
      </c>
      <c r="R821" s="2" t="inlineStr"/>
    </row>
    <row r="822" ht="15" customHeight="1">
      <c r="A822" t="inlineStr">
        <is>
          <t>A 13410-2024</t>
        </is>
      </c>
      <c r="B822" s="1" t="n">
        <v>45387</v>
      </c>
      <c r="C822" s="1" t="n">
        <v>45710</v>
      </c>
      <c r="D822" t="inlineStr">
        <is>
          <t>DALARNAS LÄN</t>
        </is>
      </c>
      <c r="E822" t="inlineStr">
        <is>
          <t>MORA</t>
        </is>
      </c>
      <c r="G822" t="n">
        <v>2.8</v>
      </c>
      <c r="H822" t="n">
        <v>0</v>
      </c>
      <c r="I822" t="n">
        <v>0</v>
      </c>
      <c r="J822" t="n">
        <v>0</v>
      </c>
      <c r="K822" t="n">
        <v>0</v>
      </c>
      <c r="L822" t="n">
        <v>0</v>
      </c>
      <c r="M822" t="n">
        <v>0</v>
      </c>
      <c r="N822" t="n">
        <v>0</v>
      </c>
      <c r="O822" t="n">
        <v>0</v>
      </c>
      <c r="P822" t="n">
        <v>0</v>
      </c>
      <c r="Q822" t="n">
        <v>0</v>
      </c>
      <c r="R822" s="2" t="inlineStr"/>
    </row>
    <row r="823" ht="15" customHeight="1">
      <c r="A823" t="inlineStr">
        <is>
          <t>A 13386-2024</t>
        </is>
      </c>
      <c r="B823" s="1" t="n">
        <v>45387</v>
      </c>
      <c r="C823" s="1" t="n">
        <v>45710</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13403-2024</t>
        </is>
      </c>
      <c r="B824" s="1" t="n">
        <v>45387</v>
      </c>
      <c r="C824" s="1" t="n">
        <v>45710</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13433-2024</t>
        </is>
      </c>
      <c r="B825" s="1" t="n">
        <v>45387</v>
      </c>
      <c r="C825" s="1" t="n">
        <v>45710</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13589-2024</t>
        </is>
      </c>
      <c r="B826" s="1" t="n">
        <v>45389</v>
      </c>
      <c r="C826" s="1" t="n">
        <v>45710</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13985-2024</t>
        </is>
      </c>
      <c r="B827" s="1" t="n">
        <v>45392</v>
      </c>
      <c r="C827" s="1" t="n">
        <v>45710</v>
      </c>
      <c r="D827" t="inlineStr">
        <is>
          <t>DALARNAS LÄN</t>
        </is>
      </c>
      <c r="E827" t="inlineStr">
        <is>
          <t>MORA</t>
        </is>
      </c>
      <c r="G827" t="n">
        <v>6.5</v>
      </c>
      <c r="H827" t="n">
        <v>0</v>
      </c>
      <c r="I827" t="n">
        <v>0</v>
      </c>
      <c r="J827" t="n">
        <v>0</v>
      </c>
      <c r="K827" t="n">
        <v>0</v>
      </c>
      <c r="L827" t="n">
        <v>0</v>
      </c>
      <c r="M827" t="n">
        <v>0</v>
      </c>
      <c r="N827" t="n">
        <v>0</v>
      </c>
      <c r="O827" t="n">
        <v>0</v>
      </c>
      <c r="P827" t="n">
        <v>0</v>
      </c>
      <c r="Q827" t="n">
        <v>0</v>
      </c>
      <c r="R827" s="2" t="inlineStr"/>
    </row>
    <row r="828" ht="15" customHeight="1">
      <c r="A828" t="inlineStr">
        <is>
          <t>A 14842-2024</t>
        </is>
      </c>
      <c r="B828" s="1" t="n">
        <v>45397</v>
      </c>
      <c r="C828" s="1" t="n">
        <v>45710</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14833-2024</t>
        </is>
      </c>
      <c r="B829" s="1" t="n">
        <v>45397</v>
      </c>
      <c r="C829" s="1" t="n">
        <v>45710</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15592-2024</t>
        </is>
      </c>
      <c r="B830" s="1" t="n">
        <v>45401</v>
      </c>
      <c r="C830" s="1" t="n">
        <v>45710</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15435-2024</t>
        </is>
      </c>
      <c r="B831" s="1" t="n">
        <v>45401</v>
      </c>
      <c r="C831" s="1" t="n">
        <v>45710</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15508-2024</t>
        </is>
      </c>
      <c r="B832" s="1" t="n">
        <v>45401</v>
      </c>
      <c r="C832" s="1" t="n">
        <v>45710</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15499-2024</t>
        </is>
      </c>
      <c r="B833" s="1" t="n">
        <v>45401</v>
      </c>
      <c r="C833" s="1" t="n">
        <v>45710</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15440-2024</t>
        </is>
      </c>
      <c r="B834" s="1" t="n">
        <v>45401</v>
      </c>
      <c r="C834" s="1" t="n">
        <v>45710</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15784-2024</t>
        </is>
      </c>
      <c r="B835" s="1" t="n">
        <v>45404</v>
      </c>
      <c r="C835" s="1" t="n">
        <v>45710</v>
      </c>
      <c r="D835" t="inlineStr">
        <is>
          <t>DALARNAS LÄN</t>
        </is>
      </c>
      <c r="E835" t="inlineStr">
        <is>
          <t>MORA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15786-2024</t>
        </is>
      </c>
      <c r="B836" s="1" t="n">
        <v>45404</v>
      </c>
      <c r="C836" s="1" t="n">
        <v>45710</v>
      </c>
      <c r="D836" t="inlineStr">
        <is>
          <t>DALARNAS LÄN</t>
        </is>
      </c>
      <c r="E836" t="inlineStr">
        <is>
          <t>MORA</t>
        </is>
      </c>
      <c r="F836" t="inlineStr">
        <is>
          <t>Bergvik skog öst AB</t>
        </is>
      </c>
      <c r="G836" t="n">
        <v>2.7</v>
      </c>
      <c r="H836" t="n">
        <v>0</v>
      </c>
      <c r="I836" t="n">
        <v>0</v>
      </c>
      <c r="J836" t="n">
        <v>0</v>
      </c>
      <c r="K836" t="n">
        <v>0</v>
      </c>
      <c r="L836" t="n">
        <v>0</v>
      </c>
      <c r="M836" t="n">
        <v>0</v>
      </c>
      <c r="N836" t="n">
        <v>0</v>
      </c>
      <c r="O836" t="n">
        <v>0</v>
      </c>
      <c r="P836" t="n">
        <v>0</v>
      </c>
      <c r="Q836" t="n">
        <v>0</v>
      </c>
      <c r="R836" s="2" t="inlineStr"/>
    </row>
    <row r="837" ht="15" customHeight="1">
      <c r="A837" t="inlineStr">
        <is>
          <t>A 15818-2024</t>
        </is>
      </c>
      <c r="B837" s="1" t="n">
        <v>45404</v>
      </c>
      <c r="C837" s="1" t="n">
        <v>45710</v>
      </c>
      <c r="D837" t="inlineStr">
        <is>
          <t>DALARNAS LÄN</t>
        </is>
      </c>
      <c r="E837" t="inlineStr">
        <is>
          <t>MORA</t>
        </is>
      </c>
      <c r="G837" t="n">
        <v>7</v>
      </c>
      <c r="H837" t="n">
        <v>0</v>
      </c>
      <c r="I837" t="n">
        <v>0</v>
      </c>
      <c r="J837" t="n">
        <v>0</v>
      </c>
      <c r="K837" t="n">
        <v>0</v>
      </c>
      <c r="L837" t="n">
        <v>0</v>
      </c>
      <c r="M837" t="n">
        <v>0</v>
      </c>
      <c r="N837" t="n">
        <v>0</v>
      </c>
      <c r="O837" t="n">
        <v>0</v>
      </c>
      <c r="P837" t="n">
        <v>0</v>
      </c>
      <c r="Q837" t="n">
        <v>0</v>
      </c>
      <c r="R837" s="2" t="inlineStr"/>
    </row>
    <row r="838" ht="15" customHeight="1">
      <c r="A838" t="inlineStr">
        <is>
          <t>A 15817-2024</t>
        </is>
      </c>
      <c r="B838" s="1" t="n">
        <v>45404</v>
      </c>
      <c r="C838" s="1" t="n">
        <v>45710</v>
      </c>
      <c r="D838" t="inlineStr">
        <is>
          <t>DALARNAS LÄN</t>
        </is>
      </c>
      <c r="E838" t="inlineStr">
        <is>
          <t>MORA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16129-2024</t>
        </is>
      </c>
      <c r="B839" s="1" t="n">
        <v>45406</v>
      </c>
      <c r="C839" s="1" t="n">
        <v>45710</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v>
      </c>
      <c r="C840" s="1" t="n">
        <v>45710</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16522-2024</t>
        </is>
      </c>
      <c r="B841" s="1" t="n">
        <v>45408</v>
      </c>
      <c r="C841" s="1" t="n">
        <v>45710</v>
      </c>
      <c r="D841" t="inlineStr">
        <is>
          <t>DALARNAS LÄN</t>
        </is>
      </c>
      <c r="E841" t="inlineStr">
        <is>
          <t>MORA</t>
        </is>
      </c>
      <c r="G841" t="n">
        <v>11.2</v>
      </c>
      <c r="H841" t="n">
        <v>0</v>
      </c>
      <c r="I841" t="n">
        <v>0</v>
      </c>
      <c r="J841" t="n">
        <v>0</v>
      </c>
      <c r="K841" t="n">
        <v>0</v>
      </c>
      <c r="L841" t="n">
        <v>0</v>
      </c>
      <c r="M841" t="n">
        <v>0</v>
      </c>
      <c r="N841" t="n">
        <v>0</v>
      </c>
      <c r="O841" t="n">
        <v>0</v>
      </c>
      <c r="P841" t="n">
        <v>0</v>
      </c>
      <c r="Q841" t="n">
        <v>0</v>
      </c>
      <c r="R841" s="2" t="inlineStr"/>
    </row>
    <row r="842" ht="15" customHeight="1">
      <c r="A842" t="inlineStr">
        <is>
          <t>A 16574-2024</t>
        </is>
      </c>
      <c r="B842" s="1" t="n">
        <v>45408</v>
      </c>
      <c r="C842" s="1" t="n">
        <v>45710</v>
      </c>
      <c r="D842" t="inlineStr">
        <is>
          <t>DALARNAS LÄN</t>
        </is>
      </c>
      <c r="E842" t="inlineStr">
        <is>
          <t>MORA</t>
        </is>
      </c>
      <c r="G842" t="n">
        <v>3</v>
      </c>
      <c r="H842" t="n">
        <v>0</v>
      </c>
      <c r="I842" t="n">
        <v>0</v>
      </c>
      <c r="J842" t="n">
        <v>0</v>
      </c>
      <c r="K842" t="n">
        <v>0</v>
      </c>
      <c r="L842" t="n">
        <v>0</v>
      </c>
      <c r="M842" t="n">
        <v>0</v>
      </c>
      <c r="N842" t="n">
        <v>0</v>
      </c>
      <c r="O842" t="n">
        <v>0</v>
      </c>
      <c r="P842" t="n">
        <v>0</v>
      </c>
      <c r="Q842" t="n">
        <v>0</v>
      </c>
      <c r="R842" s="2" t="inlineStr"/>
    </row>
    <row r="843" ht="15" customHeight="1">
      <c r="A843" t="inlineStr">
        <is>
          <t>A 16733-2024</t>
        </is>
      </c>
      <c r="B843" s="1" t="n">
        <v>45410</v>
      </c>
      <c r="C843" s="1" t="n">
        <v>45710</v>
      </c>
      <c r="D843" t="inlineStr">
        <is>
          <t>DALARNAS LÄN</t>
        </is>
      </c>
      <c r="E843" t="inlineStr">
        <is>
          <t>MORA</t>
        </is>
      </c>
      <c r="G843" t="n">
        <v>6.3</v>
      </c>
      <c r="H843" t="n">
        <v>0</v>
      </c>
      <c r="I843" t="n">
        <v>0</v>
      </c>
      <c r="J843" t="n">
        <v>0</v>
      </c>
      <c r="K843" t="n">
        <v>0</v>
      </c>
      <c r="L843" t="n">
        <v>0</v>
      </c>
      <c r="M843" t="n">
        <v>0</v>
      </c>
      <c r="N843" t="n">
        <v>0</v>
      </c>
      <c r="O843" t="n">
        <v>0</v>
      </c>
      <c r="P843" t="n">
        <v>0</v>
      </c>
      <c r="Q843" t="n">
        <v>0</v>
      </c>
      <c r="R843" s="2" t="inlineStr"/>
    </row>
    <row r="844" ht="15" customHeight="1">
      <c r="A844" t="inlineStr">
        <is>
          <t>A 17145-2024</t>
        </is>
      </c>
      <c r="B844" s="1" t="n">
        <v>45412</v>
      </c>
      <c r="C844" s="1" t="n">
        <v>45710</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17217-2024</t>
        </is>
      </c>
      <c r="B845" s="1" t="n">
        <v>45414</v>
      </c>
      <c r="C845" s="1" t="n">
        <v>45710</v>
      </c>
      <c r="D845" t="inlineStr">
        <is>
          <t>DALARNAS LÄN</t>
        </is>
      </c>
      <c r="E845" t="inlineStr">
        <is>
          <t>MORA</t>
        </is>
      </c>
      <c r="G845" t="n">
        <v>11.3</v>
      </c>
      <c r="H845" t="n">
        <v>0</v>
      </c>
      <c r="I845" t="n">
        <v>0</v>
      </c>
      <c r="J845" t="n">
        <v>0</v>
      </c>
      <c r="K845" t="n">
        <v>0</v>
      </c>
      <c r="L845" t="n">
        <v>0</v>
      </c>
      <c r="M845" t="n">
        <v>0</v>
      </c>
      <c r="N845" t="n">
        <v>0</v>
      </c>
      <c r="O845" t="n">
        <v>0</v>
      </c>
      <c r="P845" t="n">
        <v>0</v>
      </c>
      <c r="Q845" t="n">
        <v>0</v>
      </c>
      <c r="R845" s="2" t="inlineStr"/>
    </row>
    <row r="846" ht="15" customHeight="1">
      <c r="A846" t="inlineStr">
        <is>
          <t>A 17368-2024</t>
        </is>
      </c>
      <c r="B846" s="1" t="n">
        <v>45414</v>
      </c>
      <c r="C846" s="1" t="n">
        <v>45710</v>
      </c>
      <c r="D846" t="inlineStr">
        <is>
          <t>DALARNAS LÄN</t>
        </is>
      </c>
      <c r="E846" t="inlineStr">
        <is>
          <t>MORA</t>
        </is>
      </c>
      <c r="G846" t="n">
        <v>5</v>
      </c>
      <c r="H846" t="n">
        <v>0</v>
      </c>
      <c r="I846" t="n">
        <v>0</v>
      </c>
      <c r="J846" t="n">
        <v>0</v>
      </c>
      <c r="K846" t="n">
        <v>0</v>
      </c>
      <c r="L846" t="n">
        <v>0</v>
      </c>
      <c r="M846" t="n">
        <v>0</v>
      </c>
      <c r="N846" t="n">
        <v>0</v>
      </c>
      <c r="O846" t="n">
        <v>0</v>
      </c>
      <c r="P846" t="n">
        <v>0</v>
      </c>
      <c r="Q846" t="n">
        <v>0</v>
      </c>
      <c r="R846" s="2" t="inlineStr"/>
    </row>
    <row r="847" ht="15" customHeight="1">
      <c r="A847" t="inlineStr">
        <is>
          <t>A 17468-2024</t>
        </is>
      </c>
      <c r="B847" s="1" t="n">
        <v>45415</v>
      </c>
      <c r="C847" s="1" t="n">
        <v>45710</v>
      </c>
      <c r="D847" t="inlineStr">
        <is>
          <t>DALARNAS LÄN</t>
        </is>
      </c>
      <c r="E847" t="inlineStr">
        <is>
          <t>MORA</t>
        </is>
      </c>
      <c r="G847" t="n">
        <v>8</v>
      </c>
      <c r="H847" t="n">
        <v>0</v>
      </c>
      <c r="I847" t="n">
        <v>0</v>
      </c>
      <c r="J847" t="n">
        <v>0</v>
      </c>
      <c r="K847" t="n">
        <v>0</v>
      </c>
      <c r="L847" t="n">
        <v>0</v>
      </c>
      <c r="M847" t="n">
        <v>0</v>
      </c>
      <c r="N847" t="n">
        <v>0</v>
      </c>
      <c r="O847" t="n">
        <v>0</v>
      </c>
      <c r="P847" t="n">
        <v>0</v>
      </c>
      <c r="Q847" t="n">
        <v>0</v>
      </c>
      <c r="R847" s="2" t="inlineStr"/>
    </row>
    <row r="848" ht="15" customHeight="1">
      <c r="A848" t="inlineStr">
        <is>
          <t>A 17516-2024</t>
        </is>
      </c>
      <c r="B848" s="1" t="n">
        <v>45415</v>
      </c>
      <c r="C848" s="1" t="n">
        <v>45710</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17645-2024</t>
        </is>
      </c>
      <c r="B849" s="1" t="n">
        <v>45418</v>
      </c>
      <c r="C849" s="1" t="n">
        <v>45710</v>
      </c>
      <c r="D849" t="inlineStr">
        <is>
          <t>DALARNAS LÄN</t>
        </is>
      </c>
      <c r="E849" t="inlineStr">
        <is>
          <t>MORA</t>
        </is>
      </c>
      <c r="G849" t="n">
        <v>1.9</v>
      </c>
      <c r="H849" t="n">
        <v>0</v>
      </c>
      <c r="I849" t="n">
        <v>0</v>
      </c>
      <c r="J849" t="n">
        <v>0</v>
      </c>
      <c r="K849" t="n">
        <v>0</v>
      </c>
      <c r="L849" t="n">
        <v>0</v>
      </c>
      <c r="M849" t="n">
        <v>0</v>
      </c>
      <c r="N849" t="n">
        <v>0</v>
      </c>
      <c r="O849" t="n">
        <v>0</v>
      </c>
      <c r="P849" t="n">
        <v>0</v>
      </c>
      <c r="Q849" t="n">
        <v>0</v>
      </c>
      <c r="R849" s="2" t="inlineStr"/>
    </row>
    <row r="850" ht="15" customHeight="1">
      <c r="A850" t="inlineStr">
        <is>
          <t>A 17647-2024</t>
        </is>
      </c>
      <c r="B850" s="1" t="n">
        <v>45418</v>
      </c>
      <c r="C850" s="1" t="n">
        <v>45710</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17692-2024</t>
        </is>
      </c>
      <c r="B851" s="1" t="n">
        <v>45418</v>
      </c>
      <c r="C851" s="1" t="n">
        <v>45710</v>
      </c>
      <c r="D851" t="inlineStr">
        <is>
          <t>DALARNAS LÄN</t>
        </is>
      </c>
      <c r="E851" t="inlineStr">
        <is>
          <t>MORA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17646-2024</t>
        </is>
      </c>
      <c r="B852" s="1" t="n">
        <v>45418</v>
      </c>
      <c r="C852" s="1" t="n">
        <v>45710</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row r="853" ht="15" customHeight="1">
      <c r="A853" t="inlineStr">
        <is>
          <t>A 17894-2024</t>
        </is>
      </c>
      <c r="B853" s="1" t="n">
        <v>45419</v>
      </c>
      <c r="C853" s="1" t="n">
        <v>45710</v>
      </c>
      <c r="D853" t="inlineStr">
        <is>
          <t>DALARNAS LÄN</t>
        </is>
      </c>
      <c r="E853" t="inlineStr">
        <is>
          <t>MORA</t>
        </is>
      </c>
      <c r="G853" t="n">
        <v>3.5</v>
      </c>
      <c r="H853" t="n">
        <v>0</v>
      </c>
      <c r="I853" t="n">
        <v>0</v>
      </c>
      <c r="J853" t="n">
        <v>0</v>
      </c>
      <c r="K853" t="n">
        <v>0</v>
      </c>
      <c r="L853" t="n">
        <v>0</v>
      </c>
      <c r="M853" t="n">
        <v>0</v>
      </c>
      <c r="N853" t="n">
        <v>0</v>
      </c>
      <c r="O853" t="n">
        <v>0</v>
      </c>
      <c r="P853" t="n">
        <v>0</v>
      </c>
      <c r="Q853" t="n">
        <v>0</v>
      </c>
      <c r="R853" s="2" t="inlineStr"/>
    </row>
    <row r="854" ht="15" customHeight="1">
      <c r="A854" t="inlineStr">
        <is>
          <t>A 17950-2024</t>
        </is>
      </c>
      <c r="B854" s="1" t="n">
        <v>45419</v>
      </c>
      <c r="C854" s="1" t="n">
        <v>45710</v>
      </c>
      <c r="D854" t="inlineStr">
        <is>
          <t>DALARNAS LÄN</t>
        </is>
      </c>
      <c r="E854" t="inlineStr">
        <is>
          <t>MORA</t>
        </is>
      </c>
      <c r="G854" t="n">
        <v>2.6</v>
      </c>
      <c r="H854" t="n">
        <v>0</v>
      </c>
      <c r="I854" t="n">
        <v>0</v>
      </c>
      <c r="J854" t="n">
        <v>0</v>
      </c>
      <c r="K854" t="n">
        <v>0</v>
      </c>
      <c r="L854" t="n">
        <v>0</v>
      </c>
      <c r="M854" t="n">
        <v>0</v>
      </c>
      <c r="N854" t="n">
        <v>0</v>
      </c>
      <c r="O854" t="n">
        <v>0</v>
      </c>
      <c r="P854" t="n">
        <v>0</v>
      </c>
      <c r="Q854" t="n">
        <v>0</v>
      </c>
      <c r="R854" s="2" t="inlineStr"/>
    </row>
    <row r="855" ht="15" customHeight="1">
      <c r="A855" t="inlineStr">
        <is>
          <t>A 18118-2024</t>
        </is>
      </c>
      <c r="B855" s="1" t="n">
        <v>45420</v>
      </c>
      <c r="C855" s="1" t="n">
        <v>45710</v>
      </c>
      <c r="D855" t="inlineStr">
        <is>
          <t>DALARNAS LÄN</t>
        </is>
      </c>
      <c r="E855" t="inlineStr">
        <is>
          <t>MORA</t>
        </is>
      </c>
      <c r="F855" t="inlineStr">
        <is>
          <t>Bergvik skog öst AB</t>
        </is>
      </c>
      <c r="G855" t="n">
        <v>5.2</v>
      </c>
      <c r="H855" t="n">
        <v>0</v>
      </c>
      <c r="I855" t="n">
        <v>0</v>
      </c>
      <c r="J855" t="n">
        <v>0</v>
      </c>
      <c r="K855" t="n">
        <v>0</v>
      </c>
      <c r="L855" t="n">
        <v>0</v>
      </c>
      <c r="M855" t="n">
        <v>0</v>
      </c>
      <c r="N855" t="n">
        <v>0</v>
      </c>
      <c r="O855" t="n">
        <v>0</v>
      </c>
      <c r="P855" t="n">
        <v>0</v>
      </c>
      <c r="Q855" t="n">
        <v>0</v>
      </c>
      <c r="R855" s="2" t="inlineStr"/>
    </row>
    <row r="856" ht="15" customHeight="1">
      <c r="A856" t="inlineStr">
        <is>
          <t>A 18202-2024</t>
        </is>
      </c>
      <c r="B856" s="1" t="n">
        <v>45420</v>
      </c>
      <c r="C856" s="1" t="n">
        <v>45710</v>
      </c>
      <c r="D856" t="inlineStr">
        <is>
          <t>DALARNAS LÄN</t>
        </is>
      </c>
      <c r="E856" t="inlineStr">
        <is>
          <t>MORA</t>
        </is>
      </c>
      <c r="G856" t="n">
        <v>2</v>
      </c>
      <c r="H856" t="n">
        <v>0</v>
      </c>
      <c r="I856" t="n">
        <v>0</v>
      </c>
      <c r="J856" t="n">
        <v>0</v>
      </c>
      <c r="K856" t="n">
        <v>0</v>
      </c>
      <c r="L856" t="n">
        <v>0</v>
      </c>
      <c r="M856" t="n">
        <v>0</v>
      </c>
      <c r="N856" t="n">
        <v>0</v>
      </c>
      <c r="O856" t="n">
        <v>0</v>
      </c>
      <c r="P856" t="n">
        <v>0</v>
      </c>
      <c r="Q856" t="n">
        <v>0</v>
      </c>
      <c r="R856" s="2" t="inlineStr"/>
    </row>
    <row r="857" ht="15" customHeight="1">
      <c r="A857" t="inlineStr">
        <is>
          <t>A 18214-2024</t>
        </is>
      </c>
      <c r="B857" s="1" t="n">
        <v>45420</v>
      </c>
      <c r="C857" s="1" t="n">
        <v>45710</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18119-2024</t>
        </is>
      </c>
      <c r="B858" s="1" t="n">
        <v>45420</v>
      </c>
      <c r="C858" s="1" t="n">
        <v>45710</v>
      </c>
      <c r="D858" t="inlineStr">
        <is>
          <t>DALARNAS LÄN</t>
        </is>
      </c>
      <c r="E858" t="inlineStr">
        <is>
          <t>MORA</t>
        </is>
      </c>
      <c r="F858" t="inlineStr">
        <is>
          <t>Bergvik skog öst AB</t>
        </is>
      </c>
      <c r="G858" t="n">
        <v>5.8</v>
      </c>
      <c r="H858" t="n">
        <v>0</v>
      </c>
      <c r="I858" t="n">
        <v>0</v>
      </c>
      <c r="J858" t="n">
        <v>0</v>
      </c>
      <c r="K858" t="n">
        <v>0</v>
      </c>
      <c r="L858" t="n">
        <v>0</v>
      </c>
      <c r="M858" t="n">
        <v>0</v>
      </c>
      <c r="N858" t="n">
        <v>0</v>
      </c>
      <c r="O858" t="n">
        <v>0</v>
      </c>
      <c r="P858" t="n">
        <v>0</v>
      </c>
      <c r="Q858" t="n">
        <v>0</v>
      </c>
      <c r="R858" s="2" t="inlineStr"/>
    </row>
    <row r="859" ht="15" customHeight="1">
      <c r="A859" t="inlineStr">
        <is>
          <t>A 18429-2024</t>
        </is>
      </c>
      <c r="B859" s="1" t="n">
        <v>45425</v>
      </c>
      <c r="C859" s="1" t="n">
        <v>45710</v>
      </c>
      <c r="D859" t="inlineStr">
        <is>
          <t>DALARNAS LÄN</t>
        </is>
      </c>
      <c r="E859" t="inlineStr">
        <is>
          <t>MORA</t>
        </is>
      </c>
      <c r="G859" t="n">
        <v>2.3</v>
      </c>
      <c r="H859" t="n">
        <v>0</v>
      </c>
      <c r="I859" t="n">
        <v>0</v>
      </c>
      <c r="J859" t="n">
        <v>0</v>
      </c>
      <c r="K859" t="n">
        <v>0</v>
      </c>
      <c r="L859" t="n">
        <v>0</v>
      </c>
      <c r="M859" t="n">
        <v>0</v>
      </c>
      <c r="N859" t="n">
        <v>0</v>
      </c>
      <c r="O859" t="n">
        <v>0</v>
      </c>
      <c r="P859" t="n">
        <v>0</v>
      </c>
      <c r="Q859" t="n">
        <v>0</v>
      </c>
      <c r="R859" s="2" t="inlineStr"/>
    </row>
    <row r="860" ht="15" customHeight="1">
      <c r="A860" t="inlineStr">
        <is>
          <t>A 18444-2024</t>
        </is>
      </c>
      <c r="B860" s="1" t="n">
        <v>45425</v>
      </c>
      <c r="C860" s="1" t="n">
        <v>45710</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18559-2024</t>
        </is>
      </c>
      <c r="B861" s="1" t="n">
        <v>45425</v>
      </c>
      <c r="C861" s="1" t="n">
        <v>45710</v>
      </c>
      <c r="D861" t="inlineStr">
        <is>
          <t>DALARNAS LÄN</t>
        </is>
      </c>
      <c r="E861" t="inlineStr">
        <is>
          <t>MORA</t>
        </is>
      </c>
      <c r="G861" t="n">
        <v>3.6</v>
      </c>
      <c r="H861" t="n">
        <v>0</v>
      </c>
      <c r="I861" t="n">
        <v>0</v>
      </c>
      <c r="J861" t="n">
        <v>0</v>
      </c>
      <c r="K861" t="n">
        <v>0</v>
      </c>
      <c r="L861" t="n">
        <v>0</v>
      </c>
      <c r="M861" t="n">
        <v>0</v>
      </c>
      <c r="N861" t="n">
        <v>0</v>
      </c>
      <c r="O861" t="n">
        <v>0</v>
      </c>
      <c r="P861" t="n">
        <v>0</v>
      </c>
      <c r="Q861" t="n">
        <v>0</v>
      </c>
      <c r="R861" s="2" t="inlineStr"/>
    </row>
    <row r="862" ht="15" customHeight="1">
      <c r="A862" t="inlineStr">
        <is>
          <t>A 18696-2024</t>
        </is>
      </c>
      <c r="B862" s="1" t="n">
        <v>45426</v>
      </c>
      <c r="C862" s="1" t="n">
        <v>45710</v>
      </c>
      <c r="D862" t="inlineStr">
        <is>
          <t>DALARNAS LÄN</t>
        </is>
      </c>
      <c r="E862" t="inlineStr">
        <is>
          <t>MORA</t>
        </is>
      </c>
      <c r="G862" t="n">
        <v>9.6</v>
      </c>
      <c r="H862" t="n">
        <v>0</v>
      </c>
      <c r="I862" t="n">
        <v>0</v>
      </c>
      <c r="J862" t="n">
        <v>0</v>
      </c>
      <c r="K862" t="n">
        <v>0</v>
      </c>
      <c r="L862" t="n">
        <v>0</v>
      </c>
      <c r="M862" t="n">
        <v>0</v>
      </c>
      <c r="N862" t="n">
        <v>0</v>
      </c>
      <c r="O862" t="n">
        <v>0</v>
      </c>
      <c r="P862" t="n">
        <v>0</v>
      </c>
      <c r="Q862" t="n">
        <v>0</v>
      </c>
      <c r="R862" s="2" t="inlineStr"/>
    </row>
    <row r="863" ht="15" customHeight="1">
      <c r="A863" t="inlineStr">
        <is>
          <t>A 18941-2024</t>
        </is>
      </c>
      <c r="B863" s="1" t="n">
        <v>45427</v>
      </c>
      <c r="C863" s="1" t="n">
        <v>45710</v>
      </c>
      <c r="D863" t="inlineStr">
        <is>
          <t>DALARNAS LÄN</t>
        </is>
      </c>
      <c r="E863" t="inlineStr">
        <is>
          <t>MORA</t>
        </is>
      </c>
      <c r="G863" t="n">
        <v>2.3</v>
      </c>
      <c r="H863" t="n">
        <v>0</v>
      </c>
      <c r="I863" t="n">
        <v>0</v>
      </c>
      <c r="J863" t="n">
        <v>0</v>
      </c>
      <c r="K863" t="n">
        <v>0</v>
      </c>
      <c r="L863" t="n">
        <v>0</v>
      </c>
      <c r="M863" t="n">
        <v>0</v>
      </c>
      <c r="N863" t="n">
        <v>0</v>
      </c>
      <c r="O863" t="n">
        <v>0</v>
      </c>
      <c r="P863" t="n">
        <v>0</v>
      </c>
      <c r="Q863" t="n">
        <v>0</v>
      </c>
      <c r="R863" s="2" t="inlineStr"/>
    </row>
    <row r="864" ht="15" customHeight="1">
      <c r="A864" t="inlineStr">
        <is>
          <t>A 18922-2024</t>
        </is>
      </c>
      <c r="B864" s="1" t="n">
        <v>45427</v>
      </c>
      <c r="C864" s="1" t="n">
        <v>45710</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18895-2024</t>
        </is>
      </c>
      <c r="B865" s="1" t="n">
        <v>45427</v>
      </c>
      <c r="C865" s="1" t="n">
        <v>45710</v>
      </c>
      <c r="D865" t="inlineStr">
        <is>
          <t>DALARNAS LÄN</t>
        </is>
      </c>
      <c r="E865" t="inlineStr">
        <is>
          <t>MORA</t>
        </is>
      </c>
      <c r="G865" t="n">
        <v>11.5</v>
      </c>
      <c r="H865" t="n">
        <v>0</v>
      </c>
      <c r="I865" t="n">
        <v>0</v>
      </c>
      <c r="J865" t="n">
        <v>0</v>
      </c>
      <c r="K865" t="n">
        <v>0</v>
      </c>
      <c r="L865" t="n">
        <v>0</v>
      </c>
      <c r="M865" t="n">
        <v>0</v>
      </c>
      <c r="N865" t="n">
        <v>0</v>
      </c>
      <c r="O865" t="n">
        <v>0</v>
      </c>
      <c r="P865" t="n">
        <v>0</v>
      </c>
      <c r="Q865" t="n">
        <v>0</v>
      </c>
      <c r="R865" s="2" t="inlineStr"/>
    </row>
    <row r="866" ht="15" customHeight="1">
      <c r="A866" t="inlineStr">
        <is>
          <t>A 18901-2024</t>
        </is>
      </c>
      <c r="B866" s="1" t="n">
        <v>45427</v>
      </c>
      <c r="C866" s="1" t="n">
        <v>45710</v>
      </c>
      <c r="D866" t="inlineStr">
        <is>
          <t>DALARNAS LÄN</t>
        </is>
      </c>
      <c r="E866" t="inlineStr">
        <is>
          <t>MORA</t>
        </is>
      </c>
      <c r="G866" t="n">
        <v>6.6</v>
      </c>
      <c r="H866" t="n">
        <v>0</v>
      </c>
      <c r="I866" t="n">
        <v>0</v>
      </c>
      <c r="J866" t="n">
        <v>0</v>
      </c>
      <c r="K866" t="n">
        <v>0</v>
      </c>
      <c r="L866" t="n">
        <v>0</v>
      </c>
      <c r="M866" t="n">
        <v>0</v>
      </c>
      <c r="N866" t="n">
        <v>0</v>
      </c>
      <c r="O866" t="n">
        <v>0</v>
      </c>
      <c r="P866" t="n">
        <v>0</v>
      </c>
      <c r="Q866" t="n">
        <v>0</v>
      </c>
      <c r="R866" s="2" t="inlineStr"/>
    </row>
    <row r="867" ht="15" customHeight="1">
      <c r="A867" t="inlineStr">
        <is>
          <t>A 18992-2024</t>
        </is>
      </c>
      <c r="B867" s="1" t="n">
        <v>45427</v>
      </c>
      <c r="C867" s="1" t="n">
        <v>45710</v>
      </c>
      <c r="D867" t="inlineStr">
        <is>
          <t>DALARNAS LÄN</t>
        </is>
      </c>
      <c r="E867" t="inlineStr">
        <is>
          <t>MORA</t>
        </is>
      </c>
      <c r="G867" t="n">
        <v>9.9</v>
      </c>
      <c r="H867" t="n">
        <v>0</v>
      </c>
      <c r="I867" t="n">
        <v>0</v>
      </c>
      <c r="J867" t="n">
        <v>0</v>
      </c>
      <c r="K867" t="n">
        <v>0</v>
      </c>
      <c r="L867" t="n">
        <v>0</v>
      </c>
      <c r="M867" t="n">
        <v>0</v>
      </c>
      <c r="N867" t="n">
        <v>0</v>
      </c>
      <c r="O867" t="n">
        <v>0</v>
      </c>
      <c r="P867" t="n">
        <v>0</v>
      </c>
      <c r="Q867" t="n">
        <v>0</v>
      </c>
      <c r="R867" s="2" t="inlineStr"/>
    </row>
    <row r="868" ht="15" customHeight="1">
      <c r="A868" t="inlineStr">
        <is>
          <t>A 19686-2024</t>
        </is>
      </c>
      <c r="B868" s="1" t="n">
        <v>45432</v>
      </c>
      <c r="C868" s="1" t="n">
        <v>45710</v>
      </c>
      <c r="D868" t="inlineStr">
        <is>
          <t>DALARNAS LÄN</t>
        </is>
      </c>
      <c r="E868" t="inlineStr">
        <is>
          <t>MORA</t>
        </is>
      </c>
      <c r="G868" t="n">
        <v>5.6</v>
      </c>
      <c r="H868" t="n">
        <v>0</v>
      </c>
      <c r="I868" t="n">
        <v>0</v>
      </c>
      <c r="J868" t="n">
        <v>0</v>
      </c>
      <c r="K868" t="n">
        <v>0</v>
      </c>
      <c r="L868" t="n">
        <v>0</v>
      </c>
      <c r="M868" t="n">
        <v>0</v>
      </c>
      <c r="N868" t="n">
        <v>0</v>
      </c>
      <c r="O868" t="n">
        <v>0</v>
      </c>
      <c r="P868" t="n">
        <v>0</v>
      </c>
      <c r="Q868" t="n">
        <v>0</v>
      </c>
      <c r="R868" s="2" t="inlineStr"/>
    </row>
    <row r="869" ht="15" customHeight="1">
      <c r="A869" t="inlineStr">
        <is>
          <t>A 19910-2024</t>
        </is>
      </c>
      <c r="B869" s="1" t="n">
        <v>45433</v>
      </c>
      <c r="C869" s="1" t="n">
        <v>45710</v>
      </c>
      <c r="D869" t="inlineStr">
        <is>
          <t>DALARNAS LÄN</t>
        </is>
      </c>
      <c r="E869" t="inlineStr">
        <is>
          <t>MORA</t>
        </is>
      </c>
      <c r="G869" t="n">
        <v>0.9</v>
      </c>
      <c r="H869" t="n">
        <v>0</v>
      </c>
      <c r="I869" t="n">
        <v>0</v>
      </c>
      <c r="J869" t="n">
        <v>0</v>
      </c>
      <c r="K869" t="n">
        <v>0</v>
      </c>
      <c r="L869" t="n">
        <v>0</v>
      </c>
      <c r="M869" t="n">
        <v>0</v>
      </c>
      <c r="N869" t="n">
        <v>0</v>
      </c>
      <c r="O869" t="n">
        <v>0</v>
      </c>
      <c r="P869" t="n">
        <v>0</v>
      </c>
      <c r="Q869" t="n">
        <v>0</v>
      </c>
      <c r="R869" s="2" t="inlineStr"/>
    </row>
    <row r="870" ht="15" customHeight="1">
      <c r="A870" t="inlineStr">
        <is>
          <t>A 20036-2024</t>
        </is>
      </c>
      <c r="B870" s="1" t="n">
        <v>45434</v>
      </c>
      <c r="C870" s="1" t="n">
        <v>45710</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20674-2024</t>
        </is>
      </c>
      <c r="B871" s="1" t="n">
        <v>45436</v>
      </c>
      <c r="C871" s="1" t="n">
        <v>45710</v>
      </c>
      <c r="D871" t="inlineStr">
        <is>
          <t>DALARNAS LÄN</t>
        </is>
      </c>
      <c r="E871" t="inlineStr">
        <is>
          <t>MORA</t>
        </is>
      </c>
      <c r="G871" t="n">
        <v>16</v>
      </c>
      <c r="H871" t="n">
        <v>0</v>
      </c>
      <c r="I871" t="n">
        <v>0</v>
      </c>
      <c r="J871" t="n">
        <v>0</v>
      </c>
      <c r="K871" t="n">
        <v>0</v>
      </c>
      <c r="L871" t="n">
        <v>0</v>
      </c>
      <c r="M871" t="n">
        <v>0</v>
      </c>
      <c r="N871" t="n">
        <v>0</v>
      </c>
      <c r="O871" t="n">
        <v>0</v>
      </c>
      <c r="P871" t="n">
        <v>0</v>
      </c>
      <c r="Q871" t="n">
        <v>0</v>
      </c>
      <c r="R871" s="2" t="inlineStr"/>
    </row>
    <row r="872" ht="15" customHeight="1">
      <c r="A872" t="inlineStr">
        <is>
          <t>A 20889-2024</t>
        </is>
      </c>
      <c r="B872" s="1" t="n">
        <v>45439</v>
      </c>
      <c r="C872" s="1" t="n">
        <v>45710</v>
      </c>
      <c r="D872" t="inlineStr">
        <is>
          <t>DALARNAS LÄN</t>
        </is>
      </c>
      <c r="E872" t="inlineStr">
        <is>
          <t>MORA</t>
        </is>
      </c>
      <c r="G872" t="n">
        <v>3.8</v>
      </c>
      <c r="H872" t="n">
        <v>0</v>
      </c>
      <c r="I872" t="n">
        <v>0</v>
      </c>
      <c r="J872" t="n">
        <v>0</v>
      </c>
      <c r="K872" t="n">
        <v>0</v>
      </c>
      <c r="L872" t="n">
        <v>0</v>
      </c>
      <c r="M872" t="n">
        <v>0</v>
      </c>
      <c r="N872" t="n">
        <v>0</v>
      </c>
      <c r="O872" t="n">
        <v>0</v>
      </c>
      <c r="P872" t="n">
        <v>0</v>
      </c>
      <c r="Q872" t="n">
        <v>0</v>
      </c>
      <c r="R872" s="2" t="inlineStr"/>
    </row>
    <row r="873" ht="15" customHeight="1">
      <c r="A873" t="inlineStr">
        <is>
          <t>A 21049-2024</t>
        </is>
      </c>
      <c r="B873" s="1" t="n">
        <v>45439</v>
      </c>
      <c r="C873" s="1" t="n">
        <v>45710</v>
      </c>
      <c r="D873" t="inlineStr">
        <is>
          <t>DALARNAS LÄN</t>
        </is>
      </c>
      <c r="E873" t="inlineStr">
        <is>
          <t>MORA</t>
        </is>
      </c>
      <c r="G873" t="n">
        <v>11</v>
      </c>
      <c r="H873" t="n">
        <v>0</v>
      </c>
      <c r="I873" t="n">
        <v>0</v>
      </c>
      <c r="J873" t="n">
        <v>0</v>
      </c>
      <c r="K873" t="n">
        <v>0</v>
      </c>
      <c r="L873" t="n">
        <v>0</v>
      </c>
      <c r="M873" t="n">
        <v>0</v>
      </c>
      <c r="N873" t="n">
        <v>0</v>
      </c>
      <c r="O873" t="n">
        <v>0</v>
      </c>
      <c r="P873" t="n">
        <v>0</v>
      </c>
      <c r="Q873" t="n">
        <v>0</v>
      </c>
      <c r="R873" s="2" t="inlineStr"/>
    </row>
    <row r="874" ht="15" customHeight="1">
      <c r="A874" t="inlineStr">
        <is>
          <t>A 20885-2024</t>
        </is>
      </c>
      <c r="B874" s="1" t="n">
        <v>45439</v>
      </c>
      <c r="C874" s="1" t="n">
        <v>45710</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20986-2024</t>
        </is>
      </c>
      <c r="B875" s="1" t="n">
        <v>45439</v>
      </c>
      <c r="C875" s="1" t="n">
        <v>45710</v>
      </c>
      <c r="D875" t="inlineStr">
        <is>
          <t>DALARNAS LÄN</t>
        </is>
      </c>
      <c r="E875" t="inlineStr">
        <is>
          <t>MORA</t>
        </is>
      </c>
      <c r="F875" t="inlineStr">
        <is>
          <t>Bergvik skog öst AB</t>
        </is>
      </c>
      <c r="G875" t="n">
        <v>18.7</v>
      </c>
      <c r="H875" t="n">
        <v>0</v>
      </c>
      <c r="I875" t="n">
        <v>0</v>
      </c>
      <c r="J875" t="n">
        <v>0</v>
      </c>
      <c r="K875" t="n">
        <v>0</v>
      </c>
      <c r="L875" t="n">
        <v>0</v>
      </c>
      <c r="M875" t="n">
        <v>0</v>
      </c>
      <c r="N875" t="n">
        <v>0</v>
      </c>
      <c r="O875" t="n">
        <v>0</v>
      </c>
      <c r="P875" t="n">
        <v>0</v>
      </c>
      <c r="Q875" t="n">
        <v>0</v>
      </c>
      <c r="R875" s="2" t="inlineStr"/>
    </row>
    <row r="876" ht="15" customHeight="1">
      <c r="A876" t="inlineStr">
        <is>
          <t>A 20989-2024</t>
        </is>
      </c>
      <c r="B876" s="1" t="n">
        <v>45439</v>
      </c>
      <c r="C876" s="1" t="n">
        <v>45710</v>
      </c>
      <c r="D876" t="inlineStr">
        <is>
          <t>DALARNAS LÄN</t>
        </is>
      </c>
      <c r="E876" t="inlineStr">
        <is>
          <t>MORA</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20930-2024</t>
        </is>
      </c>
      <c r="B877" s="1" t="n">
        <v>45439</v>
      </c>
      <c r="C877" s="1" t="n">
        <v>45710</v>
      </c>
      <c r="D877" t="inlineStr">
        <is>
          <t>DALARNAS LÄN</t>
        </is>
      </c>
      <c r="E877" t="inlineStr">
        <is>
          <t>MORA</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21221-2024</t>
        </is>
      </c>
      <c r="B878" s="1" t="n">
        <v>45440</v>
      </c>
      <c r="C878" s="1" t="n">
        <v>45710</v>
      </c>
      <c r="D878" t="inlineStr">
        <is>
          <t>DALARNAS LÄN</t>
        </is>
      </c>
      <c r="E878" t="inlineStr">
        <is>
          <t>MORA</t>
        </is>
      </c>
      <c r="G878" t="n">
        <v>6.7</v>
      </c>
      <c r="H878" t="n">
        <v>0</v>
      </c>
      <c r="I878" t="n">
        <v>0</v>
      </c>
      <c r="J878" t="n">
        <v>0</v>
      </c>
      <c r="K878" t="n">
        <v>0</v>
      </c>
      <c r="L878" t="n">
        <v>0</v>
      </c>
      <c r="M878" t="n">
        <v>0</v>
      </c>
      <c r="N878" t="n">
        <v>0</v>
      </c>
      <c r="O878" t="n">
        <v>0</v>
      </c>
      <c r="P878" t="n">
        <v>0</v>
      </c>
      <c r="Q878" t="n">
        <v>0</v>
      </c>
      <c r="R878" s="2" t="inlineStr"/>
    </row>
    <row r="879" ht="15" customHeight="1">
      <c r="A879" t="inlineStr">
        <is>
          <t>A 21244-2024</t>
        </is>
      </c>
      <c r="B879" s="1" t="n">
        <v>45440</v>
      </c>
      <c r="C879" s="1" t="n">
        <v>45710</v>
      </c>
      <c r="D879" t="inlineStr">
        <is>
          <t>DALARNAS LÄN</t>
        </is>
      </c>
      <c r="E879" t="inlineStr">
        <is>
          <t>MORA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21256-2024</t>
        </is>
      </c>
      <c r="B880" s="1" t="n">
        <v>45440</v>
      </c>
      <c r="C880" s="1" t="n">
        <v>45710</v>
      </c>
      <c r="D880" t="inlineStr">
        <is>
          <t>DALARNAS LÄN</t>
        </is>
      </c>
      <c r="E880" t="inlineStr">
        <is>
          <t>MORA</t>
        </is>
      </c>
      <c r="G880" t="n">
        <v>3</v>
      </c>
      <c r="H880" t="n">
        <v>0</v>
      </c>
      <c r="I880" t="n">
        <v>0</v>
      </c>
      <c r="J880" t="n">
        <v>0</v>
      </c>
      <c r="K880" t="n">
        <v>0</v>
      </c>
      <c r="L880" t="n">
        <v>0</v>
      </c>
      <c r="M880" t="n">
        <v>0</v>
      </c>
      <c r="N880" t="n">
        <v>0</v>
      </c>
      <c r="O880" t="n">
        <v>0</v>
      </c>
      <c r="P880" t="n">
        <v>0</v>
      </c>
      <c r="Q880" t="n">
        <v>0</v>
      </c>
      <c r="R880" s="2" t="inlineStr"/>
    </row>
    <row r="881" ht="15" customHeight="1">
      <c r="A881" t="inlineStr">
        <is>
          <t>A 21650-2024</t>
        </is>
      </c>
      <c r="B881" s="1" t="n">
        <v>45442</v>
      </c>
      <c r="C881" s="1" t="n">
        <v>45710</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21635-2024</t>
        </is>
      </c>
      <c r="B882" s="1" t="n">
        <v>45442</v>
      </c>
      <c r="C882" s="1" t="n">
        <v>45710</v>
      </c>
      <c r="D882" t="inlineStr">
        <is>
          <t>DALARNAS LÄN</t>
        </is>
      </c>
      <c r="E882" t="inlineStr">
        <is>
          <t>MORA</t>
        </is>
      </c>
      <c r="G882" t="n">
        <v>2.7</v>
      </c>
      <c r="H882" t="n">
        <v>0</v>
      </c>
      <c r="I882" t="n">
        <v>0</v>
      </c>
      <c r="J882" t="n">
        <v>0</v>
      </c>
      <c r="K882" t="n">
        <v>0</v>
      </c>
      <c r="L882" t="n">
        <v>0</v>
      </c>
      <c r="M882" t="n">
        <v>0</v>
      </c>
      <c r="N882" t="n">
        <v>0</v>
      </c>
      <c r="O882" t="n">
        <v>0</v>
      </c>
      <c r="P882" t="n">
        <v>0</v>
      </c>
      <c r="Q882" t="n">
        <v>0</v>
      </c>
      <c r="R882" s="2" t="inlineStr"/>
    </row>
    <row r="883" ht="15" customHeight="1">
      <c r="A883" t="inlineStr">
        <is>
          <t>A 21660-2024</t>
        </is>
      </c>
      <c r="B883" s="1" t="n">
        <v>45442</v>
      </c>
      <c r="C883" s="1" t="n">
        <v>45710</v>
      </c>
      <c r="D883" t="inlineStr">
        <is>
          <t>DALARNAS LÄN</t>
        </is>
      </c>
      <c r="E883" t="inlineStr">
        <is>
          <t>MORA</t>
        </is>
      </c>
      <c r="G883" t="n">
        <v>2</v>
      </c>
      <c r="H883" t="n">
        <v>0</v>
      </c>
      <c r="I883" t="n">
        <v>0</v>
      </c>
      <c r="J883" t="n">
        <v>0</v>
      </c>
      <c r="K883" t="n">
        <v>0</v>
      </c>
      <c r="L883" t="n">
        <v>0</v>
      </c>
      <c r="M883" t="n">
        <v>0</v>
      </c>
      <c r="N883" t="n">
        <v>0</v>
      </c>
      <c r="O883" t="n">
        <v>0</v>
      </c>
      <c r="P883" t="n">
        <v>0</v>
      </c>
      <c r="Q883" t="n">
        <v>0</v>
      </c>
      <c r="R883" s="2" t="inlineStr"/>
    </row>
    <row r="884" ht="15" customHeight="1">
      <c r="A884" t="inlineStr">
        <is>
          <t>A 21886-2024</t>
        </is>
      </c>
      <c r="B884" s="1" t="n">
        <v>45443</v>
      </c>
      <c r="C884" s="1" t="n">
        <v>45710</v>
      </c>
      <c r="D884" t="inlineStr">
        <is>
          <t>DALARNAS LÄN</t>
        </is>
      </c>
      <c r="E884" t="inlineStr">
        <is>
          <t>MORA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22390-2024</t>
        </is>
      </c>
      <c r="B885" s="1" t="n">
        <v>45446</v>
      </c>
      <c r="C885" s="1" t="n">
        <v>45710</v>
      </c>
      <c r="D885" t="inlineStr">
        <is>
          <t>DALARNAS LÄN</t>
        </is>
      </c>
      <c r="E885" t="inlineStr">
        <is>
          <t>MORA</t>
        </is>
      </c>
      <c r="G885" t="n">
        <v>0.6</v>
      </c>
      <c r="H885" t="n">
        <v>0</v>
      </c>
      <c r="I885" t="n">
        <v>0</v>
      </c>
      <c r="J885" t="n">
        <v>0</v>
      </c>
      <c r="K885" t="n">
        <v>0</v>
      </c>
      <c r="L885" t="n">
        <v>0</v>
      </c>
      <c r="M885" t="n">
        <v>0</v>
      </c>
      <c r="N885" t="n">
        <v>0</v>
      </c>
      <c r="O885" t="n">
        <v>0</v>
      </c>
      <c r="P885" t="n">
        <v>0</v>
      </c>
      <c r="Q885" t="n">
        <v>0</v>
      </c>
      <c r="R885" s="2" t="inlineStr"/>
    </row>
    <row r="886" ht="15" customHeight="1">
      <c r="A886" t="inlineStr">
        <is>
          <t>A 22598-2024</t>
        </is>
      </c>
      <c r="B886" s="1" t="n">
        <v>45447</v>
      </c>
      <c r="C886" s="1" t="n">
        <v>45710</v>
      </c>
      <c r="D886" t="inlineStr">
        <is>
          <t>DALARNAS LÄN</t>
        </is>
      </c>
      <c r="E886" t="inlineStr">
        <is>
          <t>MORA</t>
        </is>
      </c>
      <c r="G886" t="n">
        <v>7.2</v>
      </c>
      <c r="H886" t="n">
        <v>0</v>
      </c>
      <c r="I886" t="n">
        <v>0</v>
      </c>
      <c r="J886" t="n">
        <v>0</v>
      </c>
      <c r="K886" t="n">
        <v>0</v>
      </c>
      <c r="L886" t="n">
        <v>0</v>
      </c>
      <c r="M886" t="n">
        <v>0</v>
      </c>
      <c r="N886" t="n">
        <v>0</v>
      </c>
      <c r="O886" t="n">
        <v>0</v>
      </c>
      <c r="P886" t="n">
        <v>0</v>
      </c>
      <c r="Q886" t="n">
        <v>0</v>
      </c>
      <c r="R886" s="2" t="inlineStr"/>
    </row>
    <row r="887" ht="15" customHeight="1">
      <c r="A887" t="inlineStr">
        <is>
          <t>A 25515-2024</t>
        </is>
      </c>
      <c r="B887" s="1" t="n">
        <v>45448</v>
      </c>
      <c r="C887" s="1" t="n">
        <v>45710</v>
      </c>
      <c r="D887" t="inlineStr">
        <is>
          <t>DALARNAS LÄN</t>
        </is>
      </c>
      <c r="E887" t="inlineStr">
        <is>
          <t>MORA</t>
        </is>
      </c>
      <c r="G887" t="n">
        <v>24.5</v>
      </c>
      <c r="H887" t="n">
        <v>0</v>
      </c>
      <c r="I887" t="n">
        <v>0</v>
      </c>
      <c r="J887" t="n">
        <v>0</v>
      </c>
      <c r="K887" t="n">
        <v>0</v>
      </c>
      <c r="L887" t="n">
        <v>0</v>
      </c>
      <c r="M887" t="n">
        <v>0</v>
      </c>
      <c r="N887" t="n">
        <v>0</v>
      </c>
      <c r="O887" t="n">
        <v>0</v>
      </c>
      <c r="P887" t="n">
        <v>0</v>
      </c>
      <c r="Q887" t="n">
        <v>0</v>
      </c>
      <c r="R887" s="2" t="inlineStr"/>
    </row>
    <row r="888" ht="15" customHeight="1">
      <c r="A888" t="inlineStr">
        <is>
          <t>A 22732-2024</t>
        </is>
      </c>
      <c r="B888" s="1" t="n">
        <v>45448</v>
      </c>
      <c r="C888" s="1" t="n">
        <v>45710</v>
      </c>
      <c r="D888" t="inlineStr">
        <is>
          <t>DALARNAS LÄN</t>
        </is>
      </c>
      <c r="E888" t="inlineStr">
        <is>
          <t>MORA</t>
        </is>
      </c>
      <c r="G888" t="n">
        <v>3.6</v>
      </c>
      <c r="H888" t="n">
        <v>0</v>
      </c>
      <c r="I888" t="n">
        <v>0</v>
      </c>
      <c r="J888" t="n">
        <v>0</v>
      </c>
      <c r="K888" t="n">
        <v>0</v>
      </c>
      <c r="L888" t="n">
        <v>0</v>
      </c>
      <c r="M888" t="n">
        <v>0</v>
      </c>
      <c r="N888" t="n">
        <v>0</v>
      </c>
      <c r="O888" t="n">
        <v>0</v>
      </c>
      <c r="P888" t="n">
        <v>0</v>
      </c>
      <c r="Q888" t="n">
        <v>0</v>
      </c>
      <c r="R888" s="2" t="inlineStr"/>
    </row>
    <row r="889" ht="15" customHeight="1">
      <c r="A889" t="inlineStr">
        <is>
          <t>A 22737-2024</t>
        </is>
      </c>
      <c r="B889" s="1" t="n">
        <v>45448</v>
      </c>
      <c r="C889" s="1" t="n">
        <v>45710</v>
      </c>
      <c r="D889" t="inlineStr">
        <is>
          <t>DALARNAS LÄN</t>
        </is>
      </c>
      <c r="E889" t="inlineStr">
        <is>
          <t>MORA</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23057-2024</t>
        </is>
      </c>
      <c r="B890" s="1" t="n">
        <v>45450</v>
      </c>
      <c r="C890" s="1" t="n">
        <v>45710</v>
      </c>
      <c r="D890" t="inlineStr">
        <is>
          <t>DALARNAS LÄN</t>
        </is>
      </c>
      <c r="E890" t="inlineStr">
        <is>
          <t>MORA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23311-2024</t>
        </is>
      </c>
      <c r="B891" s="1" t="n">
        <v>45453</v>
      </c>
      <c r="C891" s="1" t="n">
        <v>45710</v>
      </c>
      <c r="D891" t="inlineStr">
        <is>
          <t>DALARNAS LÄN</t>
        </is>
      </c>
      <c r="E891" t="inlineStr">
        <is>
          <t>MORA</t>
        </is>
      </c>
      <c r="G891" t="n">
        <v>3.4</v>
      </c>
      <c r="H891" t="n">
        <v>0</v>
      </c>
      <c r="I891" t="n">
        <v>0</v>
      </c>
      <c r="J891" t="n">
        <v>0</v>
      </c>
      <c r="K891" t="n">
        <v>0</v>
      </c>
      <c r="L891" t="n">
        <v>0</v>
      </c>
      <c r="M891" t="n">
        <v>0</v>
      </c>
      <c r="N891" t="n">
        <v>0</v>
      </c>
      <c r="O891" t="n">
        <v>0</v>
      </c>
      <c r="P891" t="n">
        <v>0</v>
      </c>
      <c r="Q891" t="n">
        <v>0</v>
      </c>
      <c r="R891" s="2" t="inlineStr"/>
    </row>
    <row r="892" ht="15" customHeight="1">
      <c r="A892" t="inlineStr">
        <is>
          <t>A 23364-2024</t>
        </is>
      </c>
      <c r="B892" s="1" t="n">
        <v>45453</v>
      </c>
      <c r="C892" s="1" t="n">
        <v>45710</v>
      </c>
      <c r="D892" t="inlineStr">
        <is>
          <t>DALARNAS LÄN</t>
        </is>
      </c>
      <c r="E892" t="inlineStr">
        <is>
          <t>MORA</t>
        </is>
      </c>
      <c r="G892" t="n">
        <v>4.8</v>
      </c>
      <c r="H892" t="n">
        <v>0</v>
      </c>
      <c r="I892" t="n">
        <v>0</v>
      </c>
      <c r="J892" t="n">
        <v>0</v>
      </c>
      <c r="K892" t="n">
        <v>0</v>
      </c>
      <c r="L892" t="n">
        <v>0</v>
      </c>
      <c r="M892" t="n">
        <v>0</v>
      </c>
      <c r="N892" t="n">
        <v>0</v>
      </c>
      <c r="O892" t="n">
        <v>0</v>
      </c>
      <c r="P892" t="n">
        <v>0</v>
      </c>
      <c r="Q892" t="n">
        <v>0</v>
      </c>
      <c r="R892" s="2" t="inlineStr"/>
    </row>
    <row r="893" ht="15" customHeight="1">
      <c r="A893" t="inlineStr">
        <is>
          <t>A 23300-2024</t>
        </is>
      </c>
      <c r="B893" s="1" t="n">
        <v>45453</v>
      </c>
      <c r="C893" s="1" t="n">
        <v>45710</v>
      </c>
      <c r="D893" t="inlineStr">
        <is>
          <t>DALARNAS LÄN</t>
        </is>
      </c>
      <c r="E893" t="inlineStr">
        <is>
          <t>MORA</t>
        </is>
      </c>
      <c r="G893" t="n">
        <v>0.5</v>
      </c>
      <c r="H893" t="n">
        <v>0</v>
      </c>
      <c r="I893" t="n">
        <v>0</v>
      </c>
      <c r="J893" t="n">
        <v>0</v>
      </c>
      <c r="K893" t="n">
        <v>0</v>
      </c>
      <c r="L893" t="n">
        <v>0</v>
      </c>
      <c r="M893" t="n">
        <v>0</v>
      </c>
      <c r="N893" t="n">
        <v>0</v>
      </c>
      <c r="O893" t="n">
        <v>0</v>
      </c>
      <c r="P893" t="n">
        <v>0</v>
      </c>
      <c r="Q893" t="n">
        <v>0</v>
      </c>
      <c r="R893" s="2" t="inlineStr"/>
    </row>
    <row r="894" ht="15" customHeight="1">
      <c r="A894" t="inlineStr">
        <is>
          <t>A 23318-2024</t>
        </is>
      </c>
      <c r="B894" s="1" t="n">
        <v>45453</v>
      </c>
      <c r="C894" s="1" t="n">
        <v>45710</v>
      </c>
      <c r="D894" t="inlineStr">
        <is>
          <t>DALARNAS LÄN</t>
        </is>
      </c>
      <c r="E894" t="inlineStr">
        <is>
          <t>MORA</t>
        </is>
      </c>
      <c r="G894" t="n">
        <v>5.9</v>
      </c>
      <c r="H894" t="n">
        <v>0</v>
      </c>
      <c r="I894" t="n">
        <v>0</v>
      </c>
      <c r="J894" t="n">
        <v>0</v>
      </c>
      <c r="K894" t="n">
        <v>0</v>
      </c>
      <c r="L894" t="n">
        <v>0</v>
      </c>
      <c r="M894" t="n">
        <v>0</v>
      </c>
      <c r="N894" t="n">
        <v>0</v>
      </c>
      <c r="O894" t="n">
        <v>0</v>
      </c>
      <c r="P894" t="n">
        <v>0</v>
      </c>
      <c r="Q894" t="n">
        <v>0</v>
      </c>
      <c r="R894" s="2" t="inlineStr"/>
    </row>
    <row r="895" ht="15" customHeight="1">
      <c r="A895" t="inlineStr">
        <is>
          <t>A 23306-2024</t>
        </is>
      </c>
      <c r="B895" s="1" t="n">
        <v>45453</v>
      </c>
      <c r="C895" s="1" t="n">
        <v>45710</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23302-2024</t>
        </is>
      </c>
      <c r="B896" s="1" t="n">
        <v>45453</v>
      </c>
      <c r="C896" s="1" t="n">
        <v>45710</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23298-2024</t>
        </is>
      </c>
      <c r="B897" s="1" t="n">
        <v>45453</v>
      </c>
      <c r="C897" s="1" t="n">
        <v>45710</v>
      </c>
      <c r="D897" t="inlineStr">
        <is>
          <t>DALARNAS LÄN</t>
        </is>
      </c>
      <c r="E897" t="inlineStr">
        <is>
          <t>MORA</t>
        </is>
      </c>
      <c r="G897" t="n">
        <v>6.7</v>
      </c>
      <c r="H897" t="n">
        <v>0</v>
      </c>
      <c r="I897" t="n">
        <v>0</v>
      </c>
      <c r="J897" t="n">
        <v>0</v>
      </c>
      <c r="K897" t="n">
        <v>0</v>
      </c>
      <c r="L897" t="n">
        <v>0</v>
      </c>
      <c r="M897" t="n">
        <v>0</v>
      </c>
      <c r="N897" t="n">
        <v>0</v>
      </c>
      <c r="O897" t="n">
        <v>0</v>
      </c>
      <c r="P897" t="n">
        <v>0</v>
      </c>
      <c r="Q897" t="n">
        <v>0</v>
      </c>
      <c r="R897" s="2" t="inlineStr"/>
    </row>
    <row r="898" ht="15" customHeight="1">
      <c r="A898" t="inlineStr">
        <is>
          <t>A 23669-2024</t>
        </is>
      </c>
      <c r="B898" s="1" t="n">
        <v>45454</v>
      </c>
      <c r="C898" s="1" t="n">
        <v>45710</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23797-2024</t>
        </is>
      </c>
      <c r="B899" s="1" t="n">
        <v>45455</v>
      </c>
      <c r="C899" s="1" t="n">
        <v>45710</v>
      </c>
      <c r="D899" t="inlineStr">
        <is>
          <t>DALARNAS LÄN</t>
        </is>
      </c>
      <c r="E899" t="inlineStr">
        <is>
          <t>MORA</t>
        </is>
      </c>
      <c r="G899" t="n">
        <v>2.9</v>
      </c>
      <c r="H899" t="n">
        <v>0</v>
      </c>
      <c r="I899" t="n">
        <v>0</v>
      </c>
      <c r="J899" t="n">
        <v>0</v>
      </c>
      <c r="K899" t="n">
        <v>0</v>
      </c>
      <c r="L899" t="n">
        <v>0</v>
      </c>
      <c r="M899" t="n">
        <v>0</v>
      </c>
      <c r="N899" t="n">
        <v>0</v>
      </c>
      <c r="O899" t="n">
        <v>0</v>
      </c>
      <c r="P899" t="n">
        <v>0</v>
      </c>
      <c r="Q899" t="n">
        <v>0</v>
      </c>
      <c r="R899" s="2" t="inlineStr"/>
    </row>
    <row r="900" ht="15" customHeight="1">
      <c r="A900" t="inlineStr">
        <is>
          <t>A 23866-2024</t>
        </is>
      </c>
      <c r="B900" s="1" t="n">
        <v>45455</v>
      </c>
      <c r="C900" s="1" t="n">
        <v>45710</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24350-2024</t>
        </is>
      </c>
      <c r="B901" s="1" t="n">
        <v>45457</v>
      </c>
      <c r="C901" s="1" t="n">
        <v>45710</v>
      </c>
      <c r="D901" t="inlineStr">
        <is>
          <t>DALARNAS LÄN</t>
        </is>
      </c>
      <c r="E901" t="inlineStr">
        <is>
          <t>MORA</t>
        </is>
      </c>
      <c r="F901" t="inlineStr">
        <is>
          <t>Bergvik skog öst AB</t>
        </is>
      </c>
      <c r="G901" t="n">
        <v>9.6</v>
      </c>
      <c r="H901" t="n">
        <v>0</v>
      </c>
      <c r="I901" t="n">
        <v>0</v>
      </c>
      <c r="J901" t="n">
        <v>0</v>
      </c>
      <c r="K901" t="n">
        <v>0</v>
      </c>
      <c r="L901" t="n">
        <v>0</v>
      </c>
      <c r="M901" t="n">
        <v>0</v>
      </c>
      <c r="N901" t="n">
        <v>0</v>
      </c>
      <c r="O901" t="n">
        <v>0</v>
      </c>
      <c r="P901" t="n">
        <v>0</v>
      </c>
      <c r="Q901" t="n">
        <v>0</v>
      </c>
      <c r="R901" s="2" t="inlineStr"/>
    </row>
    <row r="902" ht="15" customHeight="1">
      <c r="A902" t="inlineStr">
        <is>
          <t>A 24343-2024</t>
        </is>
      </c>
      <c r="B902" s="1" t="n">
        <v>45457</v>
      </c>
      <c r="C902" s="1" t="n">
        <v>45710</v>
      </c>
      <c r="D902" t="inlineStr">
        <is>
          <t>DALARNAS LÄN</t>
        </is>
      </c>
      <c r="E902" t="inlineStr">
        <is>
          <t>MORA</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24768-2024</t>
        </is>
      </c>
      <c r="B903" s="1" t="n">
        <v>45460</v>
      </c>
      <c r="C903" s="1" t="n">
        <v>45710</v>
      </c>
      <c r="D903" t="inlineStr">
        <is>
          <t>DALARNAS LÄN</t>
        </is>
      </c>
      <c r="E903" t="inlineStr">
        <is>
          <t>MORA</t>
        </is>
      </c>
      <c r="G903" t="n">
        <v>2.4</v>
      </c>
      <c r="H903" t="n">
        <v>0</v>
      </c>
      <c r="I903" t="n">
        <v>0</v>
      </c>
      <c r="J903" t="n">
        <v>0</v>
      </c>
      <c r="K903" t="n">
        <v>0</v>
      </c>
      <c r="L903" t="n">
        <v>0</v>
      </c>
      <c r="M903" t="n">
        <v>0</v>
      </c>
      <c r="N903" t="n">
        <v>0</v>
      </c>
      <c r="O903" t="n">
        <v>0</v>
      </c>
      <c r="P903" t="n">
        <v>0</v>
      </c>
      <c r="Q903" t="n">
        <v>0</v>
      </c>
      <c r="R903" s="2" t="inlineStr"/>
    </row>
    <row r="904" ht="15" customHeight="1">
      <c r="A904" t="inlineStr">
        <is>
          <t>A 24772-2024</t>
        </is>
      </c>
      <c r="B904" s="1" t="n">
        <v>45460</v>
      </c>
      <c r="C904" s="1" t="n">
        <v>45710</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24590-2024</t>
        </is>
      </c>
      <c r="B905" s="1" t="n">
        <v>45460</v>
      </c>
      <c r="C905" s="1" t="n">
        <v>45710</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24593-2024</t>
        </is>
      </c>
      <c r="B906" s="1" t="n">
        <v>45460</v>
      </c>
      <c r="C906" s="1" t="n">
        <v>45710</v>
      </c>
      <c r="D906" t="inlineStr">
        <is>
          <t>DALARNAS LÄN</t>
        </is>
      </c>
      <c r="E906" t="inlineStr">
        <is>
          <t>MORA</t>
        </is>
      </c>
      <c r="G906" t="n">
        <v>6.6</v>
      </c>
      <c r="H906" t="n">
        <v>0</v>
      </c>
      <c r="I906" t="n">
        <v>0</v>
      </c>
      <c r="J906" t="n">
        <v>0</v>
      </c>
      <c r="K906" t="n">
        <v>0</v>
      </c>
      <c r="L906" t="n">
        <v>0</v>
      </c>
      <c r="M906" t="n">
        <v>0</v>
      </c>
      <c r="N906" t="n">
        <v>0</v>
      </c>
      <c r="O906" t="n">
        <v>0</v>
      </c>
      <c r="P906" t="n">
        <v>0</v>
      </c>
      <c r="Q906" t="n">
        <v>0</v>
      </c>
      <c r="R906" s="2" t="inlineStr"/>
    </row>
    <row r="907" ht="15" customHeight="1">
      <c r="A907" t="inlineStr">
        <is>
          <t>A 25499-2024</t>
        </is>
      </c>
      <c r="B907" s="1" t="n">
        <v>45463</v>
      </c>
      <c r="C907" s="1" t="n">
        <v>45710</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25494-2024</t>
        </is>
      </c>
      <c r="B908" s="1" t="n">
        <v>45463</v>
      </c>
      <c r="C908" s="1" t="n">
        <v>45710</v>
      </c>
      <c r="D908" t="inlineStr">
        <is>
          <t>DALARNAS LÄN</t>
        </is>
      </c>
      <c r="E908" t="inlineStr">
        <is>
          <t>MORA</t>
        </is>
      </c>
      <c r="G908" t="n">
        <v>4.9</v>
      </c>
      <c r="H908" t="n">
        <v>0</v>
      </c>
      <c r="I908" t="n">
        <v>0</v>
      </c>
      <c r="J908" t="n">
        <v>0</v>
      </c>
      <c r="K908" t="n">
        <v>0</v>
      </c>
      <c r="L908" t="n">
        <v>0</v>
      </c>
      <c r="M908" t="n">
        <v>0</v>
      </c>
      <c r="N908" t="n">
        <v>0</v>
      </c>
      <c r="O908" t="n">
        <v>0</v>
      </c>
      <c r="P908" t="n">
        <v>0</v>
      </c>
      <c r="Q908" t="n">
        <v>0</v>
      </c>
      <c r="R908" s="2" t="inlineStr"/>
    </row>
    <row r="909" ht="15" customHeight="1">
      <c r="A909" t="inlineStr">
        <is>
          <t>A 25426-2024</t>
        </is>
      </c>
      <c r="B909" s="1" t="n">
        <v>45463</v>
      </c>
      <c r="C909" s="1" t="n">
        <v>45710</v>
      </c>
      <c r="D909" t="inlineStr">
        <is>
          <t>DALARNAS LÄN</t>
        </is>
      </c>
      <c r="E909" t="inlineStr">
        <is>
          <t>MORA</t>
        </is>
      </c>
      <c r="G909" t="n">
        <v>14.1</v>
      </c>
      <c r="H909" t="n">
        <v>0</v>
      </c>
      <c r="I909" t="n">
        <v>0</v>
      </c>
      <c r="J909" t="n">
        <v>0</v>
      </c>
      <c r="K909" t="n">
        <v>0</v>
      </c>
      <c r="L909" t="n">
        <v>0</v>
      </c>
      <c r="M909" t="n">
        <v>0</v>
      </c>
      <c r="N909" t="n">
        <v>0</v>
      </c>
      <c r="O909" t="n">
        <v>0</v>
      </c>
      <c r="P909" t="n">
        <v>0</v>
      </c>
      <c r="Q909" t="n">
        <v>0</v>
      </c>
      <c r="R909" s="2" t="inlineStr"/>
    </row>
    <row r="910" ht="15" customHeight="1">
      <c r="A910" t="inlineStr">
        <is>
          <t>A 25856-2024</t>
        </is>
      </c>
      <c r="B910" s="1" t="n">
        <v>45467</v>
      </c>
      <c r="C910" s="1" t="n">
        <v>45710</v>
      </c>
      <c r="D910" t="inlineStr">
        <is>
          <t>DALARNAS LÄN</t>
        </is>
      </c>
      <c r="E910" t="inlineStr">
        <is>
          <t>MORA</t>
        </is>
      </c>
      <c r="G910" t="n">
        <v>2.8</v>
      </c>
      <c r="H910" t="n">
        <v>0</v>
      </c>
      <c r="I910" t="n">
        <v>0</v>
      </c>
      <c r="J910" t="n">
        <v>0</v>
      </c>
      <c r="K910" t="n">
        <v>0</v>
      </c>
      <c r="L910" t="n">
        <v>0</v>
      </c>
      <c r="M910" t="n">
        <v>0</v>
      </c>
      <c r="N910" t="n">
        <v>0</v>
      </c>
      <c r="O910" t="n">
        <v>0</v>
      </c>
      <c r="P910" t="n">
        <v>0</v>
      </c>
      <c r="Q910" t="n">
        <v>0</v>
      </c>
      <c r="R910" s="2" t="inlineStr"/>
    </row>
    <row r="911" ht="15" customHeight="1">
      <c r="A911" t="inlineStr">
        <is>
          <t>A 26577-2024</t>
        </is>
      </c>
      <c r="B911" s="1" t="n">
        <v>45469</v>
      </c>
      <c r="C911" s="1" t="n">
        <v>45710</v>
      </c>
      <c r="D911" t="inlineStr">
        <is>
          <t>DALARNAS LÄN</t>
        </is>
      </c>
      <c r="E911" t="inlineStr">
        <is>
          <t>MORA</t>
        </is>
      </c>
      <c r="G911" t="n">
        <v>5.4</v>
      </c>
      <c r="H911" t="n">
        <v>0</v>
      </c>
      <c r="I911" t="n">
        <v>0</v>
      </c>
      <c r="J911" t="n">
        <v>0</v>
      </c>
      <c r="K911" t="n">
        <v>0</v>
      </c>
      <c r="L911" t="n">
        <v>0</v>
      </c>
      <c r="M911" t="n">
        <v>0</v>
      </c>
      <c r="N911" t="n">
        <v>0</v>
      </c>
      <c r="O911" t="n">
        <v>0</v>
      </c>
      <c r="P911" t="n">
        <v>0</v>
      </c>
      <c r="Q911" t="n">
        <v>0</v>
      </c>
      <c r="R911" s="2" t="inlineStr"/>
    </row>
    <row r="912" ht="15" customHeight="1">
      <c r="A912" t="inlineStr">
        <is>
          <t>A 26810-2024</t>
        </is>
      </c>
      <c r="B912" s="1" t="n">
        <v>45470</v>
      </c>
      <c r="C912" s="1" t="n">
        <v>45710</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26724-2024</t>
        </is>
      </c>
      <c r="B913" s="1" t="n">
        <v>45470</v>
      </c>
      <c r="C913" s="1" t="n">
        <v>45710</v>
      </c>
      <c r="D913" t="inlineStr">
        <is>
          <t>DALARNAS LÄN</t>
        </is>
      </c>
      <c r="E913" t="inlineStr">
        <is>
          <t>MORA</t>
        </is>
      </c>
      <c r="G913" t="n">
        <v>5.1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45710</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45710</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45710</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45710</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45710</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45710</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45710</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45710</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45710</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45710</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45710</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45710</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45710</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45710</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45710</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45710</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45710</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45710</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45710</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45710</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45710</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45710</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45710</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45710</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45710</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45710</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45710</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45710</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45710</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45710</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45710</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45710</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45710</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45710</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45710</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45710</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45710</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45710</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45710</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45710</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45710</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45710</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45710</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45710</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45710</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45710</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45710</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45710</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45710</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45710</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45710</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45710</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45710</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45710</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45710</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45710</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45710</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45710</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45710</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45710</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45710</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45710</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45710</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45710</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45710</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45710</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45710</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45710</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45710</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45710</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45710</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45710</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45710</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45710</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45710</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45710</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45710</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45710</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45710</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45710</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45710</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45710</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45710</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45710</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45710</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45710</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45710</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45710</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45710</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45710</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45710</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45710</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45710</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45710</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45710</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45710</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45710</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45710</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45710</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45710</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45710</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45710</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45710</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45710</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45710</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45710</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45710</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45710</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45710</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45710</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45710</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45710</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45710</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45710</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45710</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45710</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45710</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45710</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45710</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45710</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45710</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45710</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45710</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45710</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45710</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45710</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45710</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45710</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45710</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45710</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45710</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45710</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45710</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45710</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45710</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45710</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45710</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45710</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45710</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45710</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45710</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45710</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45710</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45710</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45710</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45710</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45710</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45710</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45710</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45710</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45710</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45710</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45710</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45710</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45710</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45710</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45710</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45710</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45710</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45710</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45710</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45710</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45710</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45710</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45710</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45710</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45710</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45710</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45710</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45710</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45710</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45710</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45710</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45710</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45710</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45710</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45710</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45710</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45710</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45710</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45710</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45710</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45710</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45710</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45710</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45710</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45710</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45710</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45710</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45710</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45710</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45710</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45710</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45710</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45710</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45710</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45710</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45710</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45710</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45710</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45710</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45710</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45710</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45710</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45710</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45710</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45710</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45710</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45710</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45710</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45710</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45710</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45710</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45710</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45710</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45710</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45710</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45710</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45710</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45710</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45710</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45710</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45710</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45710</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45710</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45710</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45710</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45710</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45710</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45710</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45710</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45710</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45710</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45710</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45710</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45710</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45710</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45710</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45710</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45710</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45710</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45710</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45710</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45710</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45710</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45710</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45710</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45710</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45710</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45710</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45710</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45710</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45710</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45710</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45710</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45710</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45710</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4994-2025</t>
        </is>
      </c>
      <c r="B1171" s="1" t="n">
        <v>45691</v>
      </c>
      <c r="C1171" s="1" t="n">
        <v>45710</v>
      </c>
      <c r="D1171" t="inlineStr">
        <is>
          <t>DALARNAS LÄN</t>
        </is>
      </c>
      <c r="E1171" t="inlineStr">
        <is>
          <t>MORA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45710</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45710</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45710</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45710</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5980-2025</t>
        </is>
      </c>
      <c r="B1176" s="1" t="n">
        <v>45695</v>
      </c>
      <c r="C1176" s="1" t="n">
        <v>45710</v>
      </c>
      <c r="D1176" t="inlineStr">
        <is>
          <t>DALARNAS LÄN</t>
        </is>
      </c>
      <c r="E1176" t="inlineStr">
        <is>
          <t>MORA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45710</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6520-2025</t>
        </is>
      </c>
      <c r="B1178" s="1" t="n">
        <v>45699</v>
      </c>
      <c r="C1178" s="1" t="n">
        <v>45710</v>
      </c>
      <c r="D1178" t="inlineStr">
        <is>
          <t>DALARNAS LÄN</t>
        </is>
      </c>
      <c r="E1178" t="inlineStr">
        <is>
          <t>MORA</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7552-2025</t>
        </is>
      </c>
      <c r="B1179" s="1" t="n">
        <v>45705</v>
      </c>
      <c r="C1179" s="1" t="n">
        <v>45710</v>
      </c>
      <c r="D1179" t="inlineStr">
        <is>
          <t>DALARNAS LÄN</t>
        </is>
      </c>
      <c r="E1179" t="inlineStr">
        <is>
          <t>MORA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7565-2025</t>
        </is>
      </c>
      <c r="B1180" s="1" t="n">
        <v>45705</v>
      </c>
      <c r="C1180" s="1" t="n">
        <v>45710</v>
      </c>
      <c r="D1180" t="inlineStr">
        <is>
          <t>DALARNAS LÄN</t>
        </is>
      </c>
      <c r="E1180" t="inlineStr">
        <is>
          <t>MORA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7766-2025</t>
        </is>
      </c>
      <c r="B1181" s="1" t="n">
        <v>45706</v>
      </c>
      <c r="C1181" s="1" t="n">
        <v>45710</v>
      </c>
      <c r="D1181" t="inlineStr">
        <is>
          <t>DALARNAS LÄN</t>
        </is>
      </c>
      <c r="E1181" t="inlineStr">
        <is>
          <t>MORA</t>
        </is>
      </c>
      <c r="G1181" t="n">
        <v>9.699999999999999</v>
      </c>
      <c r="H1181" t="n">
        <v>0</v>
      </c>
      <c r="I1181" t="n">
        <v>0</v>
      </c>
      <c r="J1181" t="n">
        <v>0</v>
      </c>
      <c r="K1181" t="n">
        <v>0</v>
      </c>
      <c r="L1181" t="n">
        <v>0</v>
      </c>
      <c r="M1181" t="n">
        <v>0</v>
      </c>
      <c r="N1181" t="n">
        <v>0</v>
      </c>
      <c r="O1181" t="n">
        <v>0</v>
      </c>
      <c r="P1181" t="n">
        <v>0</v>
      </c>
      <c r="Q1181" t="n">
        <v>0</v>
      </c>
      <c r="R1181" s="2" t="inlineStr"/>
    </row>
    <row r="1182">
      <c r="A1182" t="inlineStr">
        <is>
          <t>A 8343-2025</t>
        </is>
      </c>
      <c r="B1182" s="1" t="n">
        <v>45708</v>
      </c>
      <c r="C1182" s="1" t="n">
        <v>45710</v>
      </c>
      <c r="D1182" t="inlineStr">
        <is>
          <t>DALARNAS LÄN</t>
        </is>
      </c>
      <c r="E1182" t="inlineStr">
        <is>
          <t>MORA</t>
        </is>
      </c>
      <c r="G1182" t="n">
        <v>3.4</v>
      </c>
      <c r="H1182" t="n">
        <v>0</v>
      </c>
      <c r="I1182" t="n">
        <v>0</v>
      </c>
      <c r="J1182" t="n">
        <v>0</v>
      </c>
      <c r="K1182" t="n">
        <v>0</v>
      </c>
      <c r="L1182" t="n">
        <v>0</v>
      </c>
      <c r="M1182" t="n">
        <v>0</v>
      </c>
      <c r="N1182" t="n">
        <v>0</v>
      </c>
      <c r="O1182" t="n">
        <v>0</v>
      </c>
      <c r="P1182" t="n">
        <v>0</v>
      </c>
      <c r="Q1182" t="n">
        <v>0</v>
      </c>
      <c r="R1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2025-02-22T16:16:47Z</dcterms:created>
  <dcterms:modified xmlns:dcterms="http://purl.org/dc/terms/" xmlns:xsi="http://www.w3.org/2001/XMLSchema-instance" xsi:type="dcterms:W3CDTF">2025-02-22T16:16:48Z</dcterms:modified>
</cp:coreProperties>
</file>