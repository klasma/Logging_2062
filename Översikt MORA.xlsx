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45915</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45915</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45915</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45915</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45915</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45915</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45915</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45915</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45915</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45915</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45915</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45915</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45915</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45915</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34714-2025</t>
        </is>
      </c>
      <c r="B21" s="1" t="n">
        <v>45848.52030092593</v>
      </c>
      <c r="C21" s="1" t="n">
        <v>45915</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29934-2025</t>
        </is>
      </c>
      <c r="B22" s="1" t="n">
        <v>45826.44267361111</v>
      </c>
      <c r="C22" s="1" t="n">
        <v>45915</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5064-2023</t>
        </is>
      </c>
      <c r="B23" s="1" t="n">
        <v>44958.60337962963</v>
      </c>
      <c r="C23" s="1" t="n">
        <v>45915</v>
      </c>
      <c r="D23" t="inlineStr">
        <is>
          <t>DALARNAS LÄN</t>
        </is>
      </c>
      <c r="E23" t="inlineStr">
        <is>
          <t>MORA</t>
        </is>
      </c>
      <c r="G23" t="n">
        <v>3.9</v>
      </c>
      <c r="H23" t="n">
        <v>2</v>
      </c>
      <c r="I23" t="n">
        <v>1</v>
      </c>
      <c r="J23" t="n">
        <v>9</v>
      </c>
      <c r="K23" t="n">
        <v>0</v>
      </c>
      <c r="L23" t="n">
        <v>0</v>
      </c>
      <c r="M23" t="n">
        <v>0</v>
      </c>
      <c r="N23" t="n">
        <v>0</v>
      </c>
      <c r="O23" t="n">
        <v>9</v>
      </c>
      <c r="P23" t="n">
        <v>0</v>
      </c>
      <c r="Q23" t="n">
        <v>10</v>
      </c>
      <c r="R23" s="2" t="inlineStr">
        <is>
          <t>Garnlav
Granticka
Rosenticka
Spillkråka
Tallticka
Tretåig hackspett
Ullticka
Vedskivlav
Vitgrynig nållav
Bronshjon</t>
        </is>
      </c>
      <c r="S23">
        <f>HYPERLINK("https://klasma.github.io/Logging_2062/artfynd/A 5064-2023 artfynd.xlsx", "A 5064-2023")</f>
        <v/>
      </c>
      <c r="T23">
        <f>HYPERLINK("https://klasma.github.io/Logging_2062/kartor/A 5064-2023 karta.png", "A 5064-2023")</f>
        <v/>
      </c>
      <c r="V23">
        <f>HYPERLINK("https://klasma.github.io/Logging_2062/klagomål/A 5064-2023 FSC-klagomål.docx", "A 5064-2023")</f>
        <v/>
      </c>
      <c r="W23">
        <f>HYPERLINK("https://klasma.github.io/Logging_2062/klagomålsmail/A 5064-2023 FSC-klagomål mail.docx", "A 5064-2023")</f>
        <v/>
      </c>
      <c r="X23">
        <f>HYPERLINK("https://klasma.github.io/Logging_2062/tillsyn/A 5064-2023 tillsynsbegäran.docx", "A 5064-2023")</f>
        <v/>
      </c>
      <c r="Y23">
        <f>HYPERLINK("https://klasma.github.io/Logging_2062/tillsynsmail/A 5064-2023 tillsynsbegäran mail.docx", "A 5064-2023")</f>
        <v/>
      </c>
      <c r="Z23">
        <f>HYPERLINK("https://klasma.github.io/Logging_2062/fåglar/A 5064-2023 prioriterade fågelarter.docx", "A 5064-2023")</f>
        <v/>
      </c>
    </row>
    <row r="24" ht="15" customHeight="1">
      <c r="A24" t="inlineStr">
        <is>
          <t>A 21041-2023</t>
        </is>
      </c>
      <c r="B24" s="1" t="n">
        <v>45061.58952546296</v>
      </c>
      <c r="C24" s="1" t="n">
        <v>45915</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61943-2024</t>
        </is>
      </c>
      <c r="B25" s="1" t="n">
        <v>45653.49774305556</v>
      </c>
      <c r="C25" s="1" t="n">
        <v>45915</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35486-2025</t>
        </is>
      </c>
      <c r="B26" s="1" t="n">
        <v>45855.74986111111</v>
      </c>
      <c r="C26" s="1" t="n">
        <v>45915</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59983-2024</t>
        </is>
      </c>
      <c r="B27" s="1" t="n">
        <v>45642</v>
      </c>
      <c r="C27" s="1" t="n">
        <v>45915</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45915</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45915</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45915</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61259-2023</t>
        </is>
      </c>
      <c r="B31" s="1" t="n">
        <v>45264</v>
      </c>
      <c r="C31" s="1" t="n">
        <v>45915</v>
      </c>
      <c r="D31" t="inlineStr">
        <is>
          <t>DALARNAS LÄN</t>
        </is>
      </c>
      <c r="E31" t="inlineStr">
        <is>
          <t>MORA</t>
        </is>
      </c>
      <c r="F31" t="inlineStr">
        <is>
          <t>Allmännings- och besparingsskogar</t>
        </is>
      </c>
      <c r="G31" t="n">
        <v>1</v>
      </c>
      <c r="H31" t="n">
        <v>1</v>
      </c>
      <c r="I31" t="n">
        <v>3</v>
      </c>
      <c r="J31" t="n">
        <v>3</v>
      </c>
      <c r="K31" t="n">
        <v>1</v>
      </c>
      <c r="L31" t="n">
        <v>0</v>
      </c>
      <c r="M31" t="n">
        <v>0</v>
      </c>
      <c r="N31" t="n">
        <v>0</v>
      </c>
      <c r="O31" t="n">
        <v>4</v>
      </c>
      <c r="P31" t="n">
        <v>1</v>
      </c>
      <c r="Q31" t="n">
        <v>7</v>
      </c>
      <c r="R31" s="2" t="inlineStr">
        <is>
          <t>Knärot
Brunpudrad nållav
Garnlav
Vitgrynig nållav
Bronshjon
Thomsons trägnagare
Vågbandad barkbock</t>
        </is>
      </c>
      <c r="S31">
        <f>HYPERLINK("https://klasma.github.io/Logging_2062/artfynd/A 61259-2023 artfynd.xlsx", "A 61259-2023")</f>
        <v/>
      </c>
      <c r="T31">
        <f>HYPERLINK("https://klasma.github.io/Logging_2062/kartor/A 61259-2023 karta.png", "A 61259-2023")</f>
        <v/>
      </c>
      <c r="U31">
        <f>HYPERLINK("https://klasma.github.io/Logging_2062/knärot/A 61259-2023 karta knärot.png", "A 61259-2023")</f>
        <v/>
      </c>
      <c r="V31">
        <f>HYPERLINK("https://klasma.github.io/Logging_2062/klagomål/A 61259-2023 FSC-klagomål.docx", "A 61259-2023")</f>
        <v/>
      </c>
      <c r="W31">
        <f>HYPERLINK("https://klasma.github.io/Logging_2062/klagomålsmail/A 61259-2023 FSC-klagomål mail.docx", "A 61259-2023")</f>
        <v/>
      </c>
      <c r="X31">
        <f>HYPERLINK("https://klasma.github.io/Logging_2062/tillsyn/A 61259-2023 tillsynsbegäran.docx", "A 61259-2023")</f>
        <v/>
      </c>
      <c r="Y31">
        <f>HYPERLINK("https://klasma.github.io/Logging_2062/tillsynsmail/A 61259-2023 tillsynsbegäran mail.docx", "A 61259-2023")</f>
        <v/>
      </c>
    </row>
    <row r="32" ht="15" customHeight="1">
      <c r="A32" t="inlineStr">
        <is>
          <t>A 29380-2025</t>
        </is>
      </c>
      <c r="B32" s="1" t="n">
        <v>45824.59025462963</v>
      </c>
      <c r="C32" s="1" t="n">
        <v>45915</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29520-2025</t>
        </is>
      </c>
      <c r="B33" s="1" t="n">
        <v>45825.3303125</v>
      </c>
      <c r="C33" s="1" t="n">
        <v>45915</v>
      </c>
      <c r="D33" t="inlineStr">
        <is>
          <t>DALARNAS LÄN</t>
        </is>
      </c>
      <c r="E33" t="inlineStr">
        <is>
          <t>MORA</t>
        </is>
      </c>
      <c r="G33" t="n">
        <v>20.5</v>
      </c>
      <c r="H33" t="n">
        <v>1</v>
      </c>
      <c r="I33" t="n">
        <v>2</v>
      </c>
      <c r="J33" t="n">
        <v>5</v>
      </c>
      <c r="K33" t="n">
        <v>0</v>
      </c>
      <c r="L33" t="n">
        <v>0</v>
      </c>
      <c r="M33" t="n">
        <v>0</v>
      </c>
      <c r="N33" t="n">
        <v>0</v>
      </c>
      <c r="O33" t="n">
        <v>5</v>
      </c>
      <c r="P33" t="n">
        <v>0</v>
      </c>
      <c r="Q33" t="n">
        <v>7</v>
      </c>
      <c r="R33" s="2" t="inlineStr">
        <is>
          <t>Garnlav
Granticka
Mörk kolflarnlav
Tretåig hackspett
Vedskivlav
Korallblylav
Mindre märgborre</t>
        </is>
      </c>
      <c r="S33">
        <f>HYPERLINK("https://klasma.github.io/Logging_2062/artfynd/A 29520-2025 artfynd.xlsx", "A 29520-2025")</f>
        <v/>
      </c>
      <c r="T33">
        <f>HYPERLINK("https://klasma.github.io/Logging_2062/kartor/A 29520-2025 karta.png", "A 29520-2025")</f>
        <v/>
      </c>
      <c r="V33">
        <f>HYPERLINK("https://klasma.github.io/Logging_2062/klagomål/A 29520-2025 FSC-klagomål.docx", "A 29520-2025")</f>
        <v/>
      </c>
      <c r="W33">
        <f>HYPERLINK("https://klasma.github.io/Logging_2062/klagomålsmail/A 29520-2025 FSC-klagomål mail.docx", "A 29520-2025")</f>
        <v/>
      </c>
      <c r="X33">
        <f>HYPERLINK("https://klasma.github.io/Logging_2062/tillsyn/A 29520-2025 tillsynsbegäran.docx", "A 29520-2025")</f>
        <v/>
      </c>
      <c r="Y33">
        <f>HYPERLINK("https://klasma.github.io/Logging_2062/tillsynsmail/A 29520-2025 tillsynsbegäran mail.docx", "A 29520-2025")</f>
        <v/>
      </c>
      <c r="Z33">
        <f>HYPERLINK("https://klasma.github.io/Logging_2062/fåglar/A 29520-2025 prioriterade fågelarter.docx", "A 29520-2025")</f>
        <v/>
      </c>
    </row>
    <row r="34" ht="15" customHeight="1">
      <c r="A34" t="inlineStr">
        <is>
          <t>A 34447-2024</t>
        </is>
      </c>
      <c r="B34" s="1" t="n">
        <v>45525</v>
      </c>
      <c r="C34" s="1" t="n">
        <v>45915</v>
      </c>
      <c r="D34" t="inlineStr">
        <is>
          <t>DALARNAS LÄN</t>
        </is>
      </c>
      <c r="E34" t="inlineStr">
        <is>
          <t>MORA</t>
        </is>
      </c>
      <c r="G34" t="n">
        <v>8.300000000000001</v>
      </c>
      <c r="H34" t="n">
        <v>0</v>
      </c>
      <c r="I34" t="n">
        <v>0</v>
      </c>
      <c r="J34" t="n">
        <v>6</v>
      </c>
      <c r="K34" t="n">
        <v>0</v>
      </c>
      <c r="L34" t="n">
        <v>0</v>
      </c>
      <c r="M34" t="n">
        <v>0</v>
      </c>
      <c r="N34" t="n">
        <v>0</v>
      </c>
      <c r="O34" t="n">
        <v>6</v>
      </c>
      <c r="P34" t="n">
        <v>0</v>
      </c>
      <c r="Q34" t="n">
        <v>6</v>
      </c>
      <c r="R34" s="2" t="inlineStr">
        <is>
          <t>Dvärgbägarlav
Garnlav
Kolflarnlav
Mörk kolflarnlav
Vedflamlav
Vedskivlav</t>
        </is>
      </c>
      <c r="S34">
        <f>HYPERLINK("https://klasma.github.io/Logging_2062/artfynd/A 34447-2024 artfynd.xlsx", "A 34447-2024")</f>
        <v/>
      </c>
      <c r="T34">
        <f>HYPERLINK("https://klasma.github.io/Logging_2062/kartor/A 34447-2024 karta.png", "A 34447-2024")</f>
        <v/>
      </c>
      <c r="V34">
        <f>HYPERLINK("https://klasma.github.io/Logging_2062/klagomål/A 34447-2024 FSC-klagomål.docx", "A 34447-2024")</f>
        <v/>
      </c>
      <c r="W34">
        <f>HYPERLINK("https://klasma.github.io/Logging_2062/klagomålsmail/A 34447-2024 FSC-klagomål mail.docx", "A 34447-2024")</f>
        <v/>
      </c>
      <c r="X34">
        <f>HYPERLINK("https://klasma.github.io/Logging_2062/tillsyn/A 34447-2024 tillsynsbegäran.docx", "A 34447-2024")</f>
        <v/>
      </c>
      <c r="Y34">
        <f>HYPERLINK("https://klasma.github.io/Logging_2062/tillsynsmail/A 34447-2024 tillsynsbegäran mail.docx", "A 34447-2024")</f>
        <v/>
      </c>
    </row>
    <row r="35" ht="15" customHeight="1">
      <c r="A35" t="inlineStr">
        <is>
          <t>A 34719-2025</t>
        </is>
      </c>
      <c r="B35" s="1" t="n">
        <v>45848.53040509259</v>
      </c>
      <c r="C35" s="1" t="n">
        <v>45915</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8760-2025</t>
        </is>
      </c>
      <c r="B36" s="1" t="n">
        <v>45712.57467592593</v>
      </c>
      <c r="C36" s="1" t="n">
        <v>45915</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45915</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45915</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45915</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14293-2024</t>
        </is>
      </c>
      <c r="B40" s="1" t="n">
        <v>45393.63902777778</v>
      </c>
      <c r="C40" s="1" t="n">
        <v>45915</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45418.39261574074</v>
      </c>
      <c r="C41" s="1" t="n">
        <v>45915</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14829-2025</t>
        </is>
      </c>
      <c r="B42" s="1" t="n">
        <v>45743.36951388889</v>
      </c>
      <c r="C42" s="1" t="n">
        <v>45915</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HYPERLINK("https://klasma.github.io/Logging_2062/artfynd/A 14829-2025 artfynd.xlsx", "A 14829-2025")</f>
        <v/>
      </c>
      <c r="T42">
        <f>HYPERLINK("https://klasma.github.io/Logging_2062/kartor/A 14829-2025 karta.png", "A 14829-2025")</f>
        <v/>
      </c>
      <c r="V42">
        <f>HYPERLINK("https://klasma.github.io/Logging_2062/klagomål/A 14829-2025 FSC-klagomål.docx", "A 14829-2025")</f>
        <v/>
      </c>
      <c r="W42">
        <f>HYPERLINK("https://klasma.github.io/Logging_2062/klagomålsmail/A 14829-2025 FSC-klagomål mail.docx", "A 14829-2025")</f>
        <v/>
      </c>
      <c r="X42">
        <f>HYPERLINK("https://klasma.github.io/Logging_2062/tillsyn/A 14829-2025 tillsynsbegäran.docx", "A 14829-2025")</f>
        <v/>
      </c>
      <c r="Y42">
        <f>HYPERLINK("https://klasma.github.io/Logging_2062/tillsynsmail/A 14829-2025 tillsynsbegäran mail.docx", "A 14829-2025")</f>
        <v/>
      </c>
      <c r="Z42">
        <f>HYPERLINK("https://klasma.github.io/Logging_2062/fåglar/A 14829-2025 prioriterade fågelarter.docx", "A 14829-2025")</f>
        <v/>
      </c>
    </row>
    <row r="43" ht="15" customHeight="1">
      <c r="A43" t="inlineStr">
        <is>
          <t>A 32222-2025</t>
        </is>
      </c>
      <c r="B43" s="1" t="n">
        <v>45835.59140046296</v>
      </c>
      <c r="C43" s="1" t="n">
        <v>45915</v>
      </c>
      <c r="D43" t="inlineStr">
        <is>
          <t>DALARNAS LÄN</t>
        </is>
      </c>
      <c r="E43" t="inlineStr">
        <is>
          <t>MORA</t>
        </is>
      </c>
      <c r="G43" t="n">
        <v>11.5</v>
      </c>
      <c r="H43" t="n">
        <v>1</v>
      </c>
      <c r="I43" t="n">
        <v>0</v>
      </c>
      <c r="J43" t="n">
        <v>4</v>
      </c>
      <c r="K43" t="n">
        <v>0</v>
      </c>
      <c r="L43" t="n">
        <v>0</v>
      </c>
      <c r="M43" t="n">
        <v>0</v>
      </c>
      <c r="N43" t="n">
        <v>0</v>
      </c>
      <c r="O43" t="n">
        <v>4</v>
      </c>
      <c r="P43" t="n">
        <v>0</v>
      </c>
      <c r="Q43" t="n">
        <v>4</v>
      </c>
      <c r="R43" s="2" t="inlineStr">
        <is>
          <t>Garnlav
Reliktbock
Tallticka
Tretåig hackspett</t>
        </is>
      </c>
      <c r="S43">
        <f>HYPERLINK("https://klasma.github.io/Logging_2062/artfynd/A 32222-2025 artfynd.xlsx", "A 32222-2025")</f>
        <v/>
      </c>
      <c r="T43">
        <f>HYPERLINK("https://klasma.github.io/Logging_2062/kartor/A 32222-2025 karta.png", "A 32222-2025")</f>
        <v/>
      </c>
      <c r="V43">
        <f>HYPERLINK("https://klasma.github.io/Logging_2062/klagomål/A 32222-2025 FSC-klagomål.docx", "A 32222-2025")</f>
        <v/>
      </c>
      <c r="W43">
        <f>HYPERLINK("https://klasma.github.io/Logging_2062/klagomålsmail/A 32222-2025 FSC-klagomål mail.docx", "A 32222-2025")</f>
        <v/>
      </c>
      <c r="X43">
        <f>HYPERLINK("https://klasma.github.io/Logging_2062/tillsyn/A 32222-2025 tillsynsbegäran.docx", "A 32222-2025")</f>
        <v/>
      </c>
      <c r="Y43">
        <f>HYPERLINK("https://klasma.github.io/Logging_2062/tillsynsmail/A 32222-2025 tillsynsbegäran mail.docx", "A 32222-2025")</f>
        <v/>
      </c>
      <c r="Z43">
        <f>HYPERLINK("https://klasma.github.io/Logging_2062/fåglar/A 32222-2025 prioriterade fågelarter.docx", "A 32222-2025")</f>
        <v/>
      </c>
    </row>
    <row r="44" ht="15" customHeight="1">
      <c r="A44" t="inlineStr">
        <is>
          <t>A 34715-2025</t>
        </is>
      </c>
      <c r="B44" s="1" t="n">
        <v>45848.52225694444</v>
      </c>
      <c r="C44" s="1" t="n">
        <v>45915</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29392-2025</t>
        </is>
      </c>
      <c r="B45" s="1" t="n">
        <v>45824.60537037037</v>
      </c>
      <c r="C45" s="1" t="n">
        <v>45915</v>
      </c>
      <c r="D45" t="inlineStr">
        <is>
          <t>DALARNAS LÄN</t>
        </is>
      </c>
      <c r="E45" t="inlineStr">
        <is>
          <t>MORA</t>
        </is>
      </c>
      <c r="G45" t="n">
        <v>1</v>
      </c>
      <c r="H45" t="n">
        <v>1</v>
      </c>
      <c r="I45" t="n">
        <v>2</v>
      </c>
      <c r="J45" t="n">
        <v>1</v>
      </c>
      <c r="K45" t="n">
        <v>0</v>
      </c>
      <c r="L45" t="n">
        <v>0</v>
      </c>
      <c r="M45" t="n">
        <v>0</v>
      </c>
      <c r="N45" t="n">
        <v>0</v>
      </c>
      <c r="O45" t="n">
        <v>1</v>
      </c>
      <c r="P45" t="n">
        <v>0</v>
      </c>
      <c r="Q45" t="n">
        <v>3</v>
      </c>
      <c r="R45" s="2" t="inlineStr">
        <is>
          <t>Garnlav
Mindre märgborre
Plattlummer</t>
        </is>
      </c>
      <c r="S45">
        <f>HYPERLINK("https://klasma.github.io/Logging_2062/artfynd/A 29392-2025 artfynd.xlsx", "A 29392-2025")</f>
        <v/>
      </c>
      <c r="T45">
        <f>HYPERLINK("https://klasma.github.io/Logging_2062/kartor/A 29392-2025 karta.png", "A 29392-2025")</f>
        <v/>
      </c>
      <c r="V45">
        <f>HYPERLINK("https://klasma.github.io/Logging_2062/klagomål/A 29392-2025 FSC-klagomål.docx", "A 29392-2025")</f>
        <v/>
      </c>
      <c r="W45">
        <f>HYPERLINK("https://klasma.github.io/Logging_2062/klagomålsmail/A 29392-2025 FSC-klagomål mail.docx", "A 29392-2025")</f>
        <v/>
      </c>
      <c r="X45">
        <f>HYPERLINK("https://klasma.github.io/Logging_2062/tillsyn/A 29392-2025 tillsynsbegäran.docx", "A 29392-2025")</f>
        <v/>
      </c>
      <c r="Y45">
        <f>HYPERLINK("https://klasma.github.io/Logging_2062/tillsynsmail/A 29392-2025 tillsynsbegäran mail.docx", "A 29392-2025")</f>
        <v/>
      </c>
    </row>
    <row r="46" ht="15" customHeight="1">
      <c r="A46" t="inlineStr">
        <is>
          <t>A 20067-2025</t>
        </is>
      </c>
      <c r="B46" s="1" t="n">
        <v>45772.43609953704</v>
      </c>
      <c r="C46" s="1" t="n">
        <v>45915</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HYPERLINK("https://klasma.github.io/Logging_2062/artfynd/A 20067-2025 artfynd.xlsx", "A 20067-2025")</f>
        <v/>
      </c>
      <c r="T46">
        <f>HYPERLINK("https://klasma.github.io/Logging_2062/kartor/A 20067-2025 karta.png", "A 20067-2025")</f>
        <v/>
      </c>
      <c r="V46">
        <f>HYPERLINK("https://klasma.github.io/Logging_2062/klagomål/A 20067-2025 FSC-klagomål.docx", "A 20067-2025")</f>
        <v/>
      </c>
      <c r="W46">
        <f>HYPERLINK("https://klasma.github.io/Logging_2062/klagomålsmail/A 20067-2025 FSC-klagomål mail.docx", "A 20067-2025")</f>
        <v/>
      </c>
      <c r="X46">
        <f>HYPERLINK("https://klasma.github.io/Logging_2062/tillsyn/A 20067-2025 tillsynsbegäran.docx", "A 20067-2025")</f>
        <v/>
      </c>
      <c r="Y46">
        <f>HYPERLINK("https://klasma.github.io/Logging_2062/tillsynsmail/A 20067-2025 tillsynsbegäran mail.docx", "A 20067-2025")</f>
        <v/>
      </c>
    </row>
    <row r="47" ht="15" customHeight="1">
      <c r="A47" t="inlineStr">
        <is>
          <t>A 33380-2025</t>
        </is>
      </c>
      <c r="B47" s="1" t="n">
        <v>45841.40309027778</v>
      </c>
      <c r="C47" s="1" t="n">
        <v>45915</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45915</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45915</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45915</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23163-2025</t>
        </is>
      </c>
      <c r="B51" s="1" t="n">
        <v>45791.41832175926</v>
      </c>
      <c r="C51" s="1" t="n">
        <v>45915</v>
      </c>
      <c r="D51" t="inlineStr">
        <is>
          <t>DALARNAS LÄN</t>
        </is>
      </c>
      <c r="E51" t="inlineStr">
        <is>
          <t>MORA</t>
        </is>
      </c>
      <c r="G51" t="n">
        <v>4.2</v>
      </c>
      <c r="H51" t="n">
        <v>2</v>
      </c>
      <c r="I51" t="n">
        <v>0</v>
      </c>
      <c r="J51" t="n">
        <v>2</v>
      </c>
      <c r="K51" t="n">
        <v>0</v>
      </c>
      <c r="L51" t="n">
        <v>0</v>
      </c>
      <c r="M51" t="n">
        <v>0</v>
      </c>
      <c r="N51" t="n">
        <v>0</v>
      </c>
      <c r="O51" t="n">
        <v>2</v>
      </c>
      <c r="P51" t="n">
        <v>0</v>
      </c>
      <c r="Q51" t="n">
        <v>2</v>
      </c>
      <c r="R51" s="2" t="inlineStr">
        <is>
          <t>Spillkråka
Talltita</t>
        </is>
      </c>
      <c r="S51">
        <f>HYPERLINK("https://klasma.github.io/Logging_2062/artfynd/A 23163-2025 artfynd.xlsx", "A 23163-2025")</f>
        <v/>
      </c>
      <c r="T51">
        <f>HYPERLINK("https://klasma.github.io/Logging_2062/kartor/A 23163-2025 karta.png", "A 23163-2025")</f>
        <v/>
      </c>
      <c r="V51">
        <f>HYPERLINK("https://klasma.github.io/Logging_2062/klagomål/A 23163-2025 FSC-klagomål.docx", "A 23163-2025")</f>
        <v/>
      </c>
      <c r="W51">
        <f>HYPERLINK("https://klasma.github.io/Logging_2062/klagomålsmail/A 23163-2025 FSC-klagomål mail.docx", "A 23163-2025")</f>
        <v/>
      </c>
      <c r="X51">
        <f>HYPERLINK("https://klasma.github.io/Logging_2062/tillsyn/A 23163-2025 tillsynsbegäran.docx", "A 23163-2025")</f>
        <v/>
      </c>
      <c r="Y51">
        <f>HYPERLINK("https://klasma.github.io/Logging_2062/tillsynsmail/A 23163-2025 tillsynsbegäran mail.docx", "A 23163-2025")</f>
        <v/>
      </c>
      <c r="Z51">
        <f>HYPERLINK("https://klasma.github.io/Logging_2062/fåglar/A 23163-2025 prioriterade fågelarter.docx", "A 23163-2025")</f>
        <v/>
      </c>
    </row>
    <row r="52" ht="15" customHeight="1">
      <c r="A52" t="inlineStr">
        <is>
          <t>A 42028-2023</t>
        </is>
      </c>
      <c r="B52" s="1" t="n">
        <v>45177.49715277777</v>
      </c>
      <c r="C52" s="1" t="n">
        <v>45915</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35068-2025</t>
        </is>
      </c>
      <c r="B53" s="1" t="n">
        <v>45852.45686342593</v>
      </c>
      <c r="C53" s="1" t="n">
        <v>45915</v>
      </c>
      <c r="D53" t="inlineStr">
        <is>
          <t>DALARNAS LÄN</t>
        </is>
      </c>
      <c r="E53" t="inlineStr">
        <is>
          <t>MORA</t>
        </is>
      </c>
      <c r="G53" t="n">
        <v>0.7</v>
      </c>
      <c r="H53" t="n">
        <v>0</v>
      </c>
      <c r="I53" t="n">
        <v>1</v>
      </c>
      <c r="J53" t="n">
        <v>1</v>
      </c>
      <c r="K53" t="n">
        <v>0</v>
      </c>
      <c r="L53" t="n">
        <v>0</v>
      </c>
      <c r="M53" t="n">
        <v>0</v>
      </c>
      <c r="N53" t="n">
        <v>0</v>
      </c>
      <c r="O53" t="n">
        <v>1</v>
      </c>
      <c r="P53" t="n">
        <v>0</v>
      </c>
      <c r="Q53" t="n">
        <v>2</v>
      </c>
      <c r="R53" s="2" t="inlineStr">
        <is>
          <t>Garnlav
Mindre märgborre</t>
        </is>
      </c>
      <c r="S53">
        <f>HYPERLINK("https://klasma.github.io/Logging_2062/artfynd/A 35068-2025 artfynd.xlsx", "A 35068-2025")</f>
        <v/>
      </c>
      <c r="T53">
        <f>HYPERLINK("https://klasma.github.io/Logging_2062/kartor/A 35068-2025 karta.png", "A 35068-2025")</f>
        <v/>
      </c>
      <c r="V53">
        <f>HYPERLINK("https://klasma.github.io/Logging_2062/klagomål/A 35068-2025 FSC-klagomål.docx", "A 35068-2025")</f>
        <v/>
      </c>
      <c r="W53">
        <f>HYPERLINK("https://klasma.github.io/Logging_2062/klagomålsmail/A 35068-2025 FSC-klagomål mail.docx", "A 35068-2025")</f>
        <v/>
      </c>
      <c r="X53">
        <f>HYPERLINK("https://klasma.github.io/Logging_2062/tillsyn/A 35068-2025 tillsynsbegäran.docx", "A 35068-2025")</f>
        <v/>
      </c>
      <c r="Y53">
        <f>HYPERLINK("https://klasma.github.io/Logging_2062/tillsynsmail/A 35068-2025 tillsynsbegäran mail.docx", "A 35068-2025")</f>
        <v/>
      </c>
    </row>
    <row r="54" ht="15" customHeight="1">
      <c r="A54" t="inlineStr">
        <is>
          <t>A 24126-2025</t>
        </is>
      </c>
      <c r="B54" s="1" t="n">
        <v>45796.63011574074</v>
      </c>
      <c r="C54" s="1" t="n">
        <v>45915</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30328-2021</t>
        </is>
      </c>
      <c r="B55" s="1" t="n">
        <v>44364</v>
      </c>
      <c r="C55" s="1" t="n">
        <v>45915</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5304-2023</t>
        </is>
      </c>
      <c r="B56" s="1" t="n">
        <v>44959.55116898148</v>
      </c>
      <c r="C56" s="1" t="n">
        <v>45915</v>
      </c>
      <c r="D56" t="inlineStr">
        <is>
          <t>DALARNAS LÄN</t>
        </is>
      </c>
      <c r="E56" t="inlineStr">
        <is>
          <t>MORA</t>
        </is>
      </c>
      <c r="F56" t="inlineStr">
        <is>
          <t>Bergvik skog väst AB</t>
        </is>
      </c>
      <c r="G56" t="n">
        <v>7.3</v>
      </c>
      <c r="H56" t="n">
        <v>0</v>
      </c>
      <c r="I56" t="n">
        <v>0</v>
      </c>
      <c r="J56" t="n">
        <v>1</v>
      </c>
      <c r="K56" t="n">
        <v>0</v>
      </c>
      <c r="L56" t="n">
        <v>0</v>
      </c>
      <c r="M56" t="n">
        <v>0</v>
      </c>
      <c r="N56" t="n">
        <v>0</v>
      </c>
      <c r="O56" t="n">
        <v>1</v>
      </c>
      <c r="P56" t="n">
        <v>0</v>
      </c>
      <c r="Q56" t="n">
        <v>1</v>
      </c>
      <c r="R56" s="2" t="inlineStr">
        <is>
          <t>Backruta</t>
        </is>
      </c>
      <c r="S56">
        <f>HYPERLINK("https://klasma.github.io/Logging_2062/artfynd/A 5304-2023 artfynd.xlsx", "A 5304-2023")</f>
        <v/>
      </c>
      <c r="T56">
        <f>HYPERLINK("https://klasma.github.io/Logging_2062/kartor/A 5304-2023 karta.png", "A 5304-2023")</f>
        <v/>
      </c>
      <c r="V56">
        <f>HYPERLINK("https://klasma.github.io/Logging_2062/klagomål/A 5304-2023 FSC-klagomål.docx", "A 5304-2023")</f>
        <v/>
      </c>
      <c r="W56">
        <f>HYPERLINK("https://klasma.github.io/Logging_2062/klagomålsmail/A 5304-2023 FSC-klagomål mail.docx", "A 5304-2023")</f>
        <v/>
      </c>
      <c r="X56">
        <f>HYPERLINK("https://klasma.github.io/Logging_2062/tillsyn/A 5304-2023 tillsynsbegäran.docx", "A 5304-2023")</f>
        <v/>
      </c>
      <c r="Y56">
        <f>HYPERLINK("https://klasma.github.io/Logging_2062/tillsynsmail/A 5304-2023 tillsynsbegäran mail.docx", "A 5304-2023")</f>
        <v/>
      </c>
    </row>
    <row r="57" ht="15" customHeight="1">
      <c r="A57" t="inlineStr">
        <is>
          <t>A 16094-2024</t>
        </is>
      </c>
      <c r="B57" s="1" t="n">
        <v>45406.41648148148</v>
      </c>
      <c r="C57" s="1" t="n">
        <v>45915</v>
      </c>
      <c r="D57" t="inlineStr">
        <is>
          <t>DALARNAS LÄN</t>
        </is>
      </c>
      <c r="E57" t="inlineStr">
        <is>
          <t>MORA</t>
        </is>
      </c>
      <c r="F57" t="inlineStr">
        <is>
          <t>Bergvik skog väst AB</t>
        </is>
      </c>
      <c r="G57" t="n">
        <v>22.6</v>
      </c>
      <c r="H57" t="n">
        <v>0</v>
      </c>
      <c r="I57" t="n">
        <v>0</v>
      </c>
      <c r="J57" t="n">
        <v>1</v>
      </c>
      <c r="K57" t="n">
        <v>0</v>
      </c>
      <c r="L57" t="n">
        <v>0</v>
      </c>
      <c r="M57" t="n">
        <v>0</v>
      </c>
      <c r="N57" t="n">
        <v>0</v>
      </c>
      <c r="O57" t="n">
        <v>1</v>
      </c>
      <c r="P57" t="n">
        <v>0</v>
      </c>
      <c r="Q57" t="n">
        <v>1</v>
      </c>
      <c r="R57" s="2" t="inlineStr">
        <is>
          <t>Reliktbock</t>
        </is>
      </c>
      <c r="S57">
        <f>HYPERLINK("https://klasma.github.io/Logging_2062/artfynd/A 16094-2024 artfynd.xlsx", "A 16094-2024")</f>
        <v/>
      </c>
      <c r="T57">
        <f>HYPERLINK("https://klasma.github.io/Logging_2062/kartor/A 16094-2024 karta.png", "A 16094-2024")</f>
        <v/>
      </c>
      <c r="V57">
        <f>HYPERLINK("https://klasma.github.io/Logging_2062/klagomål/A 16094-2024 FSC-klagomål.docx", "A 16094-2024")</f>
        <v/>
      </c>
      <c r="W57">
        <f>HYPERLINK("https://klasma.github.io/Logging_2062/klagomålsmail/A 16094-2024 FSC-klagomål mail.docx", "A 16094-2024")</f>
        <v/>
      </c>
      <c r="X57">
        <f>HYPERLINK("https://klasma.github.io/Logging_2062/tillsyn/A 16094-2024 tillsynsbegäran.docx", "A 16094-2024")</f>
        <v/>
      </c>
      <c r="Y57">
        <f>HYPERLINK("https://klasma.github.io/Logging_2062/tillsynsmail/A 16094-2024 tillsynsbegäran mail.docx", "A 16094-2024")</f>
        <v/>
      </c>
    </row>
    <row r="58" ht="15" customHeight="1">
      <c r="A58" t="inlineStr">
        <is>
          <t>A 27113-2024</t>
        </is>
      </c>
      <c r="B58" s="1" t="n">
        <v>45471</v>
      </c>
      <c r="C58" s="1" t="n">
        <v>45915</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831-2025</t>
        </is>
      </c>
      <c r="B59" s="1" t="n">
        <v>45665.58001157407</v>
      </c>
      <c r="C59" s="1" t="n">
        <v>45915</v>
      </c>
      <c r="D59" t="inlineStr">
        <is>
          <t>DALARNAS LÄN</t>
        </is>
      </c>
      <c r="E59" t="inlineStr">
        <is>
          <t>MORA</t>
        </is>
      </c>
      <c r="G59" t="n">
        <v>2.5</v>
      </c>
      <c r="H59" t="n">
        <v>0</v>
      </c>
      <c r="I59" t="n">
        <v>1</v>
      </c>
      <c r="J59" t="n">
        <v>0</v>
      </c>
      <c r="K59" t="n">
        <v>0</v>
      </c>
      <c r="L59" t="n">
        <v>0</v>
      </c>
      <c r="M59" t="n">
        <v>0</v>
      </c>
      <c r="N59" t="n">
        <v>0</v>
      </c>
      <c r="O59" t="n">
        <v>0</v>
      </c>
      <c r="P59" t="n">
        <v>0</v>
      </c>
      <c r="Q59" t="n">
        <v>1</v>
      </c>
      <c r="R59" s="2" t="inlineStr">
        <is>
          <t>Stekelbock</t>
        </is>
      </c>
      <c r="S59">
        <f>HYPERLINK("https://klasma.github.io/Logging_2062/artfynd/A 831-2025 artfynd.xlsx", "A 831-2025")</f>
        <v/>
      </c>
      <c r="T59">
        <f>HYPERLINK("https://klasma.github.io/Logging_2062/kartor/A 831-2025 karta.png", "A 831-2025")</f>
        <v/>
      </c>
      <c r="V59">
        <f>HYPERLINK("https://klasma.github.io/Logging_2062/klagomål/A 831-2025 FSC-klagomål.docx", "A 831-2025")</f>
        <v/>
      </c>
      <c r="W59">
        <f>HYPERLINK("https://klasma.github.io/Logging_2062/klagomålsmail/A 831-2025 FSC-klagomål mail.docx", "A 831-2025")</f>
        <v/>
      </c>
      <c r="X59">
        <f>HYPERLINK("https://klasma.github.io/Logging_2062/tillsyn/A 831-2025 tillsynsbegäran.docx", "A 831-2025")</f>
        <v/>
      </c>
      <c r="Y59">
        <f>HYPERLINK("https://klasma.github.io/Logging_2062/tillsynsmail/A 831-2025 tillsynsbegäran mail.docx", "A 831-2025")</f>
        <v/>
      </c>
    </row>
    <row r="60" ht="15" customHeight="1">
      <c r="A60" t="inlineStr">
        <is>
          <t>A 57669-2022</t>
        </is>
      </c>
      <c r="B60" s="1" t="n">
        <v>44897</v>
      </c>
      <c r="C60" s="1" t="n">
        <v>45915</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20538-2025</t>
        </is>
      </c>
      <c r="B61" s="1" t="n">
        <v>45775.62283564815</v>
      </c>
      <c r="C61" s="1" t="n">
        <v>45915</v>
      </c>
      <c r="D61" t="inlineStr">
        <is>
          <t>DALARNAS LÄN</t>
        </is>
      </c>
      <c r="E61" t="inlineStr">
        <is>
          <t>MORA</t>
        </is>
      </c>
      <c r="G61" t="n">
        <v>0.9</v>
      </c>
      <c r="H61" t="n">
        <v>0</v>
      </c>
      <c r="I61" t="n">
        <v>0</v>
      </c>
      <c r="J61" t="n">
        <v>1</v>
      </c>
      <c r="K61" t="n">
        <v>0</v>
      </c>
      <c r="L61" t="n">
        <v>0</v>
      </c>
      <c r="M61" t="n">
        <v>0</v>
      </c>
      <c r="N61" t="n">
        <v>0</v>
      </c>
      <c r="O61" t="n">
        <v>1</v>
      </c>
      <c r="P61" t="n">
        <v>0</v>
      </c>
      <c r="Q61" t="n">
        <v>1</v>
      </c>
      <c r="R61" s="2" t="inlineStr">
        <is>
          <t>Garnlav</t>
        </is>
      </c>
      <c r="S61">
        <f>HYPERLINK("https://klasma.github.io/Logging_2062/artfynd/A 20538-2025 artfynd.xlsx", "A 20538-2025")</f>
        <v/>
      </c>
      <c r="T61">
        <f>HYPERLINK("https://klasma.github.io/Logging_2062/kartor/A 20538-2025 karta.png", "A 20538-2025")</f>
        <v/>
      </c>
      <c r="V61">
        <f>HYPERLINK("https://klasma.github.io/Logging_2062/klagomål/A 20538-2025 FSC-klagomål.docx", "A 20538-2025")</f>
        <v/>
      </c>
      <c r="W61">
        <f>HYPERLINK("https://klasma.github.io/Logging_2062/klagomålsmail/A 20538-2025 FSC-klagomål mail.docx", "A 20538-2025")</f>
        <v/>
      </c>
      <c r="X61">
        <f>HYPERLINK("https://klasma.github.io/Logging_2062/tillsyn/A 20538-2025 tillsynsbegäran.docx", "A 20538-2025")</f>
        <v/>
      </c>
      <c r="Y61">
        <f>HYPERLINK("https://klasma.github.io/Logging_2062/tillsynsmail/A 20538-2025 tillsynsbegäran mail.docx", "A 20538-2025")</f>
        <v/>
      </c>
    </row>
    <row r="62" ht="15" customHeight="1">
      <c r="A62" t="inlineStr">
        <is>
          <t>A 13717-2023</t>
        </is>
      </c>
      <c r="B62" s="1" t="n">
        <v>45007</v>
      </c>
      <c r="C62" s="1" t="n">
        <v>45915</v>
      </c>
      <c r="D62" t="inlineStr">
        <is>
          <t>DALARNAS LÄN</t>
        </is>
      </c>
      <c r="E62" t="inlineStr">
        <is>
          <t>MORA</t>
        </is>
      </c>
      <c r="G62" t="n">
        <v>5.6</v>
      </c>
      <c r="H62" t="n">
        <v>0</v>
      </c>
      <c r="I62" t="n">
        <v>0</v>
      </c>
      <c r="J62" t="n">
        <v>1</v>
      </c>
      <c r="K62" t="n">
        <v>0</v>
      </c>
      <c r="L62" t="n">
        <v>0</v>
      </c>
      <c r="M62" t="n">
        <v>0</v>
      </c>
      <c r="N62" t="n">
        <v>0</v>
      </c>
      <c r="O62" t="n">
        <v>1</v>
      </c>
      <c r="P62" t="n">
        <v>0</v>
      </c>
      <c r="Q62" t="n">
        <v>1</v>
      </c>
      <c r="R62" s="2" t="inlineStr">
        <is>
          <t>Slåtterfibbla</t>
        </is>
      </c>
      <c r="S62">
        <f>HYPERLINK("https://klasma.github.io/Logging_2062/artfynd/A 13717-2023 artfynd.xlsx", "A 13717-2023")</f>
        <v/>
      </c>
      <c r="T62">
        <f>HYPERLINK("https://klasma.github.io/Logging_2062/kartor/A 13717-2023 karta.png", "A 13717-2023")</f>
        <v/>
      </c>
      <c r="U62">
        <f>HYPERLINK("https://klasma.github.io/Logging_2062/knärot/A 13717-2023 karta knärot.png", "A 13717-2023")</f>
        <v/>
      </c>
      <c r="V62">
        <f>HYPERLINK("https://klasma.github.io/Logging_2062/klagomål/A 13717-2023 FSC-klagomål.docx", "A 13717-2023")</f>
        <v/>
      </c>
      <c r="W62">
        <f>HYPERLINK("https://klasma.github.io/Logging_2062/klagomålsmail/A 13717-2023 FSC-klagomål mail.docx", "A 13717-2023")</f>
        <v/>
      </c>
      <c r="X62">
        <f>HYPERLINK("https://klasma.github.io/Logging_2062/tillsyn/A 13717-2023 tillsynsbegäran.docx", "A 13717-2023")</f>
        <v/>
      </c>
      <c r="Y62">
        <f>HYPERLINK("https://klasma.github.io/Logging_2062/tillsynsmail/A 13717-2023 tillsynsbegäran mail.docx", "A 13717-2023")</f>
        <v/>
      </c>
    </row>
    <row r="63" ht="15" customHeight="1">
      <c r="A63" t="inlineStr">
        <is>
          <t>A 45344-2024</t>
        </is>
      </c>
      <c r="B63" s="1" t="n">
        <v>45576</v>
      </c>
      <c r="C63" s="1" t="n">
        <v>45915</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23736-2023</t>
        </is>
      </c>
      <c r="B64" s="1" t="n">
        <v>45077</v>
      </c>
      <c r="C64" s="1" t="n">
        <v>45915</v>
      </c>
      <c r="D64" t="inlineStr">
        <is>
          <t>DALARNAS LÄN</t>
        </is>
      </c>
      <c r="E64" t="inlineStr">
        <is>
          <t>MORA</t>
        </is>
      </c>
      <c r="G64" t="n">
        <v>7.2</v>
      </c>
      <c r="H64" t="n">
        <v>0</v>
      </c>
      <c r="I64" t="n">
        <v>0</v>
      </c>
      <c r="J64" t="n">
        <v>1</v>
      </c>
      <c r="K64" t="n">
        <v>0</v>
      </c>
      <c r="L64" t="n">
        <v>0</v>
      </c>
      <c r="M64" t="n">
        <v>0</v>
      </c>
      <c r="N64" t="n">
        <v>0</v>
      </c>
      <c r="O64" t="n">
        <v>1</v>
      </c>
      <c r="P64" t="n">
        <v>0</v>
      </c>
      <c r="Q64" t="n">
        <v>1</v>
      </c>
      <c r="R64" s="2" t="inlineStr">
        <is>
          <t>Reliktbock</t>
        </is>
      </c>
      <c r="S64">
        <f>HYPERLINK("https://klasma.github.io/Logging_2062/artfynd/A 23736-2023 artfynd.xlsx", "A 23736-2023")</f>
        <v/>
      </c>
      <c r="T64">
        <f>HYPERLINK("https://klasma.github.io/Logging_2062/kartor/A 23736-2023 karta.png", "A 23736-2023")</f>
        <v/>
      </c>
      <c r="V64">
        <f>HYPERLINK("https://klasma.github.io/Logging_2062/klagomål/A 23736-2023 FSC-klagomål.docx", "A 23736-2023")</f>
        <v/>
      </c>
      <c r="W64">
        <f>HYPERLINK("https://klasma.github.io/Logging_2062/klagomålsmail/A 23736-2023 FSC-klagomål mail.docx", "A 23736-2023")</f>
        <v/>
      </c>
      <c r="X64">
        <f>HYPERLINK("https://klasma.github.io/Logging_2062/tillsyn/A 23736-2023 tillsynsbegäran.docx", "A 23736-2023")</f>
        <v/>
      </c>
      <c r="Y64">
        <f>HYPERLINK("https://klasma.github.io/Logging_2062/tillsynsmail/A 23736-2023 tillsynsbegäran mail.docx", "A 23736-2023")</f>
        <v/>
      </c>
    </row>
    <row r="65" ht="15" customHeight="1">
      <c r="A65" t="inlineStr">
        <is>
          <t>A 66990-2020</t>
        </is>
      </c>
      <c r="B65" s="1" t="n">
        <v>44180</v>
      </c>
      <c r="C65" s="1" t="n">
        <v>45915</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45915</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45915</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52732-2020</t>
        </is>
      </c>
      <c r="B68" s="1" t="n">
        <v>44118</v>
      </c>
      <c r="C68" s="1" t="n">
        <v>45915</v>
      </c>
      <c r="D68" t="inlineStr">
        <is>
          <t>DALARNAS LÄN</t>
        </is>
      </c>
      <c r="E68" t="inlineStr">
        <is>
          <t>MORA</t>
        </is>
      </c>
      <c r="G68" t="n">
        <v>3.9</v>
      </c>
      <c r="H68" t="n">
        <v>0</v>
      </c>
      <c r="I68" t="n">
        <v>0</v>
      </c>
      <c r="J68" t="n">
        <v>0</v>
      </c>
      <c r="K68" t="n">
        <v>0</v>
      </c>
      <c r="L68" t="n">
        <v>0</v>
      </c>
      <c r="M68" t="n">
        <v>0</v>
      </c>
      <c r="N68" t="n">
        <v>0</v>
      </c>
      <c r="O68" t="n">
        <v>0</v>
      </c>
      <c r="P68" t="n">
        <v>0</v>
      </c>
      <c r="Q68" t="n">
        <v>0</v>
      </c>
      <c r="R68" s="2" t="inlineStr"/>
    </row>
    <row r="69" ht="15" customHeight="1">
      <c r="A69" t="inlineStr">
        <is>
          <t>A 657-2021</t>
        </is>
      </c>
      <c r="B69" s="1" t="n">
        <v>44203</v>
      </c>
      <c r="C69" s="1" t="n">
        <v>45915</v>
      </c>
      <c r="D69" t="inlineStr">
        <is>
          <t>DALARNAS LÄN</t>
        </is>
      </c>
      <c r="E69" t="inlineStr">
        <is>
          <t>MORA</t>
        </is>
      </c>
      <c r="G69" t="n">
        <v>1.8</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45915</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66158-2021</t>
        </is>
      </c>
      <c r="B71" s="1" t="n">
        <v>44517.934375</v>
      </c>
      <c r="C71" s="1" t="n">
        <v>45915</v>
      </c>
      <c r="D71" t="inlineStr">
        <is>
          <t>DALARNAS LÄN</t>
        </is>
      </c>
      <c r="E71" t="inlineStr">
        <is>
          <t>MORA</t>
        </is>
      </c>
      <c r="G71" t="n">
        <v>3.3</v>
      </c>
      <c r="H71" t="n">
        <v>0</v>
      </c>
      <c r="I71" t="n">
        <v>0</v>
      </c>
      <c r="J71" t="n">
        <v>0</v>
      </c>
      <c r="K71" t="n">
        <v>0</v>
      </c>
      <c r="L71" t="n">
        <v>0</v>
      </c>
      <c r="M71" t="n">
        <v>0</v>
      </c>
      <c r="N71" t="n">
        <v>0</v>
      </c>
      <c r="O71" t="n">
        <v>0</v>
      </c>
      <c r="P71" t="n">
        <v>0</v>
      </c>
      <c r="Q71" t="n">
        <v>0</v>
      </c>
      <c r="R71" s="2" t="inlineStr"/>
    </row>
    <row r="72" ht="15" customHeight="1">
      <c r="A72" t="inlineStr">
        <is>
          <t>A 42505-2021</t>
        </is>
      </c>
      <c r="B72" s="1" t="n">
        <v>44427</v>
      </c>
      <c r="C72" s="1" t="n">
        <v>45915</v>
      </c>
      <c r="D72" t="inlineStr">
        <is>
          <t>DALARNAS LÄN</t>
        </is>
      </c>
      <c r="E72" t="inlineStr">
        <is>
          <t>MORA</t>
        </is>
      </c>
      <c r="G72" t="n">
        <v>0.9</v>
      </c>
      <c r="H72" t="n">
        <v>0</v>
      </c>
      <c r="I72" t="n">
        <v>0</v>
      </c>
      <c r="J72" t="n">
        <v>0</v>
      </c>
      <c r="K72" t="n">
        <v>0</v>
      </c>
      <c r="L72" t="n">
        <v>0</v>
      </c>
      <c r="M72" t="n">
        <v>0</v>
      </c>
      <c r="N72" t="n">
        <v>0</v>
      </c>
      <c r="O72" t="n">
        <v>0</v>
      </c>
      <c r="P72" t="n">
        <v>0</v>
      </c>
      <c r="Q72" t="n">
        <v>0</v>
      </c>
      <c r="R72" s="2" t="inlineStr"/>
    </row>
    <row r="73" ht="15" customHeight="1">
      <c r="A73" t="inlineStr">
        <is>
          <t>A 72648-2021</t>
        </is>
      </c>
      <c r="B73" s="1" t="n">
        <v>44546.5862037037</v>
      </c>
      <c r="C73" s="1" t="n">
        <v>45915</v>
      </c>
      <c r="D73" t="inlineStr">
        <is>
          <t>DALARNAS LÄN</t>
        </is>
      </c>
      <c r="E73" t="inlineStr">
        <is>
          <t>MORA</t>
        </is>
      </c>
      <c r="G73" t="n">
        <v>0.2</v>
      </c>
      <c r="H73" t="n">
        <v>0</v>
      </c>
      <c r="I73" t="n">
        <v>0</v>
      </c>
      <c r="J73" t="n">
        <v>0</v>
      </c>
      <c r="K73" t="n">
        <v>0</v>
      </c>
      <c r="L73" t="n">
        <v>0</v>
      </c>
      <c r="M73" t="n">
        <v>0</v>
      </c>
      <c r="N73" t="n">
        <v>0</v>
      </c>
      <c r="O73" t="n">
        <v>0</v>
      </c>
      <c r="P73" t="n">
        <v>0</v>
      </c>
      <c r="Q73" t="n">
        <v>0</v>
      </c>
      <c r="R73" s="2" t="inlineStr"/>
    </row>
    <row r="74" ht="15" customHeight="1">
      <c r="A74" t="inlineStr">
        <is>
          <t>A 34897-2022</t>
        </is>
      </c>
      <c r="B74" s="1" t="n">
        <v>44796</v>
      </c>
      <c r="C74" s="1" t="n">
        <v>45915</v>
      </c>
      <c r="D74" t="inlineStr">
        <is>
          <t>DALARNAS LÄN</t>
        </is>
      </c>
      <c r="E74" t="inlineStr">
        <is>
          <t>MORA</t>
        </is>
      </c>
      <c r="F74" t="inlineStr">
        <is>
          <t>Bergvik skog väst AB</t>
        </is>
      </c>
      <c r="G74" t="n">
        <v>8</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45915</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45915</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45915</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51608-2020</t>
        </is>
      </c>
      <c r="B78" s="1" t="n">
        <v>44109</v>
      </c>
      <c r="C78" s="1" t="n">
        <v>45915</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1951-2021</t>
        </is>
      </c>
      <c r="B79" s="1" t="n">
        <v>44210</v>
      </c>
      <c r="C79" s="1" t="n">
        <v>45915</v>
      </c>
      <c r="D79" t="inlineStr">
        <is>
          <t>DALARNAS LÄN</t>
        </is>
      </c>
      <c r="E79" t="inlineStr">
        <is>
          <t>MORA</t>
        </is>
      </c>
      <c r="G79" t="n">
        <v>1.6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45915</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45915</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45915</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43944-2022</t>
        </is>
      </c>
      <c r="B83" s="1" t="n">
        <v>44838</v>
      </c>
      <c r="C83" s="1" t="n">
        <v>45915</v>
      </c>
      <c r="D83" t="inlineStr">
        <is>
          <t>DALARNAS LÄN</t>
        </is>
      </c>
      <c r="E83" t="inlineStr">
        <is>
          <t>MORA</t>
        </is>
      </c>
      <c r="F83" t="inlineStr">
        <is>
          <t>Bergvik skog öst AB</t>
        </is>
      </c>
      <c r="G83" t="n">
        <v>1.1</v>
      </c>
      <c r="H83" t="n">
        <v>0</v>
      </c>
      <c r="I83" t="n">
        <v>0</v>
      </c>
      <c r="J83" t="n">
        <v>0</v>
      </c>
      <c r="K83" t="n">
        <v>0</v>
      </c>
      <c r="L83" t="n">
        <v>0</v>
      </c>
      <c r="M83" t="n">
        <v>0</v>
      </c>
      <c r="N83" t="n">
        <v>0</v>
      </c>
      <c r="O83" t="n">
        <v>0</v>
      </c>
      <c r="P83" t="n">
        <v>0</v>
      </c>
      <c r="Q83" t="n">
        <v>0</v>
      </c>
      <c r="R83" s="2" t="inlineStr"/>
    </row>
    <row r="84" ht="15" customHeight="1">
      <c r="A84" t="inlineStr">
        <is>
          <t>A 54239-2021</t>
        </is>
      </c>
      <c r="B84" s="1" t="n">
        <v>44470.63695601852</v>
      </c>
      <c r="C84" s="1" t="n">
        <v>45915</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50620-2021</t>
        </is>
      </c>
      <c r="B85" s="1" t="n">
        <v>44459.68884259259</v>
      </c>
      <c r="C85" s="1" t="n">
        <v>45915</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45915</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45915</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45915</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45915</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45915</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45915</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41032-2021</t>
        </is>
      </c>
      <c r="B92" s="1" t="n">
        <v>44421</v>
      </c>
      <c r="C92" s="1" t="n">
        <v>45915</v>
      </c>
      <c r="D92" t="inlineStr">
        <is>
          <t>DALARNAS LÄN</t>
        </is>
      </c>
      <c r="E92" t="inlineStr">
        <is>
          <t>MORA</t>
        </is>
      </c>
      <c r="G92" t="n">
        <v>4.1</v>
      </c>
      <c r="H92" t="n">
        <v>0</v>
      </c>
      <c r="I92" t="n">
        <v>0</v>
      </c>
      <c r="J92" t="n">
        <v>0</v>
      </c>
      <c r="K92" t="n">
        <v>0</v>
      </c>
      <c r="L92" t="n">
        <v>0</v>
      </c>
      <c r="M92" t="n">
        <v>0</v>
      </c>
      <c r="N92" t="n">
        <v>0</v>
      </c>
      <c r="O92" t="n">
        <v>0</v>
      </c>
      <c r="P92" t="n">
        <v>0</v>
      </c>
      <c r="Q92" t="n">
        <v>0</v>
      </c>
      <c r="R92" s="2" t="inlineStr"/>
    </row>
    <row r="93" ht="15" customHeight="1">
      <c r="A93" t="inlineStr">
        <is>
          <t>A 65527-2021</t>
        </is>
      </c>
      <c r="B93" s="1" t="n">
        <v>44516.42728009259</v>
      </c>
      <c r="C93" s="1" t="n">
        <v>45915</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39672-2021</t>
        </is>
      </c>
      <c r="B94" s="1" t="n">
        <v>44417.43135416666</v>
      </c>
      <c r="C94" s="1" t="n">
        <v>45915</v>
      </c>
      <c r="D94" t="inlineStr">
        <is>
          <t>DALARNAS LÄN</t>
        </is>
      </c>
      <c r="E94" t="inlineStr">
        <is>
          <t>MORA</t>
        </is>
      </c>
      <c r="G94" t="n">
        <v>0.5</v>
      </c>
      <c r="H94" t="n">
        <v>0</v>
      </c>
      <c r="I94" t="n">
        <v>0</v>
      </c>
      <c r="J94" t="n">
        <v>0</v>
      </c>
      <c r="K94" t="n">
        <v>0</v>
      </c>
      <c r="L94" t="n">
        <v>0</v>
      </c>
      <c r="M94" t="n">
        <v>0</v>
      </c>
      <c r="N94" t="n">
        <v>0</v>
      </c>
      <c r="O94" t="n">
        <v>0</v>
      </c>
      <c r="P94" t="n">
        <v>0</v>
      </c>
      <c r="Q94" t="n">
        <v>0</v>
      </c>
      <c r="R94" s="2" t="inlineStr"/>
    </row>
    <row r="95" ht="15" customHeight="1">
      <c r="A95" t="inlineStr">
        <is>
          <t>A 43458-2021</t>
        </is>
      </c>
      <c r="B95" s="1" t="n">
        <v>44432</v>
      </c>
      <c r="C95" s="1" t="n">
        <v>45915</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28344-2022</t>
        </is>
      </c>
      <c r="B96" s="1" t="n">
        <v>44747</v>
      </c>
      <c r="C96" s="1" t="n">
        <v>45915</v>
      </c>
      <c r="D96" t="inlineStr">
        <is>
          <t>DALARNAS LÄN</t>
        </is>
      </c>
      <c r="E96" t="inlineStr">
        <is>
          <t>MORA</t>
        </is>
      </c>
      <c r="F96" t="inlineStr">
        <is>
          <t>Kyrkan</t>
        </is>
      </c>
      <c r="G96" t="n">
        <v>6.4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45915</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45915</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45915</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45915</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45915</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45915</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45915</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65301-2020</t>
        </is>
      </c>
      <c r="B104" s="1" t="n">
        <v>44169</v>
      </c>
      <c r="C104" s="1" t="n">
        <v>45915</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31705-2021</t>
        </is>
      </c>
      <c r="B105" s="1" t="n">
        <v>44369.7362037037</v>
      </c>
      <c r="C105" s="1" t="n">
        <v>45915</v>
      </c>
      <c r="D105" t="inlineStr">
        <is>
          <t>DALARNAS LÄN</t>
        </is>
      </c>
      <c r="E105" t="inlineStr">
        <is>
          <t>MORA</t>
        </is>
      </c>
      <c r="G105" t="n">
        <v>0.2</v>
      </c>
      <c r="H105" t="n">
        <v>0</v>
      </c>
      <c r="I105" t="n">
        <v>0</v>
      </c>
      <c r="J105" t="n">
        <v>0</v>
      </c>
      <c r="K105" t="n">
        <v>0</v>
      </c>
      <c r="L105" t="n">
        <v>0</v>
      </c>
      <c r="M105" t="n">
        <v>0</v>
      </c>
      <c r="N105" t="n">
        <v>0</v>
      </c>
      <c r="O105" t="n">
        <v>0</v>
      </c>
      <c r="P105" t="n">
        <v>0</v>
      </c>
      <c r="Q105" t="n">
        <v>0</v>
      </c>
      <c r="R105" s="2" t="inlineStr"/>
    </row>
    <row r="106" ht="15" customHeight="1">
      <c r="A106" t="inlineStr">
        <is>
          <t>A 8064-2021</t>
        </is>
      </c>
      <c r="B106" s="1" t="n">
        <v>44243</v>
      </c>
      <c r="C106" s="1" t="n">
        <v>45915</v>
      </c>
      <c r="D106" t="inlineStr">
        <is>
          <t>DALARNAS LÄN</t>
        </is>
      </c>
      <c r="E106" t="inlineStr">
        <is>
          <t>MORA</t>
        </is>
      </c>
      <c r="G106" t="n">
        <v>4</v>
      </c>
      <c r="H106" t="n">
        <v>0</v>
      </c>
      <c r="I106" t="n">
        <v>0</v>
      </c>
      <c r="J106" t="n">
        <v>0</v>
      </c>
      <c r="K106" t="n">
        <v>0</v>
      </c>
      <c r="L106" t="n">
        <v>0</v>
      </c>
      <c r="M106" t="n">
        <v>0</v>
      </c>
      <c r="N106" t="n">
        <v>0</v>
      </c>
      <c r="O106" t="n">
        <v>0</v>
      </c>
      <c r="P106" t="n">
        <v>0</v>
      </c>
      <c r="Q106" t="n">
        <v>0</v>
      </c>
      <c r="R106" s="2" t="inlineStr"/>
    </row>
    <row r="107" ht="15" customHeight="1">
      <c r="A107" t="inlineStr">
        <is>
          <t>A 41763-2021</t>
        </is>
      </c>
      <c r="B107" s="1" t="n">
        <v>44425</v>
      </c>
      <c r="C107" s="1" t="n">
        <v>45915</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16706-2022</t>
        </is>
      </c>
      <c r="B108" s="1" t="n">
        <v>44673</v>
      </c>
      <c r="C108" s="1" t="n">
        <v>45915</v>
      </c>
      <c r="D108" t="inlineStr">
        <is>
          <t>DALARNAS LÄN</t>
        </is>
      </c>
      <c r="E108" t="inlineStr">
        <is>
          <t>MORA</t>
        </is>
      </c>
      <c r="G108" t="n">
        <v>9.1</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45915</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45915</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45915</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58690-2021</t>
        </is>
      </c>
      <c r="B112" s="1" t="n">
        <v>44489</v>
      </c>
      <c r="C112" s="1" t="n">
        <v>45915</v>
      </c>
      <c r="D112" t="inlineStr">
        <is>
          <t>DALARNAS LÄN</t>
        </is>
      </c>
      <c r="E112" t="inlineStr">
        <is>
          <t>MORA</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45915</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45915</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45915</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59899-2021</t>
        </is>
      </c>
      <c r="B116" s="1" t="n">
        <v>44494.63381944445</v>
      </c>
      <c r="C116" s="1" t="n">
        <v>45915</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45915</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2277-2022</t>
        </is>
      </c>
      <c r="B118" s="1" t="n">
        <v>44578.66320601852</v>
      </c>
      <c r="C118" s="1" t="n">
        <v>45915</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58413-2021</t>
        </is>
      </c>
      <c r="B119" s="1" t="n">
        <v>44488</v>
      </c>
      <c r="C119" s="1" t="n">
        <v>45915</v>
      </c>
      <c r="D119" t="inlineStr">
        <is>
          <t>DALARNAS LÄN</t>
        </is>
      </c>
      <c r="E119" t="inlineStr">
        <is>
          <t>MORA</t>
        </is>
      </c>
      <c r="F119" t="inlineStr">
        <is>
          <t>Bergvik skog öst AB</t>
        </is>
      </c>
      <c r="G119" t="n">
        <v>5.3</v>
      </c>
      <c r="H119" t="n">
        <v>0</v>
      </c>
      <c r="I119" t="n">
        <v>0</v>
      </c>
      <c r="J119" t="n">
        <v>0</v>
      </c>
      <c r="K119" t="n">
        <v>0</v>
      </c>
      <c r="L119" t="n">
        <v>0</v>
      </c>
      <c r="M119" t="n">
        <v>0</v>
      </c>
      <c r="N119" t="n">
        <v>0</v>
      </c>
      <c r="O119" t="n">
        <v>0</v>
      </c>
      <c r="P119" t="n">
        <v>0</v>
      </c>
      <c r="Q119" t="n">
        <v>0</v>
      </c>
      <c r="R119" s="2" t="inlineStr"/>
    </row>
    <row r="120" ht="15" customHeight="1">
      <c r="A120" t="inlineStr">
        <is>
          <t>A 58961-2021</t>
        </is>
      </c>
      <c r="B120" s="1" t="n">
        <v>44489.94246527777</v>
      </c>
      <c r="C120" s="1" t="n">
        <v>45915</v>
      </c>
      <c r="D120" t="inlineStr">
        <is>
          <t>DALARNAS LÄN</t>
        </is>
      </c>
      <c r="E120" t="inlineStr">
        <is>
          <t>MORA</t>
        </is>
      </c>
      <c r="G120" t="n">
        <v>18</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45915</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34927-2022</t>
        </is>
      </c>
      <c r="B122" s="1" t="n">
        <v>44796.60181712963</v>
      </c>
      <c r="C122" s="1" t="n">
        <v>45915</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48456-2022</t>
        </is>
      </c>
      <c r="B123" s="1" t="n">
        <v>44858.66387731482</v>
      </c>
      <c r="C123" s="1" t="n">
        <v>45915</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37771-2022</t>
        </is>
      </c>
      <c r="B124" s="1" t="n">
        <v>44810.63806712963</v>
      </c>
      <c r="C124" s="1" t="n">
        <v>45915</v>
      </c>
      <c r="D124" t="inlineStr">
        <is>
          <t>DALARNAS LÄN</t>
        </is>
      </c>
      <c r="E124" t="inlineStr">
        <is>
          <t>MORA</t>
        </is>
      </c>
      <c r="G124" t="n">
        <v>0.9</v>
      </c>
      <c r="H124" t="n">
        <v>0</v>
      </c>
      <c r="I124" t="n">
        <v>0</v>
      </c>
      <c r="J124" t="n">
        <v>0</v>
      </c>
      <c r="K124" t="n">
        <v>0</v>
      </c>
      <c r="L124" t="n">
        <v>0</v>
      </c>
      <c r="M124" t="n">
        <v>0</v>
      </c>
      <c r="N124" t="n">
        <v>0</v>
      </c>
      <c r="O124" t="n">
        <v>0</v>
      </c>
      <c r="P124" t="n">
        <v>0</v>
      </c>
      <c r="Q124" t="n">
        <v>0</v>
      </c>
      <c r="R124" s="2" t="inlineStr"/>
    </row>
    <row r="125" ht="15" customHeight="1">
      <c r="A125" t="inlineStr">
        <is>
          <t>A 67045-2021</t>
        </is>
      </c>
      <c r="B125" s="1" t="n">
        <v>44522</v>
      </c>
      <c r="C125" s="1" t="n">
        <v>45915</v>
      </c>
      <c r="D125" t="inlineStr">
        <is>
          <t>DALARNAS LÄN</t>
        </is>
      </c>
      <c r="E125" t="inlineStr">
        <is>
          <t>MORA</t>
        </is>
      </c>
      <c r="G125" t="n">
        <v>0.2</v>
      </c>
      <c r="H125" t="n">
        <v>0</v>
      </c>
      <c r="I125" t="n">
        <v>0</v>
      </c>
      <c r="J125" t="n">
        <v>0</v>
      </c>
      <c r="K125" t="n">
        <v>0</v>
      </c>
      <c r="L125" t="n">
        <v>0</v>
      </c>
      <c r="M125" t="n">
        <v>0</v>
      </c>
      <c r="N125" t="n">
        <v>0</v>
      </c>
      <c r="O125" t="n">
        <v>0</v>
      </c>
      <c r="P125" t="n">
        <v>0</v>
      </c>
      <c r="Q125" t="n">
        <v>0</v>
      </c>
      <c r="R125" s="2" t="inlineStr"/>
    </row>
    <row r="126" ht="15" customHeight="1">
      <c r="A126" t="inlineStr">
        <is>
          <t>A 48065-2020</t>
        </is>
      </c>
      <c r="B126" s="1" t="n">
        <v>44100</v>
      </c>
      <c r="C126" s="1" t="n">
        <v>45915</v>
      </c>
      <c r="D126" t="inlineStr">
        <is>
          <t>DALARNAS LÄN</t>
        </is>
      </c>
      <c r="E126" t="inlineStr">
        <is>
          <t>MORA</t>
        </is>
      </c>
      <c r="G126" t="n">
        <v>8.6</v>
      </c>
      <c r="H126" t="n">
        <v>0</v>
      </c>
      <c r="I126" t="n">
        <v>0</v>
      </c>
      <c r="J126" t="n">
        <v>0</v>
      </c>
      <c r="K126" t="n">
        <v>0</v>
      </c>
      <c r="L126" t="n">
        <v>0</v>
      </c>
      <c r="M126" t="n">
        <v>0</v>
      </c>
      <c r="N126" t="n">
        <v>0</v>
      </c>
      <c r="O126" t="n">
        <v>0</v>
      </c>
      <c r="P126" t="n">
        <v>0</v>
      </c>
      <c r="Q126" t="n">
        <v>0</v>
      </c>
      <c r="R126" s="2" t="inlineStr"/>
    </row>
    <row r="127" ht="15" customHeight="1">
      <c r="A127" t="inlineStr">
        <is>
          <t>A 55249-2020</t>
        </is>
      </c>
      <c r="B127" s="1" t="n">
        <v>44130</v>
      </c>
      <c r="C127" s="1" t="n">
        <v>45915</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32474-2022</t>
        </is>
      </c>
      <c r="B128" s="1" t="n">
        <v>44782</v>
      </c>
      <c r="C128" s="1" t="n">
        <v>45915</v>
      </c>
      <c r="D128" t="inlineStr">
        <is>
          <t>DALARNAS LÄN</t>
        </is>
      </c>
      <c r="E128" t="inlineStr">
        <is>
          <t>MORA</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45915</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45915</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45915</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45915</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45915</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45915</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60250-2020</t>
        </is>
      </c>
      <c r="B135" s="1" t="n">
        <v>44152</v>
      </c>
      <c r="C135" s="1" t="n">
        <v>45915</v>
      </c>
      <c r="D135" t="inlineStr">
        <is>
          <t>DALARNAS LÄN</t>
        </is>
      </c>
      <c r="E135" t="inlineStr">
        <is>
          <t>MORA</t>
        </is>
      </c>
      <c r="F135" t="inlineStr">
        <is>
          <t>Bergvik skog öst AB</t>
        </is>
      </c>
      <c r="G135" t="n">
        <v>0.8</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45915</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45915</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45915</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24393-2022</t>
        </is>
      </c>
      <c r="B139" s="1" t="n">
        <v>44726</v>
      </c>
      <c r="C139" s="1" t="n">
        <v>45915</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655-2021</t>
        </is>
      </c>
      <c r="B140" s="1" t="n">
        <v>44203</v>
      </c>
      <c r="C140" s="1" t="n">
        <v>45915</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28914-2022</t>
        </is>
      </c>
      <c r="B141" s="1" t="n">
        <v>44749.56221064815</v>
      </c>
      <c r="C141" s="1" t="n">
        <v>45915</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45915</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5527-2024</t>
        </is>
      </c>
      <c r="B143" s="1" t="n">
        <v>45334.38981481481</v>
      </c>
      <c r="C143" s="1" t="n">
        <v>45915</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45915</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45915</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66157-2021</t>
        </is>
      </c>
      <c r="B146" s="1" t="n">
        <v>44517.92888888889</v>
      </c>
      <c r="C146" s="1" t="n">
        <v>45915</v>
      </c>
      <c r="D146" t="inlineStr">
        <is>
          <t>DALARNAS LÄN</t>
        </is>
      </c>
      <c r="E146" t="inlineStr">
        <is>
          <t>MORA</t>
        </is>
      </c>
      <c r="G146" t="n">
        <v>2.9</v>
      </c>
      <c r="H146" t="n">
        <v>0</v>
      </c>
      <c r="I146" t="n">
        <v>0</v>
      </c>
      <c r="J146" t="n">
        <v>0</v>
      </c>
      <c r="K146" t="n">
        <v>0</v>
      </c>
      <c r="L146" t="n">
        <v>0</v>
      </c>
      <c r="M146" t="n">
        <v>0</v>
      </c>
      <c r="N146" t="n">
        <v>0</v>
      </c>
      <c r="O146" t="n">
        <v>0</v>
      </c>
      <c r="P146" t="n">
        <v>0</v>
      </c>
      <c r="Q146" t="n">
        <v>0</v>
      </c>
      <c r="R146" s="2" t="inlineStr"/>
    </row>
    <row r="147" ht="15" customHeight="1">
      <c r="A147" t="inlineStr">
        <is>
          <t>A 20299-2023</t>
        </is>
      </c>
      <c r="B147" s="1" t="n">
        <v>45056</v>
      </c>
      <c r="C147" s="1" t="n">
        <v>45915</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43498-2023</t>
        </is>
      </c>
      <c r="B148" s="1" t="n">
        <v>45184</v>
      </c>
      <c r="C148" s="1" t="n">
        <v>45915</v>
      </c>
      <c r="D148" t="inlineStr">
        <is>
          <t>DALARNAS LÄN</t>
        </is>
      </c>
      <c r="E148" t="inlineStr">
        <is>
          <t>MORA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17145-2024</t>
        </is>
      </c>
      <c r="B149" s="1" t="n">
        <v>45412</v>
      </c>
      <c r="C149" s="1" t="n">
        <v>45915</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51780-2023</t>
        </is>
      </c>
      <c r="B150" s="1" t="n">
        <v>45222</v>
      </c>
      <c r="C150" s="1" t="n">
        <v>45915</v>
      </c>
      <c r="D150" t="inlineStr">
        <is>
          <t>DALARNAS LÄN</t>
        </is>
      </c>
      <c r="E150" t="inlineStr">
        <is>
          <t>MORA</t>
        </is>
      </c>
      <c r="G150" t="n">
        <v>9.9</v>
      </c>
      <c r="H150" t="n">
        <v>0</v>
      </c>
      <c r="I150" t="n">
        <v>0</v>
      </c>
      <c r="J150" t="n">
        <v>0</v>
      </c>
      <c r="K150" t="n">
        <v>0</v>
      </c>
      <c r="L150" t="n">
        <v>0</v>
      </c>
      <c r="M150" t="n">
        <v>0</v>
      </c>
      <c r="N150" t="n">
        <v>0</v>
      </c>
      <c r="O150" t="n">
        <v>0</v>
      </c>
      <c r="P150" t="n">
        <v>0</v>
      </c>
      <c r="Q150" t="n">
        <v>0</v>
      </c>
      <c r="R150" s="2" t="inlineStr"/>
    </row>
    <row r="151" ht="15" customHeight="1">
      <c r="A151" t="inlineStr">
        <is>
          <t>A 46188-2022</t>
        </is>
      </c>
      <c r="B151" s="1" t="n">
        <v>44847.518125</v>
      </c>
      <c r="C151" s="1" t="n">
        <v>45915</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57475-2022</t>
        </is>
      </c>
      <c r="B152" s="1" t="n">
        <v>44896</v>
      </c>
      <c r="C152" s="1" t="n">
        <v>45915</v>
      </c>
      <c r="D152" t="inlineStr">
        <is>
          <t>DALARNAS LÄN</t>
        </is>
      </c>
      <c r="E152" t="inlineStr">
        <is>
          <t>MORA</t>
        </is>
      </c>
      <c r="G152" t="n">
        <v>5.7</v>
      </c>
      <c r="H152" t="n">
        <v>0</v>
      </c>
      <c r="I152" t="n">
        <v>0</v>
      </c>
      <c r="J152" t="n">
        <v>0</v>
      </c>
      <c r="K152" t="n">
        <v>0</v>
      </c>
      <c r="L152" t="n">
        <v>0</v>
      </c>
      <c r="M152" t="n">
        <v>0</v>
      </c>
      <c r="N152" t="n">
        <v>0</v>
      </c>
      <c r="O152" t="n">
        <v>0</v>
      </c>
      <c r="P152" t="n">
        <v>0</v>
      </c>
      <c r="Q152" t="n">
        <v>0</v>
      </c>
      <c r="R152" s="2" t="inlineStr"/>
    </row>
    <row r="153" ht="15" customHeight="1">
      <c r="A153" t="inlineStr">
        <is>
          <t>A 15993-2025</t>
        </is>
      </c>
      <c r="B153" s="1" t="n">
        <v>45749.58428240741</v>
      </c>
      <c r="C153" s="1" t="n">
        <v>45915</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17516-2024</t>
        </is>
      </c>
      <c r="B154" s="1" t="n">
        <v>45415.58502314815</v>
      </c>
      <c r="C154" s="1" t="n">
        <v>45915</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14832-2025</t>
        </is>
      </c>
      <c r="B155" s="1" t="n">
        <v>45743</v>
      </c>
      <c r="C155" s="1" t="n">
        <v>45915</v>
      </c>
      <c r="D155" t="inlineStr">
        <is>
          <t>DALARNAS LÄN</t>
        </is>
      </c>
      <c r="E155" t="inlineStr">
        <is>
          <t>MORA</t>
        </is>
      </c>
      <c r="G155" t="n">
        <v>9.1</v>
      </c>
      <c r="H155" t="n">
        <v>0</v>
      </c>
      <c r="I155" t="n">
        <v>0</v>
      </c>
      <c r="J155" t="n">
        <v>0</v>
      </c>
      <c r="K155" t="n">
        <v>0</v>
      </c>
      <c r="L155" t="n">
        <v>0</v>
      </c>
      <c r="M155" t="n">
        <v>0</v>
      </c>
      <c r="N155" t="n">
        <v>0</v>
      </c>
      <c r="O155" t="n">
        <v>0</v>
      </c>
      <c r="P155" t="n">
        <v>0</v>
      </c>
      <c r="Q155" t="n">
        <v>0</v>
      </c>
      <c r="R155" s="2" t="inlineStr"/>
    </row>
    <row r="156" ht="15" customHeight="1">
      <c r="A156" t="inlineStr">
        <is>
          <t>A 15443-2025</t>
        </is>
      </c>
      <c r="B156" s="1" t="n">
        <v>45747.48371527778</v>
      </c>
      <c r="C156" s="1" t="n">
        <v>45915</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45574-2023</t>
        </is>
      </c>
      <c r="B157" s="1" t="n">
        <v>45194</v>
      </c>
      <c r="C157" s="1" t="n">
        <v>45915</v>
      </c>
      <c r="D157" t="inlineStr">
        <is>
          <t>DALARNAS LÄN</t>
        </is>
      </c>
      <c r="E157" t="inlineStr">
        <is>
          <t>MORA</t>
        </is>
      </c>
      <c r="G157" t="n">
        <v>6.3</v>
      </c>
      <c r="H157" t="n">
        <v>0</v>
      </c>
      <c r="I157" t="n">
        <v>0</v>
      </c>
      <c r="J157" t="n">
        <v>0</v>
      </c>
      <c r="K157" t="n">
        <v>0</v>
      </c>
      <c r="L157" t="n">
        <v>0</v>
      </c>
      <c r="M157" t="n">
        <v>0</v>
      </c>
      <c r="N157" t="n">
        <v>0</v>
      </c>
      <c r="O157" t="n">
        <v>0</v>
      </c>
      <c r="P157" t="n">
        <v>0</v>
      </c>
      <c r="Q157" t="n">
        <v>0</v>
      </c>
      <c r="R157" s="2" t="inlineStr"/>
    </row>
    <row r="158" ht="15" customHeight="1">
      <c r="A158" t="inlineStr">
        <is>
          <t>A 46414-2024</t>
        </is>
      </c>
      <c r="B158" s="1" t="n">
        <v>45582.45226851852</v>
      </c>
      <c r="C158" s="1" t="n">
        <v>45915</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46417-2024</t>
        </is>
      </c>
      <c r="B159" s="1" t="n">
        <v>45582.45449074074</v>
      </c>
      <c r="C159" s="1" t="n">
        <v>45915</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5922-2025</t>
        </is>
      </c>
      <c r="B160" s="1" t="n">
        <v>45695.42762731481</v>
      </c>
      <c r="C160" s="1" t="n">
        <v>45915</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17280-2025</t>
        </is>
      </c>
      <c r="B161" s="1" t="n">
        <v>45756</v>
      </c>
      <c r="C161" s="1" t="n">
        <v>45915</v>
      </c>
      <c r="D161" t="inlineStr">
        <is>
          <t>DALARNAS LÄN</t>
        </is>
      </c>
      <c r="E161" t="inlineStr">
        <is>
          <t>MORA</t>
        </is>
      </c>
      <c r="G161" t="n">
        <v>2.1</v>
      </c>
      <c r="H161" t="n">
        <v>0</v>
      </c>
      <c r="I161" t="n">
        <v>0</v>
      </c>
      <c r="J161" t="n">
        <v>0</v>
      </c>
      <c r="K161" t="n">
        <v>0</v>
      </c>
      <c r="L161" t="n">
        <v>0</v>
      </c>
      <c r="M161" t="n">
        <v>0</v>
      </c>
      <c r="N161" t="n">
        <v>0</v>
      </c>
      <c r="O161" t="n">
        <v>0</v>
      </c>
      <c r="P161" t="n">
        <v>0</v>
      </c>
      <c r="Q161" t="n">
        <v>0</v>
      </c>
      <c r="R161" s="2" t="inlineStr"/>
    </row>
    <row r="162" ht="15" customHeight="1">
      <c r="A162" t="inlineStr">
        <is>
          <t>A 19910-2024</t>
        </is>
      </c>
      <c r="B162" s="1" t="n">
        <v>45433.5741087963</v>
      </c>
      <c r="C162" s="1" t="n">
        <v>45915</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61270-2024</t>
        </is>
      </c>
      <c r="B163" s="1" t="n">
        <v>45645.74694444444</v>
      </c>
      <c r="C163" s="1" t="n">
        <v>45915</v>
      </c>
      <c r="D163" t="inlineStr">
        <is>
          <t>DALARNAS LÄN</t>
        </is>
      </c>
      <c r="E163" t="inlineStr">
        <is>
          <t>MORA</t>
        </is>
      </c>
      <c r="G163" t="n">
        <v>5.1</v>
      </c>
      <c r="H163" t="n">
        <v>0</v>
      </c>
      <c r="I163" t="n">
        <v>0</v>
      </c>
      <c r="J163" t="n">
        <v>0</v>
      </c>
      <c r="K163" t="n">
        <v>0</v>
      </c>
      <c r="L163" t="n">
        <v>0</v>
      </c>
      <c r="M163" t="n">
        <v>0</v>
      </c>
      <c r="N163" t="n">
        <v>0</v>
      </c>
      <c r="O163" t="n">
        <v>0</v>
      </c>
      <c r="P163" t="n">
        <v>0</v>
      </c>
      <c r="Q163" t="n">
        <v>0</v>
      </c>
      <c r="R163" s="2" t="inlineStr"/>
    </row>
    <row r="164" ht="15" customHeight="1">
      <c r="A164" t="inlineStr">
        <is>
          <t>A 20126-2025</t>
        </is>
      </c>
      <c r="B164" s="1" t="n">
        <v>45772.49640046297</v>
      </c>
      <c r="C164" s="1" t="n">
        <v>45915</v>
      </c>
      <c r="D164" t="inlineStr">
        <is>
          <t>DALARNAS LÄN</t>
        </is>
      </c>
      <c r="E164" t="inlineStr">
        <is>
          <t>MORA</t>
        </is>
      </c>
      <c r="G164" t="n">
        <v>12.1</v>
      </c>
      <c r="H164" t="n">
        <v>0</v>
      </c>
      <c r="I164" t="n">
        <v>0</v>
      </c>
      <c r="J164" t="n">
        <v>0</v>
      </c>
      <c r="K164" t="n">
        <v>0</v>
      </c>
      <c r="L164" t="n">
        <v>0</v>
      </c>
      <c r="M164" t="n">
        <v>0</v>
      </c>
      <c r="N164" t="n">
        <v>0</v>
      </c>
      <c r="O164" t="n">
        <v>0</v>
      </c>
      <c r="P164" t="n">
        <v>0</v>
      </c>
      <c r="Q164" t="n">
        <v>0</v>
      </c>
      <c r="R164" s="2" t="inlineStr"/>
    </row>
    <row r="165" ht="15" customHeight="1">
      <c r="A165" t="inlineStr">
        <is>
          <t>A 53026-2023</t>
        </is>
      </c>
      <c r="B165" s="1" t="n">
        <v>45226.6987037037</v>
      </c>
      <c r="C165" s="1" t="n">
        <v>45915</v>
      </c>
      <c r="D165" t="inlineStr">
        <is>
          <t>DALARNAS LÄN</t>
        </is>
      </c>
      <c r="E165" t="inlineStr">
        <is>
          <t>MORA</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15643-2025</t>
        </is>
      </c>
      <c r="B166" s="1" t="n">
        <v>45748.39222222222</v>
      </c>
      <c r="C166" s="1" t="n">
        <v>45915</v>
      </c>
      <c r="D166" t="inlineStr">
        <is>
          <t>DALARNAS LÄN</t>
        </is>
      </c>
      <c r="E166" t="inlineStr">
        <is>
          <t>MORA</t>
        </is>
      </c>
      <c r="G166" t="n">
        <v>7.6</v>
      </c>
      <c r="H166" t="n">
        <v>0</v>
      </c>
      <c r="I166" t="n">
        <v>0</v>
      </c>
      <c r="J166" t="n">
        <v>0</v>
      </c>
      <c r="K166" t="n">
        <v>0</v>
      </c>
      <c r="L166" t="n">
        <v>0</v>
      </c>
      <c r="M166" t="n">
        <v>0</v>
      </c>
      <c r="N166" t="n">
        <v>0</v>
      </c>
      <c r="O166" t="n">
        <v>0</v>
      </c>
      <c r="P166" t="n">
        <v>0</v>
      </c>
      <c r="Q166" t="n">
        <v>0</v>
      </c>
      <c r="R166" s="2" t="inlineStr"/>
    </row>
    <row r="167" ht="15" customHeight="1">
      <c r="A167" t="inlineStr">
        <is>
          <t>A 36058-2024</t>
        </is>
      </c>
      <c r="B167" s="1" t="n">
        <v>45533</v>
      </c>
      <c r="C167" s="1" t="n">
        <v>45915</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24772-2024</t>
        </is>
      </c>
      <c r="B168" s="1" t="n">
        <v>45460.70204861111</v>
      </c>
      <c r="C168" s="1" t="n">
        <v>45915</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17692-2024</t>
        </is>
      </c>
      <c r="B169" s="1" t="n">
        <v>45418.44195601852</v>
      </c>
      <c r="C169" s="1" t="n">
        <v>45915</v>
      </c>
      <c r="D169" t="inlineStr">
        <is>
          <t>DALARNAS LÄN</t>
        </is>
      </c>
      <c r="E169" t="inlineStr">
        <is>
          <t>MORA</t>
        </is>
      </c>
      <c r="F169" t="inlineStr">
        <is>
          <t>Bergvik skog öst AB</t>
        </is>
      </c>
      <c r="G169" t="n">
        <v>7.9</v>
      </c>
      <c r="H169" t="n">
        <v>0</v>
      </c>
      <c r="I169" t="n">
        <v>0</v>
      </c>
      <c r="J169" t="n">
        <v>0</v>
      </c>
      <c r="K169" t="n">
        <v>0</v>
      </c>
      <c r="L169" t="n">
        <v>0</v>
      </c>
      <c r="M169" t="n">
        <v>0</v>
      </c>
      <c r="N169" t="n">
        <v>0</v>
      </c>
      <c r="O169" t="n">
        <v>0</v>
      </c>
      <c r="P169" t="n">
        <v>0</v>
      </c>
      <c r="Q169" t="n">
        <v>0</v>
      </c>
      <c r="R169" s="2" t="inlineStr"/>
    </row>
    <row r="170" ht="15" customHeight="1">
      <c r="A170" t="inlineStr">
        <is>
          <t>A 7116-2024</t>
        </is>
      </c>
      <c r="B170" s="1" t="n">
        <v>45343.95445601852</v>
      </c>
      <c r="C170" s="1" t="n">
        <v>45915</v>
      </c>
      <c r="D170" t="inlineStr">
        <is>
          <t>DALARNAS LÄN</t>
        </is>
      </c>
      <c r="E170" t="inlineStr">
        <is>
          <t>MORA</t>
        </is>
      </c>
      <c r="G170" t="n">
        <v>0.3</v>
      </c>
      <c r="H170" t="n">
        <v>0</v>
      </c>
      <c r="I170" t="n">
        <v>0</v>
      </c>
      <c r="J170" t="n">
        <v>0</v>
      </c>
      <c r="K170" t="n">
        <v>0</v>
      </c>
      <c r="L170" t="n">
        <v>0</v>
      </c>
      <c r="M170" t="n">
        <v>0</v>
      </c>
      <c r="N170" t="n">
        <v>0</v>
      </c>
      <c r="O170" t="n">
        <v>0</v>
      </c>
      <c r="P170" t="n">
        <v>0</v>
      </c>
      <c r="Q170" t="n">
        <v>0</v>
      </c>
      <c r="R170" s="2" t="inlineStr"/>
    </row>
    <row r="171" ht="15" customHeight="1">
      <c r="A171" t="inlineStr">
        <is>
          <t>A 59995-2023</t>
        </is>
      </c>
      <c r="B171" s="1" t="n">
        <v>45254</v>
      </c>
      <c r="C171" s="1" t="n">
        <v>45915</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13479-2024</t>
        </is>
      </c>
      <c r="B172" s="1" t="n">
        <v>45387.5900925926</v>
      </c>
      <c r="C172" s="1" t="n">
        <v>45915</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34923-2022</t>
        </is>
      </c>
      <c r="B173" s="1" t="n">
        <v>44796</v>
      </c>
      <c r="C173" s="1" t="n">
        <v>45915</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45915</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41812-2024</t>
        </is>
      </c>
      <c r="B175" s="1" t="n">
        <v>45561.3771412037</v>
      </c>
      <c r="C175" s="1" t="n">
        <v>45915</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36184-2021</t>
        </is>
      </c>
      <c r="B176" s="1" t="n">
        <v>44389</v>
      </c>
      <c r="C176" s="1" t="n">
        <v>45915</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42085-2024</t>
        </is>
      </c>
      <c r="B177" s="1" t="n">
        <v>45562.33179398148</v>
      </c>
      <c r="C177" s="1" t="n">
        <v>45915</v>
      </c>
      <c r="D177" t="inlineStr">
        <is>
          <t>DALARNAS LÄN</t>
        </is>
      </c>
      <c r="E177" t="inlineStr">
        <is>
          <t>MORA</t>
        </is>
      </c>
      <c r="G177" t="n">
        <v>4.9</v>
      </c>
      <c r="H177" t="n">
        <v>0</v>
      </c>
      <c r="I177" t="n">
        <v>0</v>
      </c>
      <c r="J177" t="n">
        <v>0</v>
      </c>
      <c r="K177" t="n">
        <v>0</v>
      </c>
      <c r="L177" t="n">
        <v>0</v>
      </c>
      <c r="M177" t="n">
        <v>0</v>
      </c>
      <c r="N177" t="n">
        <v>0</v>
      </c>
      <c r="O177" t="n">
        <v>0</v>
      </c>
      <c r="P177" t="n">
        <v>0</v>
      </c>
      <c r="Q177" t="n">
        <v>0</v>
      </c>
      <c r="R177" s="2" t="inlineStr"/>
    </row>
    <row r="178" ht="15" customHeight="1">
      <c r="A178" t="inlineStr">
        <is>
          <t>A 60465-2023</t>
        </is>
      </c>
      <c r="B178" s="1" t="n">
        <v>45259.57872685185</v>
      </c>
      <c r="C178" s="1" t="n">
        <v>45915</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33676-2023</t>
        </is>
      </c>
      <c r="B179" s="1" t="n">
        <v>45132.6291550926</v>
      </c>
      <c r="C179" s="1" t="n">
        <v>45915</v>
      </c>
      <c r="D179" t="inlineStr">
        <is>
          <t>DALARNAS LÄN</t>
        </is>
      </c>
      <c r="E179" t="inlineStr">
        <is>
          <t>MORA</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29193-2023</t>
        </is>
      </c>
      <c r="B180" s="1" t="n">
        <v>45105.54791666667</v>
      </c>
      <c r="C180" s="1" t="n">
        <v>45915</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18202-2024</t>
        </is>
      </c>
      <c r="B181" s="1" t="n">
        <v>45420.68172453704</v>
      </c>
      <c r="C181" s="1" t="n">
        <v>45915</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23057-2024</t>
        </is>
      </c>
      <c r="B182" s="1" t="n">
        <v>45450</v>
      </c>
      <c r="C182" s="1" t="n">
        <v>45915</v>
      </c>
      <c r="D182" t="inlineStr">
        <is>
          <t>DALARNAS LÄN</t>
        </is>
      </c>
      <c r="E182" t="inlineStr">
        <is>
          <t>MORA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35325-2024</t>
        </is>
      </c>
      <c r="B183" s="1" t="n">
        <v>45530.71158564815</v>
      </c>
      <c r="C183" s="1" t="n">
        <v>45915</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6371-2022</t>
        </is>
      </c>
      <c r="B184" s="1" t="n">
        <v>44600</v>
      </c>
      <c r="C184" s="1" t="n">
        <v>45915</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4488-2022</t>
        </is>
      </c>
      <c r="B185" s="1" t="n">
        <v>44589.65528935185</v>
      </c>
      <c r="C185" s="1" t="n">
        <v>45915</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69519-2020</t>
        </is>
      </c>
      <c r="B186" s="1" t="n">
        <v>44194</v>
      </c>
      <c r="C186" s="1" t="n">
        <v>45915</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25494-2024</t>
        </is>
      </c>
      <c r="B187" s="1" t="n">
        <v>45463</v>
      </c>
      <c r="C187" s="1" t="n">
        <v>45915</v>
      </c>
      <c r="D187" t="inlineStr">
        <is>
          <t>DALARNAS LÄN</t>
        </is>
      </c>
      <c r="E187" t="inlineStr">
        <is>
          <t>MORA</t>
        </is>
      </c>
      <c r="G187" t="n">
        <v>4.9</v>
      </c>
      <c r="H187" t="n">
        <v>0</v>
      </c>
      <c r="I187" t="n">
        <v>0</v>
      </c>
      <c r="J187" t="n">
        <v>0</v>
      </c>
      <c r="K187" t="n">
        <v>0</v>
      </c>
      <c r="L187" t="n">
        <v>0</v>
      </c>
      <c r="M187" t="n">
        <v>0</v>
      </c>
      <c r="N187" t="n">
        <v>0</v>
      </c>
      <c r="O187" t="n">
        <v>0</v>
      </c>
      <c r="P187" t="n">
        <v>0</v>
      </c>
      <c r="Q187" t="n">
        <v>0</v>
      </c>
      <c r="R187" s="2" t="inlineStr"/>
    </row>
    <row r="188" ht="15" customHeight="1">
      <c r="A188" t="inlineStr">
        <is>
          <t>A 21890-2025</t>
        </is>
      </c>
      <c r="B188" s="1" t="n">
        <v>45784.44481481481</v>
      </c>
      <c r="C188" s="1" t="n">
        <v>45915</v>
      </c>
      <c r="D188" t="inlineStr">
        <is>
          <t>DALARNAS LÄN</t>
        </is>
      </c>
      <c r="E188" t="inlineStr">
        <is>
          <t>MORA</t>
        </is>
      </c>
      <c r="G188" t="n">
        <v>3.8</v>
      </c>
      <c r="H188" t="n">
        <v>0</v>
      </c>
      <c r="I188" t="n">
        <v>0</v>
      </c>
      <c r="J188" t="n">
        <v>0</v>
      </c>
      <c r="K188" t="n">
        <v>0</v>
      </c>
      <c r="L188" t="n">
        <v>0</v>
      </c>
      <c r="M188" t="n">
        <v>0</v>
      </c>
      <c r="N188" t="n">
        <v>0</v>
      </c>
      <c r="O188" t="n">
        <v>0</v>
      </c>
      <c r="P188" t="n">
        <v>0</v>
      </c>
      <c r="Q188" t="n">
        <v>0</v>
      </c>
      <c r="R188" s="2" t="inlineStr"/>
    </row>
    <row r="189" ht="15" customHeight="1">
      <c r="A189" t="inlineStr">
        <is>
          <t>A 21895-2025</t>
        </is>
      </c>
      <c r="B189" s="1" t="n">
        <v>45784.45273148148</v>
      </c>
      <c r="C189" s="1" t="n">
        <v>45915</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64093-2023</t>
        </is>
      </c>
      <c r="B190" s="1" t="n">
        <v>45279</v>
      </c>
      <c r="C190" s="1" t="n">
        <v>45915</v>
      </c>
      <c r="D190" t="inlineStr">
        <is>
          <t>DALARNAS LÄN</t>
        </is>
      </c>
      <c r="E190" t="inlineStr">
        <is>
          <t>MORA</t>
        </is>
      </c>
      <c r="G190" t="n">
        <v>0.9</v>
      </c>
      <c r="H190" t="n">
        <v>0</v>
      </c>
      <c r="I190" t="n">
        <v>0</v>
      </c>
      <c r="J190" t="n">
        <v>0</v>
      </c>
      <c r="K190" t="n">
        <v>0</v>
      </c>
      <c r="L190" t="n">
        <v>0</v>
      </c>
      <c r="M190" t="n">
        <v>0</v>
      </c>
      <c r="N190" t="n">
        <v>0</v>
      </c>
      <c r="O190" t="n">
        <v>0</v>
      </c>
      <c r="P190" t="n">
        <v>0</v>
      </c>
      <c r="Q190" t="n">
        <v>0</v>
      </c>
      <c r="R190" s="2" t="inlineStr"/>
    </row>
    <row r="191" ht="15" customHeight="1">
      <c r="A191" t="inlineStr">
        <is>
          <t>A 28832-2023</t>
        </is>
      </c>
      <c r="B191" s="1" t="n">
        <v>45104.40493055555</v>
      </c>
      <c r="C191" s="1" t="n">
        <v>45915</v>
      </c>
      <c r="D191" t="inlineStr">
        <is>
          <t>DALARNAS LÄN</t>
        </is>
      </c>
      <c r="E191" t="inlineStr">
        <is>
          <t>MORA</t>
        </is>
      </c>
      <c r="F191" t="inlineStr">
        <is>
          <t>Bergvik skog öst AB</t>
        </is>
      </c>
      <c r="G191" t="n">
        <v>2</v>
      </c>
      <c r="H191" t="n">
        <v>0</v>
      </c>
      <c r="I191" t="n">
        <v>0</v>
      </c>
      <c r="J191" t="n">
        <v>0</v>
      </c>
      <c r="K191" t="n">
        <v>0</v>
      </c>
      <c r="L191" t="n">
        <v>0</v>
      </c>
      <c r="M191" t="n">
        <v>0</v>
      </c>
      <c r="N191" t="n">
        <v>0</v>
      </c>
      <c r="O191" t="n">
        <v>0</v>
      </c>
      <c r="P191" t="n">
        <v>0</v>
      </c>
      <c r="Q191" t="n">
        <v>0</v>
      </c>
      <c r="R191" s="2" t="inlineStr"/>
    </row>
    <row r="192" ht="15" customHeight="1">
      <c r="A192" t="inlineStr">
        <is>
          <t>A 49159-2023</t>
        </is>
      </c>
      <c r="B192" s="1" t="n">
        <v>45210</v>
      </c>
      <c r="C192" s="1" t="n">
        <v>45915</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37710-2023</t>
        </is>
      </c>
      <c r="B193" s="1" t="n">
        <v>45159.59186342593</v>
      </c>
      <c r="C193" s="1" t="n">
        <v>45915</v>
      </c>
      <c r="D193" t="inlineStr">
        <is>
          <t>DALARNAS LÄN</t>
        </is>
      </c>
      <c r="E193" t="inlineStr">
        <is>
          <t>MORA</t>
        </is>
      </c>
      <c r="G193" t="n">
        <v>1.9</v>
      </c>
      <c r="H193" t="n">
        <v>0</v>
      </c>
      <c r="I193" t="n">
        <v>0</v>
      </c>
      <c r="J193" t="n">
        <v>0</v>
      </c>
      <c r="K193" t="n">
        <v>0</v>
      </c>
      <c r="L193" t="n">
        <v>0</v>
      </c>
      <c r="M193" t="n">
        <v>0</v>
      </c>
      <c r="N193" t="n">
        <v>0</v>
      </c>
      <c r="O193" t="n">
        <v>0</v>
      </c>
      <c r="P193" t="n">
        <v>0</v>
      </c>
      <c r="Q193" t="n">
        <v>0</v>
      </c>
      <c r="R193" s="2" t="inlineStr"/>
    </row>
    <row r="194" ht="15" customHeight="1">
      <c r="A194" t="inlineStr">
        <is>
          <t>A 27188-2023</t>
        </is>
      </c>
      <c r="B194" s="1" t="n">
        <v>45096</v>
      </c>
      <c r="C194" s="1" t="n">
        <v>45915</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21894-2025</t>
        </is>
      </c>
      <c r="B195" s="1" t="n">
        <v>45784.45060185185</v>
      </c>
      <c r="C195" s="1" t="n">
        <v>45915</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31395-2024</t>
        </is>
      </c>
      <c r="B196" s="1" t="n">
        <v>45505.47716435185</v>
      </c>
      <c r="C196" s="1" t="n">
        <v>45915</v>
      </c>
      <c r="D196" t="inlineStr">
        <is>
          <t>DALARNAS LÄN</t>
        </is>
      </c>
      <c r="E196" t="inlineStr">
        <is>
          <t>MORA</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45915</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18444-2024</t>
        </is>
      </c>
      <c r="B198" s="1" t="n">
        <v>45425.45568287037</v>
      </c>
      <c r="C198" s="1" t="n">
        <v>45915</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38055-2024</t>
        </is>
      </c>
      <c r="B199" s="1" t="n">
        <v>45544</v>
      </c>
      <c r="C199" s="1" t="n">
        <v>45915</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16573-2024</t>
        </is>
      </c>
      <c r="B200" s="1" t="n">
        <v>45408.46980324074</v>
      </c>
      <c r="C200" s="1" t="n">
        <v>45915</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18992-2024</t>
        </is>
      </c>
      <c r="B201" s="1" t="n">
        <v>45427.61516203704</v>
      </c>
      <c r="C201" s="1" t="n">
        <v>45915</v>
      </c>
      <c r="D201" t="inlineStr">
        <is>
          <t>DALARNAS LÄN</t>
        </is>
      </c>
      <c r="E201" t="inlineStr">
        <is>
          <t>MORA</t>
        </is>
      </c>
      <c r="G201" t="n">
        <v>9.9</v>
      </c>
      <c r="H201" t="n">
        <v>0</v>
      </c>
      <c r="I201" t="n">
        <v>0</v>
      </c>
      <c r="J201" t="n">
        <v>0</v>
      </c>
      <c r="K201" t="n">
        <v>0</v>
      </c>
      <c r="L201" t="n">
        <v>0</v>
      </c>
      <c r="M201" t="n">
        <v>0</v>
      </c>
      <c r="N201" t="n">
        <v>0</v>
      </c>
      <c r="O201" t="n">
        <v>0</v>
      </c>
      <c r="P201" t="n">
        <v>0</v>
      </c>
      <c r="Q201" t="n">
        <v>0</v>
      </c>
      <c r="R201" s="2" t="inlineStr"/>
    </row>
    <row r="202" ht="15" customHeight="1">
      <c r="A202" t="inlineStr">
        <is>
          <t>A 35327-2024</t>
        </is>
      </c>
      <c r="B202" s="1" t="n">
        <v>45530.71334490741</v>
      </c>
      <c r="C202" s="1" t="n">
        <v>45915</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5486-2023</t>
        </is>
      </c>
      <c r="B203" s="1" t="n">
        <v>44957</v>
      </c>
      <c r="C203" s="1" t="n">
        <v>45915</v>
      </c>
      <c r="D203" t="inlineStr">
        <is>
          <t>DALARNAS LÄN</t>
        </is>
      </c>
      <c r="E203" t="inlineStr">
        <is>
          <t>MORA</t>
        </is>
      </c>
      <c r="G203" t="n">
        <v>3.2</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45915</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46129-2024</t>
        </is>
      </c>
      <c r="B205" s="1" t="n">
        <v>45581.43337962963</v>
      </c>
      <c r="C205" s="1" t="n">
        <v>45915</v>
      </c>
      <c r="D205" t="inlineStr">
        <is>
          <t>DALARNAS LÄN</t>
        </is>
      </c>
      <c r="E205" t="inlineStr">
        <is>
          <t>MORA</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28934-2023</t>
        </is>
      </c>
      <c r="B206" s="1" t="n">
        <v>45104</v>
      </c>
      <c r="C206" s="1" t="n">
        <v>45915</v>
      </c>
      <c r="D206" t="inlineStr">
        <is>
          <t>DALARNAS LÄN</t>
        </is>
      </c>
      <c r="E206" t="inlineStr">
        <is>
          <t>MORA</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31929-2024</t>
        </is>
      </c>
      <c r="B207" s="1" t="n">
        <v>45510.40587962963</v>
      </c>
      <c r="C207" s="1" t="n">
        <v>45915</v>
      </c>
      <c r="D207" t="inlineStr">
        <is>
          <t>DALARNAS LÄN</t>
        </is>
      </c>
      <c r="E207" t="inlineStr">
        <is>
          <t>MORA</t>
        </is>
      </c>
      <c r="G207" t="n">
        <v>10.8</v>
      </c>
      <c r="H207" t="n">
        <v>0</v>
      </c>
      <c r="I207" t="n">
        <v>0</v>
      </c>
      <c r="J207" t="n">
        <v>0</v>
      </c>
      <c r="K207" t="n">
        <v>0</v>
      </c>
      <c r="L207" t="n">
        <v>0</v>
      </c>
      <c r="M207" t="n">
        <v>0</v>
      </c>
      <c r="N207" t="n">
        <v>0</v>
      </c>
      <c r="O207" t="n">
        <v>0</v>
      </c>
      <c r="P207" t="n">
        <v>0</v>
      </c>
      <c r="Q207" t="n">
        <v>0</v>
      </c>
      <c r="R207" s="2" t="inlineStr"/>
    </row>
    <row r="208" ht="15" customHeight="1">
      <c r="A208" t="inlineStr">
        <is>
          <t>A 60673-2023</t>
        </is>
      </c>
      <c r="B208" s="1" t="n">
        <v>45260.46438657407</v>
      </c>
      <c r="C208" s="1" t="n">
        <v>45915</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45915</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32410-2024</t>
        </is>
      </c>
      <c r="B210" s="1" t="n">
        <v>45512.70077546296</v>
      </c>
      <c r="C210" s="1" t="n">
        <v>45915</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45915</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42943-2024</t>
        </is>
      </c>
      <c r="B212" s="1" t="n">
        <v>45567.35359953704</v>
      </c>
      <c r="C212" s="1" t="n">
        <v>45915</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37552-2023</t>
        </is>
      </c>
      <c r="B213" s="1" t="n">
        <v>45159.32799768518</v>
      </c>
      <c r="C213" s="1" t="n">
        <v>45915</v>
      </c>
      <c r="D213" t="inlineStr">
        <is>
          <t>DALARNAS LÄN</t>
        </is>
      </c>
      <c r="E213" t="inlineStr">
        <is>
          <t>MORA</t>
        </is>
      </c>
      <c r="G213" t="n">
        <v>4</v>
      </c>
      <c r="H213" t="n">
        <v>0</v>
      </c>
      <c r="I213" t="n">
        <v>0</v>
      </c>
      <c r="J213" t="n">
        <v>0</v>
      </c>
      <c r="K213" t="n">
        <v>0</v>
      </c>
      <c r="L213" t="n">
        <v>0</v>
      </c>
      <c r="M213" t="n">
        <v>0</v>
      </c>
      <c r="N213" t="n">
        <v>0</v>
      </c>
      <c r="O213" t="n">
        <v>0</v>
      </c>
      <c r="P213" t="n">
        <v>0</v>
      </c>
      <c r="Q213" t="n">
        <v>0</v>
      </c>
      <c r="R213" s="2" t="inlineStr"/>
    </row>
    <row r="214" ht="15" customHeight="1">
      <c r="A214" t="inlineStr">
        <is>
          <t>A 4489-2022</t>
        </is>
      </c>
      <c r="B214" s="1" t="n">
        <v>44589</v>
      </c>
      <c r="C214" s="1" t="n">
        <v>45915</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5418-2025</t>
        </is>
      </c>
      <c r="B215" s="1" t="n">
        <v>45692.68561342593</v>
      </c>
      <c r="C215" s="1" t="n">
        <v>45915</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19842-2025</t>
        </is>
      </c>
      <c r="B216" s="1" t="n">
        <v>45771.47938657407</v>
      </c>
      <c r="C216" s="1" t="n">
        <v>45915</v>
      </c>
      <c r="D216" t="inlineStr">
        <is>
          <t>DALARNAS LÄN</t>
        </is>
      </c>
      <c r="E216" t="inlineStr">
        <is>
          <t>MORA</t>
        </is>
      </c>
      <c r="G216" t="n">
        <v>1.9</v>
      </c>
      <c r="H216" t="n">
        <v>0</v>
      </c>
      <c r="I216" t="n">
        <v>0</v>
      </c>
      <c r="J216" t="n">
        <v>0</v>
      </c>
      <c r="K216" t="n">
        <v>0</v>
      </c>
      <c r="L216" t="n">
        <v>0</v>
      </c>
      <c r="M216" t="n">
        <v>0</v>
      </c>
      <c r="N216" t="n">
        <v>0</v>
      </c>
      <c r="O216" t="n">
        <v>0</v>
      </c>
      <c r="P216" t="n">
        <v>0</v>
      </c>
      <c r="Q216" t="n">
        <v>0</v>
      </c>
      <c r="R216" s="2" t="inlineStr"/>
    </row>
    <row r="217" ht="15" customHeight="1">
      <c r="A217" t="inlineStr">
        <is>
          <t>A 18134-2025</t>
        </is>
      </c>
      <c r="B217" s="1" t="n">
        <v>45761.60189814815</v>
      </c>
      <c r="C217" s="1" t="n">
        <v>45915</v>
      </c>
      <c r="D217" t="inlineStr">
        <is>
          <t>DALARNAS LÄN</t>
        </is>
      </c>
      <c r="E217" t="inlineStr">
        <is>
          <t>MORA</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32721-2024</t>
        </is>
      </c>
      <c r="B218" s="1" t="n">
        <v>45516.40261574074</v>
      </c>
      <c r="C218" s="1" t="n">
        <v>45915</v>
      </c>
      <c r="D218" t="inlineStr">
        <is>
          <t>DALARNAS LÄN</t>
        </is>
      </c>
      <c r="E218" t="inlineStr">
        <is>
          <t>MORA</t>
        </is>
      </c>
      <c r="G218" t="n">
        <v>4.2</v>
      </c>
      <c r="H218" t="n">
        <v>0</v>
      </c>
      <c r="I218" t="n">
        <v>0</v>
      </c>
      <c r="J218" t="n">
        <v>0</v>
      </c>
      <c r="K218" t="n">
        <v>0</v>
      </c>
      <c r="L218" t="n">
        <v>0</v>
      </c>
      <c r="M218" t="n">
        <v>0</v>
      </c>
      <c r="N218" t="n">
        <v>0</v>
      </c>
      <c r="O218" t="n">
        <v>0</v>
      </c>
      <c r="P218" t="n">
        <v>0</v>
      </c>
      <c r="Q218" t="n">
        <v>0</v>
      </c>
      <c r="R218" s="2" t="inlineStr"/>
    </row>
    <row r="219" ht="15" customHeight="1">
      <c r="A219" t="inlineStr">
        <is>
          <t>A 36038-2024</t>
        </is>
      </c>
      <c r="B219" s="1" t="n">
        <v>45533</v>
      </c>
      <c r="C219" s="1" t="n">
        <v>45915</v>
      </c>
      <c r="D219" t="inlineStr">
        <is>
          <t>DALARNAS LÄN</t>
        </is>
      </c>
      <c r="E219" t="inlineStr">
        <is>
          <t>MORA</t>
        </is>
      </c>
      <c r="G219" t="n">
        <v>5.1</v>
      </c>
      <c r="H219" t="n">
        <v>0</v>
      </c>
      <c r="I219" t="n">
        <v>0</v>
      </c>
      <c r="J219" t="n">
        <v>0</v>
      </c>
      <c r="K219" t="n">
        <v>0</v>
      </c>
      <c r="L219" t="n">
        <v>0</v>
      </c>
      <c r="M219" t="n">
        <v>0</v>
      </c>
      <c r="N219" t="n">
        <v>0</v>
      </c>
      <c r="O219" t="n">
        <v>0</v>
      </c>
      <c r="P219" t="n">
        <v>0</v>
      </c>
      <c r="Q219" t="n">
        <v>0</v>
      </c>
      <c r="R219" s="2" t="inlineStr"/>
    </row>
    <row r="220" ht="15" customHeight="1">
      <c r="A220" t="inlineStr">
        <is>
          <t>A 11193-2025</t>
        </is>
      </c>
      <c r="B220" s="1" t="n">
        <v>45725</v>
      </c>
      <c r="C220" s="1" t="n">
        <v>45915</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22354-2025</t>
        </is>
      </c>
      <c r="B221" s="1" t="n">
        <v>45786.45721064815</v>
      </c>
      <c r="C221" s="1" t="n">
        <v>45915</v>
      </c>
      <c r="D221" t="inlineStr">
        <is>
          <t>DALARNAS LÄN</t>
        </is>
      </c>
      <c r="E221" t="inlineStr">
        <is>
          <t>MORA</t>
        </is>
      </c>
      <c r="F221" t="inlineStr">
        <is>
          <t>Bergvik skog öst AB</t>
        </is>
      </c>
      <c r="G221" t="n">
        <v>2</v>
      </c>
      <c r="H221" t="n">
        <v>0</v>
      </c>
      <c r="I221" t="n">
        <v>0</v>
      </c>
      <c r="J221" t="n">
        <v>0</v>
      </c>
      <c r="K221" t="n">
        <v>0</v>
      </c>
      <c r="L221" t="n">
        <v>0</v>
      </c>
      <c r="M221" t="n">
        <v>0</v>
      </c>
      <c r="N221" t="n">
        <v>0</v>
      </c>
      <c r="O221" t="n">
        <v>0</v>
      </c>
      <c r="P221" t="n">
        <v>0</v>
      </c>
      <c r="Q221" t="n">
        <v>0</v>
      </c>
      <c r="R221" s="2" t="inlineStr"/>
    </row>
    <row r="222" ht="15" customHeight="1">
      <c r="A222" t="inlineStr">
        <is>
          <t>A 61249-2023</t>
        </is>
      </c>
      <c r="B222" s="1" t="n">
        <v>45264</v>
      </c>
      <c r="C222" s="1" t="n">
        <v>45915</v>
      </c>
      <c r="D222" t="inlineStr">
        <is>
          <t>DALARNAS LÄN</t>
        </is>
      </c>
      <c r="E222" t="inlineStr">
        <is>
          <t>MORA</t>
        </is>
      </c>
      <c r="F222" t="inlineStr">
        <is>
          <t>Allmännings- och besparingsskogar</t>
        </is>
      </c>
      <c r="G222" t="n">
        <v>1.7</v>
      </c>
      <c r="H222" t="n">
        <v>0</v>
      </c>
      <c r="I222" t="n">
        <v>0</v>
      </c>
      <c r="J222" t="n">
        <v>0</v>
      </c>
      <c r="K222" t="n">
        <v>0</v>
      </c>
      <c r="L222" t="n">
        <v>0</v>
      </c>
      <c r="M222" t="n">
        <v>0</v>
      </c>
      <c r="N222" t="n">
        <v>0</v>
      </c>
      <c r="O222" t="n">
        <v>0</v>
      </c>
      <c r="P222" t="n">
        <v>0</v>
      </c>
      <c r="Q222" t="n">
        <v>0</v>
      </c>
      <c r="R222" s="2" t="inlineStr"/>
    </row>
    <row r="223" ht="15" customHeight="1">
      <c r="A223" t="inlineStr">
        <is>
          <t>A 48522-2024</t>
        </is>
      </c>
      <c r="B223" s="1" t="n">
        <v>45593.32924768519</v>
      </c>
      <c r="C223" s="1" t="n">
        <v>45915</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16733-2024</t>
        </is>
      </c>
      <c r="B224" s="1" t="n">
        <v>45410.78502314815</v>
      </c>
      <c r="C224" s="1" t="n">
        <v>45915</v>
      </c>
      <c r="D224" t="inlineStr">
        <is>
          <t>DALARNAS LÄN</t>
        </is>
      </c>
      <c r="E224" t="inlineStr">
        <is>
          <t>MORA</t>
        </is>
      </c>
      <c r="G224" t="n">
        <v>6.3</v>
      </c>
      <c r="H224" t="n">
        <v>0</v>
      </c>
      <c r="I224" t="n">
        <v>0</v>
      </c>
      <c r="J224" t="n">
        <v>0</v>
      </c>
      <c r="K224" t="n">
        <v>0</v>
      </c>
      <c r="L224" t="n">
        <v>0</v>
      </c>
      <c r="M224" t="n">
        <v>0</v>
      </c>
      <c r="N224" t="n">
        <v>0</v>
      </c>
      <c r="O224" t="n">
        <v>0</v>
      </c>
      <c r="P224" t="n">
        <v>0</v>
      </c>
      <c r="Q224" t="n">
        <v>0</v>
      </c>
      <c r="R224" s="2" t="inlineStr"/>
    </row>
    <row r="225" ht="15" customHeight="1">
      <c r="A225" t="inlineStr">
        <is>
          <t>A 53159-2024</t>
        </is>
      </c>
      <c r="B225" s="1" t="n">
        <v>45611.63849537037</v>
      </c>
      <c r="C225" s="1" t="n">
        <v>45915</v>
      </c>
      <c r="D225" t="inlineStr">
        <is>
          <t>DALARNAS LÄN</t>
        </is>
      </c>
      <c r="E225" t="inlineStr">
        <is>
          <t>MORA</t>
        </is>
      </c>
      <c r="G225" t="n">
        <v>3.3</v>
      </c>
      <c r="H225" t="n">
        <v>0</v>
      </c>
      <c r="I225" t="n">
        <v>0</v>
      </c>
      <c r="J225" t="n">
        <v>0</v>
      </c>
      <c r="K225" t="n">
        <v>0</v>
      </c>
      <c r="L225" t="n">
        <v>0</v>
      </c>
      <c r="M225" t="n">
        <v>0</v>
      </c>
      <c r="N225" t="n">
        <v>0</v>
      </c>
      <c r="O225" t="n">
        <v>0</v>
      </c>
      <c r="P225" t="n">
        <v>0</v>
      </c>
      <c r="Q225" t="n">
        <v>0</v>
      </c>
      <c r="R225" s="2" t="inlineStr"/>
    </row>
    <row r="226" ht="15" customHeight="1">
      <c r="A226" t="inlineStr">
        <is>
          <t>A 68415-2021</t>
        </is>
      </c>
      <c r="B226" s="1" t="n">
        <v>44529</v>
      </c>
      <c r="C226" s="1" t="n">
        <v>45915</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30194-2024</t>
        </is>
      </c>
      <c r="B227" s="1" t="n">
        <v>45490.33387731481</v>
      </c>
      <c r="C227" s="1" t="n">
        <v>45915</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47143-2022</t>
        </is>
      </c>
      <c r="B228" s="1" t="n">
        <v>44852</v>
      </c>
      <c r="C228" s="1" t="n">
        <v>45915</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60187-2024</t>
        </is>
      </c>
      <c r="B229" s="1" t="n">
        <v>45642.64803240741</v>
      </c>
      <c r="C229" s="1" t="n">
        <v>45915</v>
      </c>
      <c r="D229" t="inlineStr">
        <is>
          <t>DALARNAS LÄN</t>
        </is>
      </c>
      <c r="E229" t="inlineStr">
        <is>
          <t>MORA</t>
        </is>
      </c>
      <c r="F229" t="inlineStr">
        <is>
          <t>Allmännings- och besparingsskogar</t>
        </is>
      </c>
      <c r="G229" t="n">
        <v>24.6</v>
      </c>
      <c r="H229" t="n">
        <v>0</v>
      </c>
      <c r="I229" t="n">
        <v>0</v>
      </c>
      <c r="J229" t="n">
        <v>0</v>
      </c>
      <c r="K229" t="n">
        <v>0</v>
      </c>
      <c r="L229" t="n">
        <v>0</v>
      </c>
      <c r="M229" t="n">
        <v>0</v>
      </c>
      <c r="N229" t="n">
        <v>0</v>
      </c>
      <c r="O229" t="n">
        <v>0</v>
      </c>
      <c r="P229" t="n">
        <v>0</v>
      </c>
      <c r="Q229" t="n">
        <v>0</v>
      </c>
      <c r="R229" s="2" t="inlineStr"/>
    </row>
    <row r="230" ht="15" customHeight="1">
      <c r="A230" t="inlineStr">
        <is>
          <t>A 15435-2024</t>
        </is>
      </c>
      <c r="B230" s="1" t="n">
        <v>45401.40806712963</v>
      </c>
      <c r="C230" s="1" t="n">
        <v>45915</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51965-2024</t>
        </is>
      </c>
      <c r="B231" s="1" t="n">
        <v>45607.65123842593</v>
      </c>
      <c r="C231" s="1" t="n">
        <v>45915</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3430-2023</t>
        </is>
      </c>
      <c r="B232" s="1" t="n">
        <v>44949.57856481482</v>
      </c>
      <c r="C232" s="1" t="n">
        <v>45915</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56900-2024</t>
        </is>
      </c>
      <c r="B233" s="1" t="n">
        <v>45625</v>
      </c>
      <c r="C233" s="1" t="n">
        <v>45915</v>
      </c>
      <c r="D233" t="inlineStr">
        <is>
          <t>DALARNAS LÄN</t>
        </is>
      </c>
      <c r="E233" t="inlineStr">
        <is>
          <t>MORA</t>
        </is>
      </c>
      <c r="G233" t="n">
        <v>2.7</v>
      </c>
      <c r="H233" t="n">
        <v>0</v>
      </c>
      <c r="I233" t="n">
        <v>0</v>
      </c>
      <c r="J233" t="n">
        <v>0</v>
      </c>
      <c r="K233" t="n">
        <v>0</v>
      </c>
      <c r="L233" t="n">
        <v>0</v>
      </c>
      <c r="M233" t="n">
        <v>0</v>
      </c>
      <c r="N233" t="n">
        <v>0</v>
      </c>
      <c r="O233" t="n">
        <v>0</v>
      </c>
      <c r="P233" t="n">
        <v>0</v>
      </c>
      <c r="Q233" t="n">
        <v>0</v>
      </c>
      <c r="R233" s="2" t="inlineStr"/>
    </row>
    <row r="234" ht="15" customHeight="1">
      <c r="A234" t="inlineStr">
        <is>
          <t>A 34282-2024</t>
        </is>
      </c>
      <c r="B234" s="1" t="n">
        <v>45524.62600694445</v>
      </c>
      <c r="C234" s="1" t="n">
        <v>45915</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42391-2023</t>
        </is>
      </c>
      <c r="B235" s="1" t="n">
        <v>45180</v>
      </c>
      <c r="C235" s="1" t="n">
        <v>45915</v>
      </c>
      <c r="D235" t="inlineStr">
        <is>
          <t>DALARNAS LÄN</t>
        </is>
      </c>
      <c r="E235" t="inlineStr">
        <is>
          <t>MORA</t>
        </is>
      </c>
      <c r="F235" t="inlineStr">
        <is>
          <t>Kommuner</t>
        </is>
      </c>
      <c r="G235" t="n">
        <v>0.3</v>
      </c>
      <c r="H235" t="n">
        <v>0</v>
      </c>
      <c r="I235" t="n">
        <v>0</v>
      </c>
      <c r="J235" t="n">
        <v>0</v>
      </c>
      <c r="K235" t="n">
        <v>0</v>
      </c>
      <c r="L235" t="n">
        <v>0</v>
      </c>
      <c r="M235" t="n">
        <v>0</v>
      </c>
      <c r="N235" t="n">
        <v>0</v>
      </c>
      <c r="O235" t="n">
        <v>0</v>
      </c>
      <c r="P235" t="n">
        <v>0</v>
      </c>
      <c r="Q235" t="n">
        <v>0</v>
      </c>
      <c r="R235" s="2" t="inlineStr"/>
    </row>
    <row r="236" ht="15" customHeight="1">
      <c r="A236" t="inlineStr">
        <is>
          <t>A 56927-2024</t>
        </is>
      </c>
      <c r="B236" s="1" t="n">
        <v>45625</v>
      </c>
      <c r="C236" s="1" t="n">
        <v>45915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71702-2021</t>
        </is>
      </c>
      <c r="B237" s="1" t="n">
        <v>44543</v>
      </c>
      <c r="C237" s="1" t="n">
        <v>45915</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55691-2023</t>
        </is>
      </c>
      <c r="B238" s="1" t="n">
        <v>45239.36509259259</v>
      </c>
      <c r="C238" s="1" t="n">
        <v>45915</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2865-2022</t>
        </is>
      </c>
      <c r="B239" s="1" t="n">
        <v>44581</v>
      </c>
      <c r="C239" s="1" t="n">
        <v>45915</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54192-2023</t>
        </is>
      </c>
      <c r="B240" s="1" t="n">
        <v>45232.53052083333</v>
      </c>
      <c r="C240" s="1" t="n">
        <v>45915</v>
      </c>
      <c r="D240" t="inlineStr">
        <is>
          <t>DALARNAS LÄN</t>
        </is>
      </c>
      <c r="E240" t="inlineStr">
        <is>
          <t>MORA</t>
        </is>
      </c>
      <c r="G240" t="n">
        <v>3.4</v>
      </c>
      <c r="H240" t="n">
        <v>0</v>
      </c>
      <c r="I240" t="n">
        <v>0</v>
      </c>
      <c r="J240" t="n">
        <v>0</v>
      </c>
      <c r="K240" t="n">
        <v>0</v>
      </c>
      <c r="L240" t="n">
        <v>0</v>
      </c>
      <c r="M240" t="n">
        <v>0</v>
      </c>
      <c r="N240" t="n">
        <v>0</v>
      </c>
      <c r="O240" t="n">
        <v>0</v>
      </c>
      <c r="P240" t="n">
        <v>0</v>
      </c>
      <c r="Q240" t="n">
        <v>0</v>
      </c>
      <c r="R240" s="2" t="inlineStr"/>
    </row>
    <row r="241" ht="15" customHeight="1">
      <c r="A241" t="inlineStr">
        <is>
          <t>A 18580-2025</t>
        </is>
      </c>
      <c r="B241" s="1" t="n">
        <v>45763.46721064814</v>
      </c>
      <c r="C241" s="1" t="n">
        <v>45915</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59404-2024</t>
        </is>
      </c>
      <c r="B242" s="1" t="n">
        <v>45638</v>
      </c>
      <c r="C242" s="1" t="n">
        <v>45915</v>
      </c>
      <c r="D242" t="inlineStr">
        <is>
          <t>DALARNAS LÄN</t>
        </is>
      </c>
      <c r="E242" t="inlineStr">
        <is>
          <t>MORA</t>
        </is>
      </c>
      <c r="G242" t="n">
        <v>2.6</v>
      </c>
      <c r="H242" t="n">
        <v>0</v>
      </c>
      <c r="I242" t="n">
        <v>0</v>
      </c>
      <c r="J242" t="n">
        <v>0</v>
      </c>
      <c r="K242" t="n">
        <v>0</v>
      </c>
      <c r="L242" t="n">
        <v>0</v>
      </c>
      <c r="M242" t="n">
        <v>0</v>
      </c>
      <c r="N242" t="n">
        <v>0</v>
      </c>
      <c r="O242" t="n">
        <v>0</v>
      </c>
      <c r="P242" t="n">
        <v>0</v>
      </c>
      <c r="Q242" t="n">
        <v>0</v>
      </c>
      <c r="R242" s="2" t="inlineStr"/>
    </row>
    <row r="243" ht="15" customHeight="1">
      <c r="A243" t="inlineStr">
        <is>
          <t>A 22185-2025</t>
        </is>
      </c>
      <c r="B243" s="1" t="n">
        <v>45785</v>
      </c>
      <c r="C243" s="1" t="n">
        <v>45915</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23368-2025</t>
        </is>
      </c>
      <c r="B244" s="1" t="n">
        <v>45791.70299768518</v>
      </c>
      <c r="C244" s="1" t="n">
        <v>45915</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56935-2024</t>
        </is>
      </c>
      <c r="B245" s="1" t="n">
        <v>45625</v>
      </c>
      <c r="C245" s="1" t="n">
        <v>45915</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23354-2022</t>
        </is>
      </c>
      <c r="B246" s="1" t="n">
        <v>44720</v>
      </c>
      <c r="C246" s="1" t="n">
        <v>45915</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45915</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52525-2022</t>
        </is>
      </c>
      <c r="B248" s="1" t="n">
        <v>44874</v>
      </c>
      <c r="C248" s="1" t="n">
        <v>45915</v>
      </c>
      <c r="D248" t="inlineStr">
        <is>
          <t>DALARNAS LÄN</t>
        </is>
      </c>
      <c r="E248" t="inlineStr">
        <is>
          <t>MORA</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45349-2024</t>
        </is>
      </c>
      <c r="B249" s="1" t="n">
        <v>45576</v>
      </c>
      <c r="C249" s="1" t="n">
        <v>45915</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17904-2021</t>
        </is>
      </c>
      <c r="B250" s="1" t="n">
        <v>44301</v>
      </c>
      <c r="C250" s="1" t="n">
        <v>45915</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9461-2025</t>
        </is>
      </c>
      <c r="B251" s="1" t="n">
        <v>45715.45341435185</v>
      </c>
      <c r="C251" s="1" t="n">
        <v>45915</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24127-2025</t>
        </is>
      </c>
      <c r="B252" s="1" t="n">
        <v>45796.63137731481</v>
      </c>
      <c r="C252" s="1" t="n">
        <v>45915</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41169-2023</t>
        </is>
      </c>
      <c r="B253" s="1" t="n">
        <v>45174.34662037037</v>
      </c>
      <c r="C253" s="1" t="n">
        <v>45915</v>
      </c>
      <c r="D253" t="inlineStr">
        <is>
          <t>DALARNAS LÄN</t>
        </is>
      </c>
      <c r="E253" t="inlineStr">
        <is>
          <t>MORA</t>
        </is>
      </c>
      <c r="G253" t="n">
        <v>3</v>
      </c>
      <c r="H253" t="n">
        <v>0</v>
      </c>
      <c r="I253" t="n">
        <v>0</v>
      </c>
      <c r="J253" t="n">
        <v>0</v>
      </c>
      <c r="K253" t="n">
        <v>0</v>
      </c>
      <c r="L253" t="n">
        <v>0</v>
      </c>
      <c r="M253" t="n">
        <v>0</v>
      </c>
      <c r="N253" t="n">
        <v>0</v>
      </c>
      <c r="O253" t="n">
        <v>0</v>
      </c>
      <c r="P253" t="n">
        <v>0</v>
      </c>
      <c r="Q253" t="n">
        <v>0</v>
      </c>
      <c r="R253" s="2" t="inlineStr"/>
    </row>
    <row r="254" ht="15" customHeight="1">
      <c r="A254" t="inlineStr">
        <is>
          <t>A 57408-2024</t>
        </is>
      </c>
      <c r="B254" s="1" t="n">
        <v>45629</v>
      </c>
      <c r="C254" s="1" t="n">
        <v>45915</v>
      </c>
      <c r="D254" t="inlineStr">
        <is>
          <t>DALARNAS LÄN</t>
        </is>
      </c>
      <c r="E254" t="inlineStr">
        <is>
          <t>MORA</t>
        </is>
      </c>
      <c r="F254" t="inlineStr">
        <is>
          <t>Allmännings- och besparingsskogar</t>
        </is>
      </c>
      <c r="G254" t="n">
        <v>2.5</v>
      </c>
      <c r="H254" t="n">
        <v>0</v>
      </c>
      <c r="I254" t="n">
        <v>0</v>
      </c>
      <c r="J254" t="n">
        <v>0</v>
      </c>
      <c r="K254" t="n">
        <v>0</v>
      </c>
      <c r="L254" t="n">
        <v>0</v>
      </c>
      <c r="M254" t="n">
        <v>0</v>
      </c>
      <c r="N254" t="n">
        <v>0</v>
      </c>
      <c r="O254" t="n">
        <v>0</v>
      </c>
      <c r="P254" t="n">
        <v>0</v>
      </c>
      <c r="Q254" t="n">
        <v>0</v>
      </c>
      <c r="R254" s="2" t="inlineStr"/>
    </row>
    <row r="255" ht="15" customHeight="1">
      <c r="A255" t="inlineStr">
        <is>
          <t>A 69483-2021</t>
        </is>
      </c>
      <c r="B255" s="1" t="n">
        <v>44531</v>
      </c>
      <c r="C255" s="1" t="n">
        <v>45915</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56460-2022</t>
        </is>
      </c>
      <c r="B256" s="1" t="n">
        <v>44893</v>
      </c>
      <c r="C256" s="1" t="n">
        <v>45915</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45915</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46412-2024</t>
        </is>
      </c>
      <c r="B258" s="1" t="n">
        <v>45582.44894675926</v>
      </c>
      <c r="C258" s="1" t="n">
        <v>45915</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50685-2023</t>
        </is>
      </c>
      <c r="B259" s="1" t="n">
        <v>45210</v>
      </c>
      <c r="C259" s="1" t="n">
        <v>45915</v>
      </c>
      <c r="D259" t="inlineStr">
        <is>
          <t>DALARNAS LÄN</t>
        </is>
      </c>
      <c r="E259" t="inlineStr">
        <is>
          <t>MORA</t>
        </is>
      </c>
      <c r="G259" t="n">
        <v>1.7</v>
      </c>
      <c r="H259" t="n">
        <v>0</v>
      </c>
      <c r="I259" t="n">
        <v>0</v>
      </c>
      <c r="J259" t="n">
        <v>0</v>
      </c>
      <c r="K259" t="n">
        <v>0</v>
      </c>
      <c r="L259" t="n">
        <v>0</v>
      </c>
      <c r="M259" t="n">
        <v>0</v>
      </c>
      <c r="N259" t="n">
        <v>0</v>
      </c>
      <c r="O259" t="n">
        <v>0</v>
      </c>
      <c r="P259" t="n">
        <v>0</v>
      </c>
      <c r="Q259" t="n">
        <v>0</v>
      </c>
      <c r="R259" s="2" t="inlineStr"/>
    </row>
    <row r="260" ht="15" customHeight="1">
      <c r="A260" t="inlineStr">
        <is>
          <t>A 50759-2023</t>
        </is>
      </c>
      <c r="B260" s="1" t="n">
        <v>45217.60914351852</v>
      </c>
      <c r="C260" s="1" t="n">
        <v>45915</v>
      </c>
      <c r="D260" t="inlineStr">
        <is>
          <t>DALARNAS LÄN</t>
        </is>
      </c>
      <c r="E260" t="inlineStr">
        <is>
          <t>MORA</t>
        </is>
      </c>
      <c r="G260" t="n">
        <v>5.3</v>
      </c>
      <c r="H260" t="n">
        <v>0</v>
      </c>
      <c r="I260" t="n">
        <v>0</v>
      </c>
      <c r="J260" t="n">
        <v>0</v>
      </c>
      <c r="K260" t="n">
        <v>0</v>
      </c>
      <c r="L260" t="n">
        <v>0</v>
      </c>
      <c r="M260" t="n">
        <v>0</v>
      </c>
      <c r="N260" t="n">
        <v>0</v>
      </c>
      <c r="O260" t="n">
        <v>0</v>
      </c>
      <c r="P260" t="n">
        <v>0</v>
      </c>
      <c r="Q260" t="n">
        <v>0</v>
      </c>
      <c r="R260" s="2" t="inlineStr"/>
    </row>
    <row r="261" ht="15" customHeight="1">
      <c r="A261" t="inlineStr">
        <is>
          <t>A 43964-2024</t>
        </is>
      </c>
      <c r="B261" s="1" t="n">
        <v>45572.48407407408</v>
      </c>
      <c r="C261" s="1" t="n">
        <v>45915</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62854-2023</t>
        </is>
      </c>
      <c r="B262" s="1" t="n">
        <v>45272</v>
      </c>
      <c r="C262" s="1" t="n">
        <v>45915</v>
      </c>
      <c r="D262" t="inlineStr">
        <is>
          <t>DALARNAS LÄN</t>
        </is>
      </c>
      <c r="E262" t="inlineStr">
        <is>
          <t>MORA</t>
        </is>
      </c>
      <c r="G262" t="n">
        <v>11.3</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45915</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19286-2023</t>
        </is>
      </c>
      <c r="B264" s="1" t="n">
        <v>45049</v>
      </c>
      <c r="C264" s="1" t="n">
        <v>45915</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23229-2025</t>
        </is>
      </c>
      <c r="B265" s="1" t="n">
        <v>45791</v>
      </c>
      <c r="C265" s="1" t="n">
        <v>45915</v>
      </c>
      <c r="D265" t="inlineStr">
        <is>
          <t>DALARNAS LÄN</t>
        </is>
      </c>
      <c r="E265" t="inlineStr">
        <is>
          <t>MORA</t>
        </is>
      </c>
      <c r="G265" t="n">
        <v>2.2</v>
      </c>
      <c r="H265" t="n">
        <v>0</v>
      </c>
      <c r="I265" t="n">
        <v>0</v>
      </c>
      <c r="J265" t="n">
        <v>0</v>
      </c>
      <c r="K265" t="n">
        <v>0</v>
      </c>
      <c r="L265" t="n">
        <v>0</v>
      </c>
      <c r="M265" t="n">
        <v>0</v>
      </c>
      <c r="N265" t="n">
        <v>0</v>
      </c>
      <c r="O265" t="n">
        <v>0</v>
      </c>
      <c r="P265" t="n">
        <v>0</v>
      </c>
      <c r="Q265" t="n">
        <v>0</v>
      </c>
      <c r="R265" s="2" t="inlineStr"/>
    </row>
    <row r="266" ht="15" customHeight="1">
      <c r="A266" t="inlineStr">
        <is>
          <t>A 24277-2025</t>
        </is>
      </c>
      <c r="B266" s="1" t="n">
        <v>45797.4530787037</v>
      </c>
      <c r="C266" s="1" t="n">
        <v>45915</v>
      </c>
      <c r="D266" t="inlineStr">
        <is>
          <t>DALARNAS LÄN</t>
        </is>
      </c>
      <c r="E266" t="inlineStr">
        <is>
          <t>MORA</t>
        </is>
      </c>
      <c r="G266" t="n">
        <v>1.9</v>
      </c>
      <c r="H266" t="n">
        <v>0</v>
      </c>
      <c r="I266" t="n">
        <v>0</v>
      </c>
      <c r="J266" t="n">
        <v>0</v>
      </c>
      <c r="K266" t="n">
        <v>0</v>
      </c>
      <c r="L266" t="n">
        <v>0</v>
      </c>
      <c r="M266" t="n">
        <v>0</v>
      </c>
      <c r="N266" t="n">
        <v>0</v>
      </c>
      <c r="O266" t="n">
        <v>0</v>
      </c>
      <c r="P266" t="n">
        <v>0</v>
      </c>
      <c r="Q266" t="n">
        <v>0</v>
      </c>
      <c r="R266" s="2" t="inlineStr"/>
    </row>
    <row r="267" ht="15" customHeight="1">
      <c r="A267" t="inlineStr">
        <is>
          <t>A 24280-2025</t>
        </is>
      </c>
      <c r="B267" s="1" t="n">
        <v>45797.45581018519</v>
      </c>
      <c r="C267" s="1" t="n">
        <v>45915</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24630-2025</t>
        </is>
      </c>
      <c r="B268" s="1" t="n">
        <v>45798.6003587963</v>
      </c>
      <c r="C268" s="1" t="n">
        <v>45915</v>
      </c>
      <c r="D268" t="inlineStr">
        <is>
          <t>DALARNAS LÄN</t>
        </is>
      </c>
      <c r="E268" t="inlineStr">
        <is>
          <t>MORA</t>
        </is>
      </c>
      <c r="F268" t="inlineStr">
        <is>
          <t>Bergvik skog väst AB</t>
        </is>
      </c>
      <c r="G268" t="n">
        <v>10.4</v>
      </c>
      <c r="H268" t="n">
        <v>0</v>
      </c>
      <c r="I268" t="n">
        <v>0</v>
      </c>
      <c r="J268" t="n">
        <v>0</v>
      </c>
      <c r="K268" t="n">
        <v>0</v>
      </c>
      <c r="L268" t="n">
        <v>0</v>
      </c>
      <c r="M268" t="n">
        <v>0</v>
      </c>
      <c r="N268" t="n">
        <v>0</v>
      </c>
      <c r="O268" t="n">
        <v>0</v>
      </c>
      <c r="P268" t="n">
        <v>0</v>
      </c>
      <c r="Q268" t="n">
        <v>0</v>
      </c>
      <c r="R268" s="2" t="inlineStr"/>
    </row>
    <row r="269" ht="15" customHeight="1">
      <c r="A269" t="inlineStr">
        <is>
          <t>A 39897-2022</t>
        </is>
      </c>
      <c r="B269" s="1" t="n">
        <v>44819.66083333334</v>
      </c>
      <c r="C269" s="1" t="n">
        <v>45915</v>
      </c>
      <c r="D269" t="inlineStr">
        <is>
          <t>DALARNAS LÄN</t>
        </is>
      </c>
      <c r="E269" t="inlineStr">
        <is>
          <t>MORA</t>
        </is>
      </c>
      <c r="G269" t="n">
        <v>15.8</v>
      </c>
      <c r="H269" t="n">
        <v>0</v>
      </c>
      <c r="I269" t="n">
        <v>0</v>
      </c>
      <c r="J269" t="n">
        <v>0</v>
      </c>
      <c r="K269" t="n">
        <v>0</v>
      </c>
      <c r="L269" t="n">
        <v>0</v>
      </c>
      <c r="M269" t="n">
        <v>0</v>
      </c>
      <c r="N269" t="n">
        <v>0</v>
      </c>
      <c r="O269" t="n">
        <v>0</v>
      </c>
      <c r="P269" t="n">
        <v>0</v>
      </c>
      <c r="Q269" t="n">
        <v>0</v>
      </c>
      <c r="R269" s="2" t="inlineStr"/>
    </row>
    <row r="270" ht="15" customHeight="1">
      <c r="A270" t="inlineStr">
        <is>
          <t>A 39511-2024</t>
        </is>
      </c>
      <c r="B270" s="1" t="n">
        <v>45551.68347222222</v>
      </c>
      <c r="C270" s="1" t="n">
        <v>45915</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37695-2024</t>
        </is>
      </c>
      <c r="B271" s="1" t="n">
        <v>45541.61094907407</v>
      </c>
      <c r="C271" s="1" t="n">
        <v>45915</v>
      </c>
      <c r="D271" t="inlineStr">
        <is>
          <t>DALARNAS LÄN</t>
        </is>
      </c>
      <c r="E271" t="inlineStr">
        <is>
          <t>MORA</t>
        </is>
      </c>
      <c r="G271" t="n">
        <v>19.7</v>
      </c>
      <c r="H271" t="n">
        <v>0</v>
      </c>
      <c r="I271" t="n">
        <v>0</v>
      </c>
      <c r="J271" t="n">
        <v>0</v>
      </c>
      <c r="K271" t="n">
        <v>0</v>
      </c>
      <c r="L271" t="n">
        <v>0</v>
      </c>
      <c r="M271" t="n">
        <v>0</v>
      </c>
      <c r="N271" t="n">
        <v>0</v>
      </c>
      <c r="O271" t="n">
        <v>0</v>
      </c>
      <c r="P271" t="n">
        <v>0</v>
      </c>
      <c r="Q271" t="n">
        <v>0</v>
      </c>
      <c r="R271" s="2" t="inlineStr"/>
    </row>
    <row r="272" ht="15" customHeight="1">
      <c r="A272" t="inlineStr">
        <is>
          <t>A 56834-2024</t>
        </is>
      </c>
      <c r="B272" s="1" t="n">
        <v>45628.49931712963</v>
      </c>
      <c r="C272" s="1" t="n">
        <v>45915</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19183-2025</t>
        </is>
      </c>
      <c r="B273" s="1" t="n">
        <v>45769</v>
      </c>
      <c r="C273" s="1" t="n">
        <v>45915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24642-2025</t>
        </is>
      </c>
      <c r="B274" s="1" t="n">
        <v>45798.62894675926</v>
      </c>
      <c r="C274" s="1" t="n">
        <v>45915</v>
      </c>
      <c r="D274" t="inlineStr">
        <is>
          <t>DALARNAS LÄN</t>
        </is>
      </c>
      <c r="E274" t="inlineStr">
        <is>
          <t>MORA</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17622-2022</t>
        </is>
      </c>
      <c r="B275" s="1" t="n">
        <v>44680.4265162037</v>
      </c>
      <c r="C275" s="1" t="n">
        <v>45915</v>
      </c>
      <c r="D275" t="inlineStr">
        <is>
          <t>DALARNAS LÄN</t>
        </is>
      </c>
      <c r="E275" t="inlineStr">
        <is>
          <t>MORA</t>
        </is>
      </c>
      <c r="G275" t="n">
        <v>1.5</v>
      </c>
      <c r="H275" t="n">
        <v>0</v>
      </c>
      <c r="I275" t="n">
        <v>0</v>
      </c>
      <c r="J275" t="n">
        <v>0</v>
      </c>
      <c r="K275" t="n">
        <v>0</v>
      </c>
      <c r="L275" t="n">
        <v>0</v>
      </c>
      <c r="M275" t="n">
        <v>0</v>
      </c>
      <c r="N275" t="n">
        <v>0</v>
      </c>
      <c r="O275" t="n">
        <v>0</v>
      </c>
      <c r="P275" t="n">
        <v>0</v>
      </c>
      <c r="Q275" t="n">
        <v>0</v>
      </c>
      <c r="R275" s="2" t="inlineStr"/>
    </row>
    <row r="276" ht="15" customHeight="1">
      <c r="A276" t="inlineStr">
        <is>
          <t>A 24653-2025</t>
        </is>
      </c>
      <c r="B276" s="1" t="n">
        <v>45798.63875</v>
      </c>
      <c r="C276" s="1" t="n">
        <v>45915</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8068-2024</t>
        </is>
      </c>
      <c r="B277" s="1" t="n">
        <v>45351.41524305556</v>
      </c>
      <c r="C277" s="1" t="n">
        <v>45915</v>
      </c>
      <c r="D277" t="inlineStr">
        <is>
          <t>DALARNAS LÄN</t>
        </is>
      </c>
      <c r="E277" t="inlineStr">
        <is>
          <t>MORA</t>
        </is>
      </c>
      <c r="G277" t="n">
        <v>6.4</v>
      </c>
      <c r="H277" t="n">
        <v>0</v>
      </c>
      <c r="I277" t="n">
        <v>0</v>
      </c>
      <c r="J277" t="n">
        <v>0</v>
      </c>
      <c r="K277" t="n">
        <v>0</v>
      </c>
      <c r="L277" t="n">
        <v>0</v>
      </c>
      <c r="M277" t="n">
        <v>0</v>
      </c>
      <c r="N277" t="n">
        <v>0</v>
      </c>
      <c r="O277" t="n">
        <v>0</v>
      </c>
      <c r="P277" t="n">
        <v>0</v>
      </c>
      <c r="Q277" t="n">
        <v>0</v>
      </c>
      <c r="R277" s="2" t="inlineStr"/>
    </row>
    <row r="278" ht="15" customHeight="1">
      <c r="A278" t="inlineStr">
        <is>
          <t>A 24249-2025</t>
        </is>
      </c>
      <c r="B278" s="1" t="n">
        <v>45797.40260416667</v>
      </c>
      <c r="C278" s="1" t="n">
        <v>45915</v>
      </c>
      <c r="D278" t="inlineStr">
        <is>
          <t>DALARNAS LÄN</t>
        </is>
      </c>
      <c r="E278" t="inlineStr">
        <is>
          <t>MORA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24640-2025</t>
        </is>
      </c>
      <c r="B279" s="1" t="n">
        <v>45798.62243055556</v>
      </c>
      <c r="C279" s="1" t="n">
        <v>45915</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24230-2025</t>
        </is>
      </c>
      <c r="B280" s="1" t="n">
        <v>45797.37607638889</v>
      </c>
      <c r="C280" s="1" t="n">
        <v>45915</v>
      </c>
      <c r="D280" t="inlineStr">
        <is>
          <t>DALARNAS LÄN</t>
        </is>
      </c>
      <c r="E280" t="inlineStr">
        <is>
          <t>MORA</t>
        </is>
      </c>
      <c r="G280" t="n">
        <v>6.8</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44473.39252314815</v>
      </c>
      <c r="C281" s="1" t="n">
        <v>45915</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24620-2025</t>
        </is>
      </c>
      <c r="B282" s="1" t="n">
        <v>45798.59290509259</v>
      </c>
      <c r="C282" s="1" t="n">
        <v>45915</v>
      </c>
      <c r="D282" t="inlineStr">
        <is>
          <t>DALARNAS LÄN</t>
        </is>
      </c>
      <c r="E282" t="inlineStr">
        <is>
          <t>MORA</t>
        </is>
      </c>
      <c r="F282" t="inlineStr">
        <is>
          <t>Bergvik skog väst AB</t>
        </is>
      </c>
      <c r="G282" t="n">
        <v>4.9</v>
      </c>
      <c r="H282" t="n">
        <v>0</v>
      </c>
      <c r="I282" t="n">
        <v>0</v>
      </c>
      <c r="J282" t="n">
        <v>0</v>
      </c>
      <c r="K282" t="n">
        <v>0</v>
      </c>
      <c r="L282" t="n">
        <v>0</v>
      </c>
      <c r="M282" t="n">
        <v>0</v>
      </c>
      <c r="N282" t="n">
        <v>0</v>
      </c>
      <c r="O282" t="n">
        <v>0</v>
      </c>
      <c r="P282" t="n">
        <v>0</v>
      </c>
      <c r="Q282" t="n">
        <v>0</v>
      </c>
      <c r="R282" s="2" t="inlineStr"/>
    </row>
    <row r="283" ht="15" customHeight="1">
      <c r="A283" t="inlineStr">
        <is>
          <t>A 43863-2023</t>
        </is>
      </c>
      <c r="B283" s="1" t="n">
        <v>45187.62532407408</v>
      </c>
      <c r="C283" s="1" t="n">
        <v>45915</v>
      </c>
      <c r="D283" t="inlineStr">
        <is>
          <t>DALARNAS LÄN</t>
        </is>
      </c>
      <c r="E283" t="inlineStr">
        <is>
          <t>MORA</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23302-2024</t>
        </is>
      </c>
      <c r="B284" s="1" t="n">
        <v>45453.44091435185</v>
      </c>
      <c r="C284" s="1" t="n">
        <v>45915</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30985-2024</t>
        </is>
      </c>
      <c r="B285" s="1" t="n">
        <v>45499.51721064815</v>
      </c>
      <c r="C285" s="1" t="n">
        <v>45915</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24960-2025</t>
        </is>
      </c>
      <c r="B286" s="1" t="n">
        <v>45799.57666666667</v>
      </c>
      <c r="C286" s="1" t="n">
        <v>45915</v>
      </c>
      <c r="D286" t="inlineStr">
        <is>
          <t>DALARNAS LÄN</t>
        </is>
      </c>
      <c r="E286" t="inlineStr">
        <is>
          <t>MORA</t>
        </is>
      </c>
      <c r="G286" t="n">
        <v>3.2</v>
      </c>
      <c r="H286" t="n">
        <v>0</v>
      </c>
      <c r="I286" t="n">
        <v>0</v>
      </c>
      <c r="J286" t="n">
        <v>0</v>
      </c>
      <c r="K286" t="n">
        <v>0</v>
      </c>
      <c r="L286" t="n">
        <v>0</v>
      </c>
      <c r="M286" t="n">
        <v>0</v>
      </c>
      <c r="N286" t="n">
        <v>0</v>
      </c>
      <c r="O286" t="n">
        <v>0</v>
      </c>
      <c r="P286" t="n">
        <v>0</v>
      </c>
      <c r="Q286" t="n">
        <v>0</v>
      </c>
      <c r="R286" s="2" t="inlineStr"/>
    </row>
    <row r="287" ht="15" customHeight="1">
      <c r="A287" t="inlineStr">
        <is>
          <t>A 35521-2023</t>
        </is>
      </c>
      <c r="B287" s="1" t="n">
        <v>45147.33251157407</v>
      </c>
      <c r="C287" s="1" t="n">
        <v>45915</v>
      </c>
      <c r="D287" t="inlineStr">
        <is>
          <t>DALARNAS LÄN</t>
        </is>
      </c>
      <c r="E287" t="inlineStr">
        <is>
          <t>MORA</t>
        </is>
      </c>
      <c r="G287" t="n">
        <v>3.7</v>
      </c>
      <c r="H287" t="n">
        <v>0</v>
      </c>
      <c r="I287" t="n">
        <v>0</v>
      </c>
      <c r="J287" t="n">
        <v>0</v>
      </c>
      <c r="K287" t="n">
        <v>0</v>
      </c>
      <c r="L287" t="n">
        <v>0</v>
      </c>
      <c r="M287" t="n">
        <v>0</v>
      </c>
      <c r="N287" t="n">
        <v>0</v>
      </c>
      <c r="O287" t="n">
        <v>0</v>
      </c>
      <c r="P287" t="n">
        <v>0</v>
      </c>
      <c r="Q287" t="n">
        <v>0</v>
      </c>
      <c r="R287" s="2" t="inlineStr"/>
    </row>
    <row r="288" ht="15" customHeight="1">
      <c r="A288" t="inlineStr">
        <is>
          <t>A 57859-2022</t>
        </is>
      </c>
      <c r="B288" s="1" t="n">
        <v>44898</v>
      </c>
      <c r="C288" s="1" t="n">
        <v>45915</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31112-2024</t>
        </is>
      </c>
      <c r="B289" s="1" t="n">
        <v>45502.55185185185</v>
      </c>
      <c r="C289" s="1" t="n">
        <v>45915</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44205-2023</t>
        </is>
      </c>
      <c r="B290" s="1" t="n">
        <v>45188</v>
      </c>
      <c r="C290" s="1" t="n">
        <v>45915</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60647-2022</t>
        </is>
      </c>
      <c r="B291" s="1" t="n">
        <v>44911</v>
      </c>
      <c r="C291" s="1" t="n">
        <v>45915</v>
      </c>
      <c r="D291" t="inlineStr">
        <is>
          <t>DALARNAS LÄN</t>
        </is>
      </c>
      <c r="E291" t="inlineStr">
        <is>
          <t>MORA</t>
        </is>
      </c>
      <c r="G291" t="n">
        <v>4.8</v>
      </c>
      <c r="H291" t="n">
        <v>0</v>
      </c>
      <c r="I291" t="n">
        <v>0</v>
      </c>
      <c r="J291" t="n">
        <v>0</v>
      </c>
      <c r="K291" t="n">
        <v>0</v>
      </c>
      <c r="L291" t="n">
        <v>0</v>
      </c>
      <c r="M291" t="n">
        <v>0</v>
      </c>
      <c r="N291" t="n">
        <v>0</v>
      </c>
      <c r="O291" t="n">
        <v>0</v>
      </c>
      <c r="P291" t="n">
        <v>0</v>
      </c>
      <c r="Q291" t="n">
        <v>0</v>
      </c>
      <c r="R291" s="2" t="inlineStr"/>
    </row>
    <row r="292" ht="15" customHeight="1">
      <c r="A292" t="inlineStr">
        <is>
          <t>A 24947-2025</t>
        </is>
      </c>
      <c r="B292" s="1" t="n">
        <v>45799.56524305556</v>
      </c>
      <c r="C292" s="1" t="n">
        <v>45915</v>
      </c>
      <c r="D292" t="inlineStr">
        <is>
          <t>DALARNAS LÄN</t>
        </is>
      </c>
      <c r="E292" t="inlineStr">
        <is>
          <t>MORA</t>
        </is>
      </c>
      <c r="G292" t="n">
        <v>2</v>
      </c>
      <c r="H292" t="n">
        <v>0</v>
      </c>
      <c r="I292" t="n">
        <v>0</v>
      </c>
      <c r="J292" t="n">
        <v>0</v>
      </c>
      <c r="K292" t="n">
        <v>0</v>
      </c>
      <c r="L292" t="n">
        <v>0</v>
      </c>
      <c r="M292" t="n">
        <v>0</v>
      </c>
      <c r="N292" t="n">
        <v>0</v>
      </c>
      <c r="O292" t="n">
        <v>0</v>
      </c>
      <c r="P292" t="n">
        <v>0</v>
      </c>
      <c r="Q292" t="n">
        <v>0</v>
      </c>
      <c r="R292" s="2" t="inlineStr"/>
    </row>
    <row r="293" ht="15" customHeight="1">
      <c r="A293" t="inlineStr">
        <is>
          <t>A 51168-2024</t>
        </is>
      </c>
      <c r="B293" s="1" t="n">
        <v>45603.58619212963</v>
      </c>
      <c r="C293" s="1" t="n">
        <v>45915</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18214-2024</t>
        </is>
      </c>
      <c r="B294" s="1" t="n">
        <v>45420</v>
      </c>
      <c r="C294" s="1" t="n">
        <v>45915</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16522-2024</t>
        </is>
      </c>
      <c r="B295" s="1" t="n">
        <v>45408.41166666667</v>
      </c>
      <c r="C295" s="1" t="n">
        <v>45915</v>
      </c>
      <c r="D295" t="inlineStr">
        <is>
          <t>DALARNAS LÄN</t>
        </is>
      </c>
      <c r="E295" t="inlineStr">
        <is>
          <t>MORA</t>
        </is>
      </c>
      <c r="G295" t="n">
        <v>11.2</v>
      </c>
      <c r="H295" t="n">
        <v>0</v>
      </c>
      <c r="I295" t="n">
        <v>0</v>
      </c>
      <c r="J295" t="n">
        <v>0</v>
      </c>
      <c r="K295" t="n">
        <v>0</v>
      </c>
      <c r="L295" t="n">
        <v>0</v>
      </c>
      <c r="M295" t="n">
        <v>0</v>
      </c>
      <c r="N295" t="n">
        <v>0</v>
      </c>
      <c r="O295" t="n">
        <v>0</v>
      </c>
      <c r="P295" t="n">
        <v>0</v>
      </c>
      <c r="Q295" t="n">
        <v>0</v>
      </c>
      <c r="R295" s="2" t="inlineStr"/>
    </row>
    <row r="296" ht="15" customHeight="1">
      <c r="A296" t="inlineStr">
        <is>
          <t>A 55120-2024</t>
        </is>
      </c>
      <c r="B296" s="1" t="n">
        <v>45621.45765046297</v>
      </c>
      <c r="C296" s="1" t="n">
        <v>45915</v>
      </c>
      <c r="D296" t="inlineStr">
        <is>
          <t>DALARNAS LÄN</t>
        </is>
      </c>
      <c r="E296" t="inlineStr">
        <is>
          <t>MORA</t>
        </is>
      </c>
      <c r="G296" t="n">
        <v>1.9</v>
      </c>
      <c r="H296" t="n">
        <v>0</v>
      </c>
      <c r="I296" t="n">
        <v>0</v>
      </c>
      <c r="J296" t="n">
        <v>0</v>
      </c>
      <c r="K296" t="n">
        <v>0</v>
      </c>
      <c r="L296" t="n">
        <v>0</v>
      </c>
      <c r="M296" t="n">
        <v>0</v>
      </c>
      <c r="N296" t="n">
        <v>0</v>
      </c>
      <c r="O296" t="n">
        <v>0</v>
      </c>
      <c r="P296" t="n">
        <v>0</v>
      </c>
      <c r="Q296" t="n">
        <v>0</v>
      </c>
      <c r="R296" s="2" t="inlineStr"/>
    </row>
    <row r="297" ht="15" customHeight="1">
      <c r="A297" t="inlineStr">
        <is>
          <t>A 24590-2024</t>
        </is>
      </c>
      <c r="B297" s="1" t="n">
        <v>45460</v>
      </c>
      <c r="C297" s="1" t="n">
        <v>45915</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43873-2024</t>
        </is>
      </c>
      <c r="B298" s="1" t="n">
        <v>45572.38429398148</v>
      </c>
      <c r="C298" s="1" t="n">
        <v>45915</v>
      </c>
      <c r="D298" t="inlineStr">
        <is>
          <t>DALARNAS LÄN</t>
        </is>
      </c>
      <c r="E298" t="inlineStr">
        <is>
          <t>MORA</t>
        </is>
      </c>
      <c r="G298" t="n">
        <v>4.1</v>
      </c>
      <c r="H298" t="n">
        <v>0</v>
      </c>
      <c r="I298" t="n">
        <v>0</v>
      </c>
      <c r="J298" t="n">
        <v>0</v>
      </c>
      <c r="K298" t="n">
        <v>0</v>
      </c>
      <c r="L298" t="n">
        <v>0</v>
      </c>
      <c r="M298" t="n">
        <v>0</v>
      </c>
      <c r="N298" t="n">
        <v>0</v>
      </c>
      <c r="O298" t="n">
        <v>0</v>
      </c>
      <c r="P298" t="n">
        <v>0</v>
      </c>
      <c r="Q298" t="n">
        <v>0</v>
      </c>
      <c r="R298" s="2" t="inlineStr"/>
    </row>
    <row r="299" ht="15" customHeight="1">
      <c r="A299" t="inlineStr">
        <is>
          <t>A 25737-2025</t>
        </is>
      </c>
      <c r="B299" s="1" t="n">
        <v>45800</v>
      </c>
      <c r="C299" s="1" t="n">
        <v>45915</v>
      </c>
      <c r="D299" t="inlineStr">
        <is>
          <t>DALARNAS LÄN</t>
        </is>
      </c>
      <c r="E299" t="inlineStr">
        <is>
          <t>MORA</t>
        </is>
      </c>
      <c r="G299" t="n">
        <v>9.6</v>
      </c>
      <c r="H299" t="n">
        <v>0</v>
      </c>
      <c r="I299" t="n">
        <v>0</v>
      </c>
      <c r="J299" t="n">
        <v>0</v>
      </c>
      <c r="K299" t="n">
        <v>0</v>
      </c>
      <c r="L299" t="n">
        <v>0</v>
      </c>
      <c r="M299" t="n">
        <v>0</v>
      </c>
      <c r="N299" t="n">
        <v>0</v>
      </c>
      <c r="O299" t="n">
        <v>0</v>
      </c>
      <c r="P299" t="n">
        <v>0</v>
      </c>
      <c r="Q299" t="n">
        <v>0</v>
      </c>
      <c r="R299" s="2" t="inlineStr"/>
    </row>
    <row r="300" ht="15" customHeight="1">
      <c r="A300" t="inlineStr">
        <is>
          <t>A 42934-2024</t>
        </is>
      </c>
      <c r="B300" s="1" t="n">
        <v>45567.33655092592</v>
      </c>
      <c r="C300" s="1" t="n">
        <v>45915</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2879-2022</t>
        </is>
      </c>
      <c r="B301" s="1" t="n">
        <v>44581</v>
      </c>
      <c r="C301" s="1" t="n">
        <v>45915</v>
      </c>
      <c r="D301" t="inlineStr">
        <is>
          <t>DALARNAS LÄN</t>
        </is>
      </c>
      <c r="E301" t="inlineStr">
        <is>
          <t>MORA</t>
        </is>
      </c>
      <c r="G301" t="n">
        <v>2.3</v>
      </c>
      <c r="H301" t="n">
        <v>0</v>
      </c>
      <c r="I301" t="n">
        <v>0</v>
      </c>
      <c r="J301" t="n">
        <v>0</v>
      </c>
      <c r="K301" t="n">
        <v>0</v>
      </c>
      <c r="L301" t="n">
        <v>0</v>
      </c>
      <c r="M301" t="n">
        <v>0</v>
      </c>
      <c r="N301" t="n">
        <v>0</v>
      </c>
      <c r="O301" t="n">
        <v>0</v>
      </c>
      <c r="P301" t="n">
        <v>0</v>
      </c>
      <c r="Q301" t="n">
        <v>0</v>
      </c>
      <c r="R301" s="2" t="inlineStr"/>
    </row>
    <row r="302" ht="15" customHeight="1">
      <c r="A302" t="inlineStr">
        <is>
          <t>A 46152-2023</t>
        </is>
      </c>
      <c r="B302" s="1" t="n">
        <v>45196.58278935185</v>
      </c>
      <c r="C302" s="1" t="n">
        <v>45915</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61654-2024</t>
        </is>
      </c>
      <c r="B303" s="1" t="n">
        <v>45646.74988425926</v>
      </c>
      <c r="C303" s="1" t="n">
        <v>45915</v>
      </c>
      <c r="D303" t="inlineStr">
        <is>
          <t>DALARNAS LÄN</t>
        </is>
      </c>
      <c r="E303" t="inlineStr">
        <is>
          <t>MORA</t>
        </is>
      </c>
      <c r="G303" t="n">
        <v>1.7</v>
      </c>
      <c r="H303" t="n">
        <v>0</v>
      </c>
      <c r="I303" t="n">
        <v>0</v>
      </c>
      <c r="J303" t="n">
        <v>0</v>
      </c>
      <c r="K303" t="n">
        <v>0</v>
      </c>
      <c r="L303" t="n">
        <v>0</v>
      </c>
      <c r="M303" t="n">
        <v>0</v>
      </c>
      <c r="N303" t="n">
        <v>0</v>
      </c>
      <c r="O303" t="n">
        <v>0</v>
      </c>
      <c r="P303" t="n">
        <v>0</v>
      </c>
      <c r="Q303" t="n">
        <v>0</v>
      </c>
      <c r="R303" s="2" t="inlineStr"/>
    </row>
    <row r="304" ht="15" customHeight="1">
      <c r="A304" t="inlineStr">
        <is>
          <t>A 42035-2022</t>
        </is>
      </c>
      <c r="B304" s="1" t="n">
        <v>44830</v>
      </c>
      <c r="C304" s="1" t="n">
        <v>45915</v>
      </c>
      <c r="D304" t="inlineStr">
        <is>
          <t>DALARNAS LÄN</t>
        </is>
      </c>
      <c r="E304" t="inlineStr">
        <is>
          <t>MORA</t>
        </is>
      </c>
      <c r="G304" t="n">
        <v>2.7</v>
      </c>
      <c r="H304" t="n">
        <v>0</v>
      </c>
      <c r="I304" t="n">
        <v>0</v>
      </c>
      <c r="J304" t="n">
        <v>0</v>
      </c>
      <c r="K304" t="n">
        <v>0</v>
      </c>
      <c r="L304" t="n">
        <v>0</v>
      </c>
      <c r="M304" t="n">
        <v>0</v>
      </c>
      <c r="N304" t="n">
        <v>0</v>
      </c>
      <c r="O304" t="n">
        <v>0</v>
      </c>
      <c r="P304" t="n">
        <v>0</v>
      </c>
      <c r="Q304" t="n">
        <v>0</v>
      </c>
      <c r="R304" s="2" t="inlineStr"/>
    </row>
    <row r="305" ht="15" customHeight="1">
      <c r="A305" t="inlineStr">
        <is>
          <t>A 26647-2025</t>
        </is>
      </c>
      <c r="B305" s="1" t="n">
        <v>45810.38439814815</v>
      </c>
      <c r="C305" s="1" t="n">
        <v>45915</v>
      </c>
      <c r="D305" t="inlineStr">
        <is>
          <t>DALARNAS LÄN</t>
        </is>
      </c>
      <c r="E305" t="inlineStr">
        <is>
          <t>MORA</t>
        </is>
      </c>
      <c r="G305" t="n">
        <v>7.9</v>
      </c>
      <c r="H305" t="n">
        <v>0</v>
      </c>
      <c r="I305" t="n">
        <v>0</v>
      </c>
      <c r="J305" t="n">
        <v>0</v>
      </c>
      <c r="K305" t="n">
        <v>0</v>
      </c>
      <c r="L305" t="n">
        <v>0</v>
      </c>
      <c r="M305" t="n">
        <v>0</v>
      </c>
      <c r="N305" t="n">
        <v>0</v>
      </c>
      <c r="O305" t="n">
        <v>0</v>
      </c>
      <c r="P305" t="n">
        <v>0</v>
      </c>
      <c r="Q305" t="n">
        <v>0</v>
      </c>
      <c r="R305" s="2" t="inlineStr"/>
    </row>
    <row r="306" ht="15" customHeight="1">
      <c r="A306" t="inlineStr">
        <is>
          <t>A 5980-2025</t>
        </is>
      </c>
      <c r="B306" s="1" t="n">
        <v>45695.54651620371</v>
      </c>
      <c r="C306" s="1" t="n">
        <v>45915</v>
      </c>
      <c r="D306" t="inlineStr">
        <is>
          <t>DALARNAS LÄN</t>
        </is>
      </c>
      <c r="E306" t="inlineStr">
        <is>
          <t>MORA</t>
        </is>
      </c>
      <c r="G306" t="n">
        <v>2.7</v>
      </c>
      <c r="H306" t="n">
        <v>0</v>
      </c>
      <c r="I306" t="n">
        <v>0</v>
      </c>
      <c r="J306" t="n">
        <v>0</v>
      </c>
      <c r="K306" t="n">
        <v>0</v>
      </c>
      <c r="L306" t="n">
        <v>0</v>
      </c>
      <c r="M306" t="n">
        <v>0</v>
      </c>
      <c r="N306" t="n">
        <v>0</v>
      </c>
      <c r="O306" t="n">
        <v>0</v>
      </c>
      <c r="P306" t="n">
        <v>0</v>
      </c>
      <c r="Q306" t="n">
        <v>0</v>
      </c>
      <c r="R306" s="2" t="inlineStr"/>
    </row>
    <row r="307" ht="15" customHeight="1">
      <c r="A307" t="inlineStr">
        <is>
          <t>A 56425-2024</t>
        </is>
      </c>
      <c r="B307" s="1" t="n">
        <v>45625.38677083333</v>
      </c>
      <c r="C307" s="1" t="n">
        <v>45915</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30819-2024</t>
        </is>
      </c>
      <c r="B308" s="1" t="n">
        <v>45497</v>
      </c>
      <c r="C308" s="1" t="n">
        <v>45915</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9599-2022</t>
        </is>
      </c>
      <c r="B309" s="1" t="n">
        <v>44617.48909722222</v>
      </c>
      <c r="C309" s="1" t="n">
        <v>45915</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51883-2024</t>
        </is>
      </c>
      <c r="B310" s="1" t="n">
        <v>45607</v>
      </c>
      <c r="C310" s="1" t="n">
        <v>45915</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51888-2024</t>
        </is>
      </c>
      <c r="B311" s="1" t="n">
        <v>45607.57142361111</v>
      </c>
      <c r="C311" s="1" t="n">
        <v>45915</v>
      </c>
      <c r="D311" t="inlineStr">
        <is>
          <t>DALARNAS LÄN</t>
        </is>
      </c>
      <c r="E311" t="inlineStr">
        <is>
          <t>MORA</t>
        </is>
      </c>
      <c r="G311" t="n">
        <v>0.9</v>
      </c>
      <c r="H311" t="n">
        <v>0</v>
      </c>
      <c r="I311" t="n">
        <v>0</v>
      </c>
      <c r="J311" t="n">
        <v>0</v>
      </c>
      <c r="K311" t="n">
        <v>0</v>
      </c>
      <c r="L311" t="n">
        <v>0</v>
      </c>
      <c r="M311" t="n">
        <v>0</v>
      </c>
      <c r="N311" t="n">
        <v>0</v>
      </c>
      <c r="O311" t="n">
        <v>0</v>
      </c>
      <c r="P311" t="n">
        <v>0</v>
      </c>
      <c r="Q311" t="n">
        <v>0</v>
      </c>
      <c r="R311" s="2" t="inlineStr"/>
    </row>
    <row r="312" ht="15" customHeight="1">
      <c r="A312" t="inlineStr">
        <is>
          <t>A 26546-2025</t>
        </is>
      </c>
      <c r="B312" s="1" t="n">
        <v>45807</v>
      </c>
      <c r="C312" s="1" t="n">
        <v>45915</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26573-2025</t>
        </is>
      </c>
      <c r="B313" s="1" t="n">
        <v>45807</v>
      </c>
      <c r="C313" s="1" t="n">
        <v>45915</v>
      </c>
      <c r="D313" t="inlineStr">
        <is>
          <t>DALARNAS LÄN</t>
        </is>
      </c>
      <c r="E313" t="inlineStr">
        <is>
          <t>MORA</t>
        </is>
      </c>
      <c r="G313" t="n">
        <v>4.3</v>
      </c>
      <c r="H313" t="n">
        <v>0</v>
      </c>
      <c r="I313" t="n">
        <v>0</v>
      </c>
      <c r="J313" t="n">
        <v>0</v>
      </c>
      <c r="K313" t="n">
        <v>0</v>
      </c>
      <c r="L313" t="n">
        <v>0</v>
      </c>
      <c r="M313" t="n">
        <v>0</v>
      </c>
      <c r="N313" t="n">
        <v>0</v>
      </c>
      <c r="O313" t="n">
        <v>0</v>
      </c>
      <c r="P313" t="n">
        <v>0</v>
      </c>
      <c r="Q313" t="n">
        <v>0</v>
      </c>
      <c r="R313" s="2" t="inlineStr"/>
    </row>
    <row r="314" ht="15" customHeight="1">
      <c r="A314" t="inlineStr">
        <is>
          <t>A 26532-2025</t>
        </is>
      </c>
      <c r="B314" s="1" t="n">
        <v>45807</v>
      </c>
      <c r="C314" s="1" t="n">
        <v>45915</v>
      </c>
      <c r="D314" t="inlineStr">
        <is>
          <t>DALARNAS LÄN</t>
        </is>
      </c>
      <c r="E314" t="inlineStr">
        <is>
          <t>MORA</t>
        </is>
      </c>
      <c r="G314" t="n">
        <v>4.4</v>
      </c>
      <c r="H314" t="n">
        <v>0</v>
      </c>
      <c r="I314" t="n">
        <v>0</v>
      </c>
      <c r="J314" t="n">
        <v>0</v>
      </c>
      <c r="K314" t="n">
        <v>0</v>
      </c>
      <c r="L314" t="n">
        <v>0</v>
      </c>
      <c r="M314" t="n">
        <v>0</v>
      </c>
      <c r="N314" t="n">
        <v>0</v>
      </c>
      <c r="O314" t="n">
        <v>0</v>
      </c>
      <c r="P314" t="n">
        <v>0</v>
      </c>
      <c r="Q314" t="n">
        <v>0</v>
      </c>
      <c r="R314" s="2" t="inlineStr"/>
    </row>
    <row r="315" ht="15" customHeight="1">
      <c r="A315" t="inlineStr">
        <is>
          <t>A 26545-2025</t>
        </is>
      </c>
      <c r="B315" s="1" t="n">
        <v>45807</v>
      </c>
      <c r="C315" s="1" t="n">
        <v>45915</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54628-2024</t>
        </is>
      </c>
      <c r="B316" s="1" t="n">
        <v>45617.83969907407</v>
      </c>
      <c r="C316" s="1" t="n">
        <v>45915</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1252-2025</t>
        </is>
      </c>
      <c r="B317" s="1" t="n">
        <v>45667.46648148148</v>
      </c>
      <c r="C317" s="1" t="n">
        <v>45915</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20885-2024</t>
        </is>
      </c>
      <c r="B318" s="1" t="n">
        <v>45439.45527777778</v>
      </c>
      <c r="C318" s="1" t="n">
        <v>45915</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26630-2025</t>
        </is>
      </c>
      <c r="B319" s="1" t="n">
        <v>45809</v>
      </c>
      <c r="C319" s="1" t="n">
        <v>45915</v>
      </c>
      <c r="D319" t="inlineStr">
        <is>
          <t>DALARNAS LÄN</t>
        </is>
      </c>
      <c r="E319" t="inlineStr">
        <is>
          <t>MORA</t>
        </is>
      </c>
      <c r="G319" t="n">
        <v>32.1</v>
      </c>
      <c r="H319" t="n">
        <v>0</v>
      </c>
      <c r="I319" t="n">
        <v>0</v>
      </c>
      <c r="J319" t="n">
        <v>0</v>
      </c>
      <c r="K319" t="n">
        <v>0</v>
      </c>
      <c r="L319" t="n">
        <v>0</v>
      </c>
      <c r="M319" t="n">
        <v>0</v>
      </c>
      <c r="N319" t="n">
        <v>0</v>
      </c>
      <c r="O319" t="n">
        <v>0</v>
      </c>
      <c r="P319" t="n">
        <v>0</v>
      </c>
      <c r="Q319" t="n">
        <v>0</v>
      </c>
      <c r="R319" s="2" t="inlineStr"/>
    </row>
    <row r="320" ht="15" customHeight="1">
      <c r="A320" t="inlineStr">
        <is>
          <t>A 39348-2024</t>
        </is>
      </c>
      <c r="B320" s="1" t="n">
        <v>45551.45322916667</v>
      </c>
      <c r="C320" s="1" t="n">
        <v>45915</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26577-2025</t>
        </is>
      </c>
      <c r="B321" s="1" t="n">
        <v>45807</v>
      </c>
      <c r="C321" s="1" t="n">
        <v>45915</v>
      </c>
      <c r="D321" t="inlineStr">
        <is>
          <t>DALARNAS LÄN</t>
        </is>
      </c>
      <c r="E321" t="inlineStr">
        <is>
          <t>MORA</t>
        </is>
      </c>
      <c r="G321" t="n">
        <v>2.8</v>
      </c>
      <c r="H321" t="n">
        <v>0</v>
      </c>
      <c r="I321" t="n">
        <v>0</v>
      </c>
      <c r="J321" t="n">
        <v>0</v>
      </c>
      <c r="K321" t="n">
        <v>0</v>
      </c>
      <c r="L321" t="n">
        <v>0</v>
      </c>
      <c r="M321" t="n">
        <v>0</v>
      </c>
      <c r="N321" t="n">
        <v>0</v>
      </c>
      <c r="O321" t="n">
        <v>0</v>
      </c>
      <c r="P321" t="n">
        <v>0</v>
      </c>
      <c r="Q321" t="n">
        <v>0</v>
      </c>
      <c r="R321" s="2" t="inlineStr"/>
    </row>
    <row r="322" ht="15" customHeight="1">
      <c r="A322" t="inlineStr">
        <is>
          <t>A 26854-2025</t>
        </is>
      </c>
      <c r="B322" s="1" t="n">
        <v>45810.67462962963</v>
      </c>
      <c r="C322" s="1" t="n">
        <v>45915</v>
      </c>
      <c r="D322" t="inlineStr">
        <is>
          <t>DALARNAS LÄN</t>
        </is>
      </c>
      <c r="E322" t="inlineStr">
        <is>
          <t>MORA</t>
        </is>
      </c>
      <c r="G322" t="n">
        <v>4.4</v>
      </c>
      <c r="H322" t="n">
        <v>0</v>
      </c>
      <c r="I322" t="n">
        <v>0</v>
      </c>
      <c r="J322" t="n">
        <v>0</v>
      </c>
      <c r="K322" t="n">
        <v>0</v>
      </c>
      <c r="L322" t="n">
        <v>0</v>
      </c>
      <c r="M322" t="n">
        <v>0</v>
      </c>
      <c r="N322" t="n">
        <v>0</v>
      </c>
      <c r="O322" t="n">
        <v>0</v>
      </c>
      <c r="P322" t="n">
        <v>0</v>
      </c>
      <c r="Q322" t="n">
        <v>0</v>
      </c>
      <c r="R322" s="2" t="inlineStr"/>
    </row>
    <row r="323" ht="15" customHeight="1">
      <c r="A323" t="inlineStr">
        <is>
          <t>A 2830-2023</t>
        </is>
      </c>
      <c r="B323" s="1" t="n">
        <v>44945.32997685186</v>
      </c>
      <c r="C323" s="1" t="n">
        <v>45915</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38627-2023</t>
        </is>
      </c>
      <c r="B324" s="1" t="n">
        <v>45162.68787037037</v>
      </c>
      <c r="C324" s="1" t="n">
        <v>45915</v>
      </c>
      <c r="D324" t="inlineStr">
        <is>
          <t>DALARNAS LÄN</t>
        </is>
      </c>
      <c r="E324" t="inlineStr">
        <is>
          <t>MORA</t>
        </is>
      </c>
      <c r="G324" t="n">
        <v>6.5</v>
      </c>
      <c r="H324" t="n">
        <v>0</v>
      </c>
      <c r="I324" t="n">
        <v>0</v>
      </c>
      <c r="J324" t="n">
        <v>0</v>
      </c>
      <c r="K324" t="n">
        <v>0</v>
      </c>
      <c r="L324" t="n">
        <v>0</v>
      </c>
      <c r="M324" t="n">
        <v>0</v>
      </c>
      <c r="N324" t="n">
        <v>0</v>
      </c>
      <c r="O324" t="n">
        <v>0</v>
      </c>
      <c r="P324" t="n">
        <v>0</v>
      </c>
      <c r="Q324" t="n">
        <v>0</v>
      </c>
      <c r="R324" s="2" t="inlineStr"/>
    </row>
    <row r="325" ht="15" customHeight="1">
      <c r="A325" t="inlineStr">
        <is>
          <t>A 16637-2025</t>
        </is>
      </c>
      <c r="B325" s="1" t="n">
        <v>45754.36738425926</v>
      </c>
      <c r="C325" s="1" t="n">
        <v>45915</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48570-2022</t>
        </is>
      </c>
      <c r="B326" s="1" t="n">
        <v>44859</v>
      </c>
      <c r="C326" s="1" t="n">
        <v>45915</v>
      </c>
      <c r="D326" t="inlineStr">
        <is>
          <t>DALARNAS LÄN</t>
        </is>
      </c>
      <c r="E326" t="inlineStr">
        <is>
          <t>MORA</t>
        </is>
      </c>
      <c r="G326" t="n">
        <v>6.2</v>
      </c>
      <c r="H326" t="n">
        <v>0</v>
      </c>
      <c r="I326" t="n">
        <v>0</v>
      </c>
      <c r="J326" t="n">
        <v>0</v>
      </c>
      <c r="K326" t="n">
        <v>0</v>
      </c>
      <c r="L326" t="n">
        <v>0</v>
      </c>
      <c r="M326" t="n">
        <v>0</v>
      </c>
      <c r="N326" t="n">
        <v>0</v>
      </c>
      <c r="O326" t="n">
        <v>0</v>
      </c>
      <c r="P326" t="n">
        <v>0</v>
      </c>
      <c r="Q326" t="n">
        <v>0</v>
      </c>
      <c r="R326" s="2" t="inlineStr"/>
    </row>
    <row r="327" ht="15" customHeight="1">
      <c r="A327" t="inlineStr">
        <is>
          <t>A 49991-2023</t>
        </is>
      </c>
      <c r="B327" s="1" t="n">
        <v>45215.43879629629</v>
      </c>
      <c r="C327" s="1" t="n">
        <v>45915</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62268-2020</t>
        </is>
      </c>
      <c r="B328" s="1" t="n">
        <v>44160</v>
      </c>
      <c r="C328" s="1" t="n">
        <v>45915</v>
      </c>
      <c r="D328" t="inlineStr">
        <is>
          <t>DALARNAS LÄN</t>
        </is>
      </c>
      <c r="E328" t="inlineStr">
        <is>
          <t>MORA</t>
        </is>
      </c>
      <c r="F328" t="inlineStr">
        <is>
          <t>Bergvik skog väst AB</t>
        </is>
      </c>
      <c r="G328" t="n">
        <v>3.5</v>
      </c>
      <c r="H328" t="n">
        <v>0</v>
      </c>
      <c r="I328" t="n">
        <v>0</v>
      </c>
      <c r="J328" t="n">
        <v>0</v>
      </c>
      <c r="K328" t="n">
        <v>0</v>
      </c>
      <c r="L328" t="n">
        <v>0</v>
      </c>
      <c r="M328" t="n">
        <v>0</v>
      </c>
      <c r="N328" t="n">
        <v>0</v>
      </c>
      <c r="O328" t="n">
        <v>0</v>
      </c>
      <c r="P328" t="n">
        <v>0</v>
      </c>
      <c r="Q328" t="n">
        <v>0</v>
      </c>
      <c r="R328" s="2" t="inlineStr"/>
    </row>
    <row r="329" ht="15" customHeight="1">
      <c r="A329" t="inlineStr">
        <is>
          <t>A 26731-2025</t>
        </is>
      </c>
      <c r="B329" s="1" t="n">
        <v>45810.50702546296</v>
      </c>
      <c r="C329" s="1" t="n">
        <v>45915</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26711-2025</t>
        </is>
      </c>
      <c r="B330" s="1" t="n">
        <v>45810.46144675926</v>
      </c>
      <c r="C330" s="1" t="n">
        <v>45915</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27177-2025</t>
        </is>
      </c>
      <c r="B331" s="1" t="n">
        <v>45812.3533912037</v>
      </c>
      <c r="C331" s="1" t="n">
        <v>45915</v>
      </c>
      <c r="D331" t="inlineStr">
        <is>
          <t>DALARNAS LÄN</t>
        </is>
      </c>
      <c r="E331" t="inlineStr">
        <is>
          <t>MORA</t>
        </is>
      </c>
      <c r="F331" t="inlineStr">
        <is>
          <t>Bergvik skog öst AB</t>
        </is>
      </c>
      <c r="G331" t="n">
        <v>2.5</v>
      </c>
      <c r="H331" t="n">
        <v>0</v>
      </c>
      <c r="I331" t="n">
        <v>0</v>
      </c>
      <c r="J331" t="n">
        <v>0</v>
      </c>
      <c r="K331" t="n">
        <v>0</v>
      </c>
      <c r="L331" t="n">
        <v>0</v>
      </c>
      <c r="M331" t="n">
        <v>0</v>
      </c>
      <c r="N331" t="n">
        <v>0</v>
      </c>
      <c r="O331" t="n">
        <v>0</v>
      </c>
      <c r="P331" t="n">
        <v>0</v>
      </c>
      <c r="Q331" t="n">
        <v>0</v>
      </c>
      <c r="R331" s="2" t="inlineStr"/>
    </row>
    <row r="332" ht="15" customHeight="1">
      <c r="A332" t="inlineStr">
        <is>
          <t>A 27194-2025</t>
        </is>
      </c>
      <c r="B332" s="1" t="n">
        <v>45812.37965277778</v>
      </c>
      <c r="C332" s="1" t="n">
        <v>45915</v>
      </c>
      <c r="D332" t="inlineStr">
        <is>
          <t>DALARNAS LÄN</t>
        </is>
      </c>
      <c r="E332" t="inlineStr">
        <is>
          <t>MORA</t>
        </is>
      </c>
      <c r="G332" t="n">
        <v>2.4</v>
      </c>
      <c r="H332" t="n">
        <v>0</v>
      </c>
      <c r="I332" t="n">
        <v>0</v>
      </c>
      <c r="J332" t="n">
        <v>0</v>
      </c>
      <c r="K332" t="n">
        <v>0</v>
      </c>
      <c r="L332" t="n">
        <v>0</v>
      </c>
      <c r="M332" t="n">
        <v>0</v>
      </c>
      <c r="N332" t="n">
        <v>0</v>
      </c>
      <c r="O332" t="n">
        <v>0</v>
      </c>
      <c r="P332" t="n">
        <v>0</v>
      </c>
      <c r="Q332" t="n">
        <v>0</v>
      </c>
      <c r="R332" s="2" t="inlineStr"/>
    </row>
    <row r="333" ht="15" customHeight="1">
      <c r="A333" t="inlineStr">
        <is>
          <t>A 14611-2025</t>
        </is>
      </c>
      <c r="B333" s="1" t="n">
        <v>45742.38511574074</v>
      </c>
      <c r="C333" s="1" t="n">
        <v>45915</v>
      </c>
      <c r="D333" t="inlineStr">
        <is>
          <t>DALARNAS LÄN</t>
        </is>
      </c>
      <c r="E333" t="inlineStr">
        <is>
          <t>MORA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27175-2025</t>
        </is>
      </c>
      <c r="B334" s="1" t="n">
        <v>45812.35072916667</v>
      </c>
      <c r="C334" s="1" t="n">
        <v>45915</v>
      </c>
      <c r="D334" t="inlineStr">
        <is>
          <t>DALARNAS LÄN</t>
        </is>
      </c>
      <c r="E334" t="inlineStr">
        <is>
          <t>MORA</t>
        </is>
      </c>
      <c r="F334" t="inlineStr">
        <is>
          <t>Bergvik skog öst AB</t>
        </is>
      </c>
      <c r="G334" t="n">
        <v>4</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45915</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18120-2025</t>
        </is>
      </c>
      <c r="B336" s="1" t="n">
        <v>45761</v>
      </c>
      <c r="C336" s="1" t="n">
        <v>45915</v>
      </c>
      <c r="D336" t="inlineStr">
        <is>
          <t>DALARNAS LÄN</t>
        </is>
      </c>
      <c r="E336" t="inlineStr">
        <is>
          <t>MORA</t>
        </is>
      </c>
      <c r="F336" t="inlineStr">
        <is>
          <t>Bergvik skog väst AB</t>
        </is>
      </c>
      <c r="G336" t="n">
        <v>6.4</v>
      </c>
      <c r="H336" t="n">
        <v>0</v>
      </c>
      <c r="I336" t="n">
        <v>0</v>
      </c>
      <c r="J336" t="n">
        <v>0</v>
      </c>
      <c r="K336" t="n">
        <v>0</v>
      </c>
      <c r="L336" t="n">
        <v>0</v>
      </c>
      <c r="M336" t="n">
        <v>0</v>
      </c>
      <c r="N336" t="n">
        <v>0</v>
      </c>
      <c r="O336" t="n">
        <v>0</v>
      </c>
      <c r="P336" t="n">
        <v>0</v>
      </c>
      <c r="Q336" t="n">
        <v>0</v>
      </c>
      <c r="R336" s="2" t="inlineStr"/>
    </row>
    <row r="337" ht="15" customHeight="1">
      <c r="A337" t="inlineStr">
        <is>
          <t>A 18127-2025</t>
        </is>
      </c>
      <c r="B337" s="1" t="n">
        <v>45761.59523148148</v>
      </c>
      <c r="C337" s="1" t="n">
        <v>45915</v>
      </c>
      <c r="D337" t="inlineStr">
        <is>
          <t>DALARNAS LÄN</t>
        </is>
      </c>
      <c r="E337" t="inlineStr">
        <is>
          <t>MORA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25887-2023</t>
        </is>
      </c>
      <c r="B338" s="1" t="n">
        <v>45090.62493055555</v>
      </c>
      <c r="C338" s="1" t="n">
        <v>45915</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7565-2025</t>
        </is>
      </c>
      <c r="B339" s="1" t="n">
        <v>45705.59269675926</v>
      </c>
      <c r="C339" s="1" t="n">
        <v>45915</v>
      </c>
      <c r="D339" t="inlineStr">
        <is>
          <t>DALARNAS LÄN</t>
        </is>
      </c>
      <c r="E339" t="inlineStr">
        <is>
          <t>MORA</t>
        </is>
      </c>
      <c r="G339" t="n">
        <v>3</v>
      </c>
      <c r="H339" t="n">
        <v>0</v>
      </c>
      <c r="I339" t="n">
        <v>0</v>
      </c>
      <c r="J339" t="n">
        <v>0</v>
      </c>
      <c r="K339" t="n">
        <v>0</v>
      </c>
      <c r="L339" t="n">
        <v>0</v>
      </c>
      <c r="M339" t="n">
        <v>0</v>
      </c>
      <c r="N339" t="n">
        <v>0</v>
      </c>
      <c r="O339" t="n">
        <v>0</v>
      </c>
      <c r="P339" t="n">
        <v>0</v>
      </c>
      <c r="Q339" t="n">
        <v>0</v>
      </c>
      <c r="R339" s="2" t="inlineStr"/>
    </row>
    <row r="340" ht="15" customHeight="1">
      <c r="A340" t="inlineStr">
        <is>
          <t>A 27184-2025</t>
        </is>
      </c>
      <c r="B340" s="1" t="n">
        <v>45812.36133101852</v>
      </c>
      <c r="C340" s="1" t="n">
        <v>45915</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20544-2025</t>
        </is>
      </c>
      <c r="B341" s="1" t="n">
        <v>45775.63119212963</v>
      </c>
      <c r="C341" s="1" t="n">
        <v>45915</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17268-2025</t>
        </is>
      </c>
      <c r="B342" s="1" t="n">
        <v>45756</v>
      </c>
      <c r="C342" s="1" t="n">
        <v>45915</v>
      </c>
      <c r="D342" t="inlineStr">
        <is>
          <t>DALARNAS LÄN</t>
        </is>
      </c>
      <c r="E342" t="inlineStr">
        <is>
          <t>MORA</t>
        </is>
      </c>
      <c r="G342" t="n">
        <v>6.8</v>
      </c>
      <c r="H342" t="n">
        <v>0</v>
      </c>
      <c r="I342" t="n">
        <v>0</v>
      </c>
      <c r="J342" t="n">
        <v>0</v>
      </c>
      <c r="K342" t="n">
        <v>0</v>
      </c>
      <c r="L342" t="n">
        <v>0</v>
      </c>
      <c r="M342" t="n">
        <v>0</v>
      </c>
      <c r="N342" t="n">
        <v>0</v>
      </c>
      <c r="O342" t="n">
        <v>0</v>
      </c>
      <c r="P342" t="n">
        <v>0</v>
      </c>
      <c r="Q342" t="n">
        <v>0</v>
      </c>
      <c r="R342" s="2" t="inlineStr"/>
    </row>
    <row r="343" ht="15" customHeight="1">
      <c r="A343" t="inlineStr">
        <is>
          <t>A 36740-2023</t>
        </is>
      </c>
      <c r="B343" s="1" t="n">
        <v>45153</v>
      </c>
      <c r="C343" s="1" t="n">
        <v>45915</v>
      </c>
      <c r="D343" t="inlineStr">
        <is>
          <t>DALARNAS LÄN</t>
        </is>
      </c>
      <c r="E343" t="inlineStr">
        <is>
          <t>MORA</t>
        </is>
      </c>
      <c r="G343" t="n">
        <v>0.2</v>
      </c>
      <c r="H343" t="n">
        <v>0</v>
      </c>
      <c r="I343" t="n">
        <v>0</v>
      </c>
      <c r="J343" t="n">
        <v>0</v>
      </c>
      <c r="K343" t="n">
        <v>0</v>
      </c>
      <c r="L343" t="n">
        <v>0</v>
      </c>
      <c r="M343" t="n">
        <v>0</v>
      </c>
      <c r="N343" t="n">
        <v>0</v>
      </c>
      <c r="O343" t="n">
        <v>0</v>
      </c>
      <c r="P343" t="n">
        <v>0</v>
      </c>
      <c r="Q343" t="n">
        <v>0</v>
      </c>
      <c r="R343" s="2" t="inlineStr"/>
    </row>
    <row r="344" ht="15" customHeight="1">
      <c r="A344" t="inlineStr">
        <is>
          <t>A 27642-2025</t>
        </is>
      </c>
      <c r="B344" s="1" t="n">
        <v>45813.59405092592</v>
      </c>
      <c r="C344" s="1" t="n">
        <v>45915</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34660-2021</t>
        </is>
      </c>
      <c r="B345" s="1" t="n">
        <v>44382.57981481482</v>
      </c>
      <c r="C345" s="1" t="n">
        <v>45915</v>
      </c>
      <c r="D345" t="inlineStr">
        <is>
          <t>DALARNAS LÄN</t>
        </is>
      </c>
      <c r="E345" t="inlineStr">
        <is>
          <t>MORA</t>
        </is>
      </c>
      <c r="G345" t="n">
        <v>7.5</v>
      </c>
      <c r="H345" t="n">
        <v>0</v>
      </c>
      <c r="I345" t="n">
        <v>0</v>
      </c>
      <c r="J345" t="n">
        <v>0</v>
      </c>
      <c r="K345" t="n">
        <v>0</v>
      </c>
      <c r="L345" t="n">
        <v>0</v>
      </c>
      <c r="M345" t="n">
        <v>0</v>
      </c>
      <c r="N345" t="n">
        <v>0</v>
      </c>
      <c r="O345" t="n">
        <v>0</v>
      </c>
      <c r="P345" t="n">
        <v>0</v>
      </c>
      <c r="Q345" t="n">
        <v>0</v>
      </c>
      <c r="R345" s="2" t="inlineStr"/>
    </row>
    <row r="346" ht="15" customHeight="1">
      <c r="A346" t="inlineStr">
        <is>
          <t>A 48342-2023</t>
        </is>
      </c>
      <c r="B346" s="1" t="n">
        <v>45205</v>
      </c>
      <c r="C346" s="1" t="n">
        <v>45915</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2308-2023</t>
        </is>
      </c>
      <c r="B347" s="1" t="n">
        <v>44942.57987268519</v>
      </c>
      <c r="C347" s="1" t="n">
        <v>45915</v>
      </c>
      <c r="D347" t="inlineStr">
        <is>
          <t>DALARNAS LÄN</t>
        </is>
      </c>
      <c r="E347" t="inlineStr">
        <is>
          <t>MORA</t>
        </is>
      </c>
      <c r="G347" t="n">
        <v>2.2</v>
      </c>
      <c r="H347" t="n">
        <v>0</v>
      </c>
      <c r="I347" t="n">
        <v>0</v>
      </c>
      <c r="J347" t="n">
        <v>0</v>
      </c>
      <c r="K347" t="n">
        <v>0</v>
      </c>
      <c r="L347" t="n">
        <v>0</v>
      </c>
      <c r="M347" t="n">
        <v>0</v>
      </c>
      <c r="N347" t="n">
        <v>0</v>
      </c>
      <c r="O347" t="n">
        <v>0</v>
      </c>
      <c r="P347" t="n">
        <v>0</v>
      </c>
      <c r="Q347" t="n">
        <v>0</v>
      </c>
      <c r="R347" s="2" t="inlineStr"/>
    </row>
    <row r="348" ht="15" customHeight="1">
      <c r="A348" t="inlineStr">
        <is>
          <t>A 28033-2025</t>
        </is>
      </c>
      <c r="B348" s="1" t="n">
        <v>45817.6325462963</v>
      </c>
      <c r="C348" s="1" t="n">
        <v>45915</v>
      </c>
      <c r="D348" t="inlineStr">
        <is>
          <t>DALARNAS LÄN</t>
        </is>
      </c>
      <c r="E348" t="inlineStr">
        <is>
          <t>MORA</t>
        </is>
      </c>
      <c r="F348" t="inlineStr">
        <is>
          <t>Bergvik skog öst AB</t>
        </is>
      </c>
      <c r="G348" t="n">
        <v>12.8</v>
      </c>
      <c r="H348" t="n">
        <v>0</v>
      </c>
      <c r="I348" t="n">
        <v>0</v>
      </c>
      <c r="J348" t="n">
        <v>0</v>
      </c>
      <c r="K348" t="n">
        <v>0</v>
      </c>
      <c r="L348" t="n">
        <v>0</v>
      </c>
      <c r="M348" t="n">
        <v>0</v>
      </c>
      <c r="N348" t="n">
        <v>0</v>
      </c>
      <c r="O348" t="n">
        <v>0</v>
      </c>
      <c r="P348" t="n">
        <v>0</v>
      </c>
      <c r="Q348" t="n">
        <v>0</v>
      </c>
      <c r="R348" s="2" t="inlineStr"/>
    </row>
    <row r="349" ht="15" customHeight="1">
      <c r="A349" t="inlineStr">
        <is>
          <t>A 53527-2024</t>
        </is>
      </c>
      <c r="B349" s="1" t="n">
        <v>45614.61569444444</v>
      </c>
      <c r="C349" s="1" t="n">
        <v>45915</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56012-2023</t>
        </is>
      </c>
      <c r="B350" s="1" t="n">
        <v>45240</v>
      </c>
      <c r="C350" s="1" t="n">
        <v>45915</v>
      </c>
      <c r="D350" t="inlineStr">
        <is>
          <t>DALARNAS LÄN</t>
        </is>
      </c>
      <c r="E350" t="inlineStr">
        <is>
          <t>MORA</t>
        </is>
      </c>
      <c r="G350" t="n">
        <v>0.3</v>
      </c>
      <c r="H350" t="n">
        <v>0</v>
      </c>
      <c r="I350" t="n">
        <v>0</v>
      </c>
      <c r="J350" t="n">
        <v>0</v>
      </c>
      <c r="K350" t="n">
        <v>0</v>
      </c>
      <c r="L350" t="n">
        <v>0</v>
      </c>
      <c r="M350" t="n">
        <v>0</v>
      </c>
      <c r="N350" t="n">
        <v>0</v>
      </c>
      <c r="O350" t="n">
        <v>0</v>
      </c>
      <c r="P350" t="n">
        <v>0</v>
      </c>
      <c r="Q350" t="n">
        <v>0</v>
      </c>
      <c r="R350" s="2" t="inlineStr"/>
    </row>
    <row r="351" ht="15" customHeight="1">
      <c r="A351" t="inlineStr">
        <is>
          <t>A 17393-2025</t>
        </is>
      </c>
      <c r="B351" s="1" t="n">
        <v>45757.34350694445</v>
      </c>
      <c r="C351" s="1" t="n">
        <v>45915</v>
      </c>
      <c r="D351" t="inlineStr">
        <is>
          <t>DALARNAS LÄN</t>
        </is>
      </c>
      <c r="E351" t="inlineStr">
        <is>
          <t>MORA</t>
        </is>
      </c>
      <c r="G351" t="n">
        <v>10.1</v>
      </c>
      <c r="H351" t="n">
        <v>0</v>
      </c>
      <c r="I351" t="n">
        <v>0</v>
      </c>
      <c r="J351" t="n">
        <v>0</v>
      </c>
      <c r="K351" t="n">
        <v>0</v>
      </c>
      <c r="L351" t="n">
        <v>0</v>
      </c>
      <c r="M351" t="n">
        <v>0</v>
      </c>
      <c r="N351" t="n">
        <v>0</v>
      </c>
      <c r="O351" t="n">
        <v>0</v>
      </c>
      <c r="P351" t="n">
        <v>0</v>
      </c>
      <c r="Q351" t="n">
        <v>0</v>
      </c>
      <c r="R351" s="2" t="inlineStr"/>
    </row>
    <row r="352" ht="15" customHeight="1">
      <c r="A352" t="inlineStr">
        <is>
          <t>A 14936-2025</t>
        </is>
      </c>
      <c r="B352" s="1" t="n">
        <v>45743.55756944444</v>
      </c>
      <c r="C352" s="1" t="n">
        <v>45915</v>
      </c>
      <c r="D352" t="inlineStr">
        <is>
          <t>DALARNAS LÄN</t>
        </is>
      </c>
      <c r="E352" t="inlineStr">
        <is>
          <t>MORA</t>
        </is>
      </c>
      <c r="G352" t="n">
        <v>2.4</v>
      </c>
      <c r="H352" t="n">
        <v>0</v>
      </c>
      <c r="I352" t="n">
        <v>0</v>
      </c>
      <c r="J352" t="n">
        <v>0</v>
      </c>
      <c r="K352" t="n">
        <v>0</v>
      </c>
      <c r="L352" t="n">
        <v>0</v>
      </c>
      <c r="M352" t="n">
        <v>0</v>
      </c>
      <c r="N352" t="n">
        <v>0</v>
      </c>
      <c r="O352" t="n">
        <v>0</v>
      </c>
      <c r="P352" t="n">
        <v>0</v>
      </c>
      <c r="Q352" t="n">
        <v>0</v>
      </c>
      <c r="R352" s="2" t="inlineStr"/>
    </row>
    <row r="353" ht="15" customHeight="1">
      <c r="A353" t="inlineStr">
        <is>
          <t>A 35381-2024</t>
        </is>
      </c>
      <c r="B353" s="1" t="n">
        <v>45531.38372685185</v>
      </c>
      <c r="C353" s="1" t="n">
        <v>45915</v>
      </c>
      <c r="D353" t="inlineStr">
        <is>
          <t>DALARNAS LÄN</t>
        </is>
      </c>
      <c r="E353" t="inlineStr">
        <is>
          <t>MORA</t>
        </is>
      </c>
      <c r="G353" t="n">
        <v>3.7</v>
      </c>
      <c r="H353" t="n">
        <v>0</v>
      </c>
      <c r="I353" t="n">
        <v>0</v>
      </c>
      <c r="J353" t="n">
        <v>0</v>
      </c>
      <c r="K353" t="n">
        <v>0</v>
      </c>
      <c r="L353" t="n">
        <v>0</v>
      </c>
      <c r="M353" t="n">
        <v>0</v>
      </c>
      <c r="N353" t="n">
        <v>0</v>
      </c>
      <c r="O353" t="n">
        <v>0</v>
      </c>
      <c r="P353" t="n">
        <v>0</v>
      </c>
      <c r="Q353" t="n">
        <v>0</v>
      </c>
      <c r="R353" s="2" t="inlineStr"/>
    </row>
    <row r="354" ht="15" customHeight="1">
      <c r="A354" t="inlineStr">
        <is>
          <t>A 28751-2025</t>
        </is>
      </c>
      <c r="B354" s="1" t="n">
        <v>45820.40034722222</v>
      </c>
      <c r="C354" s="1" t="n">
        <v>45915</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15817-2024</t>
        </is>
      </c>
      <c r="B355" s="1" t="n">
        <v>45404.67387731482</v>
      </c>
      <c r="C355" s="1" t="n">
        <v>45915</v>
      </c>
      <c r="D355" t="inlineStr">
        <is>
          <t>DALARNAS LÄN</t>
        </is>
      </c>
      <c r="E355" t="inlineStr">
        <is>
          <t>MORA</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46755-2023</t>
        </is>
      </c>
      <c r="B356" s="1" t="n">
        <v>45198.61314814815</v>
      </c>
      <c r="C356" s="1" t="n">
        <v>45915</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40325-2024</t>
        </is>
      </c>
      <c r="B357" s="1" t="n">
        <v>45554.88538194444</v>
      </c>
      <c r="C357" s="1" t="n">
        <v>45915</v>
      </c>
      <c r="D357" t="inlineStr">
        <is>
          <t>DALARNAS LÄN</t>
        </is>
      </c>
      <c r="E357" t="inlineStr">
        <is>
          <t>MORA</t>
        </is>
      </c>
      <c r="G357" t="n">
        <v>2.8</v>
      </c>
      <c r="H357" t="n">
        <v>0</v>
      </c>
      <c r="I357" t="n">
        <v>0</v>
      </c>
      <c r="J357" t="n">
        <v>0</v>
      </c>
      <c r="K357" t="n">
        <v>0</v>
      </c>
      <c r="L357" t="n">
        <v>0</v>
      </c>
      <c r="M357" t="n">
        <v>0</v>
      </c>
      <c r="N357" t="n">
        <v>0</v>
      </c>
      <c r="O357" t="n">
        <v>0</v>
      </c>
      <c r="P357" t="n">
        <v>0</v>
      </c>
      <c r="Q357" t="n">
        <v>0</v>
      </c>
      <c r="R357" s="2" t="inlineStr"/>
    </row>
    <row r="358" ht="15" customHeight="1">
      <c r="A358" t="inlineStr">
        <is>
          <t>A 14372-2025</t>
        </is>
      </c>
      <c r="B358" s="1" t="n">
        <v>45741.4050462963</v>
      </c>
      <c r="C358" s="1" t="n">
        <v>45915</v>
      </c>
      <c r="D358" t="inlineStr">
        <is>
          <t>DALARNAS LÄN</t>
        </is>
      </c>
      <c r="E358" t="inlineStr">
        <is>
          <t>MORA</t>
        </is>
      </c>
      <c r="G358" t="n">
        <v>5.1</v>
      </c>
      <c r="H358" t="n">
        <v>0</v>
      </c>
      <c r="I358" t="n">
        <v>0</v>
      </c>
      <c r="J358" t="n">
        <v>0</v>
      </c>
      <c r="K358" t="n">
        <v>0</v>
      </c>
      <c r="L358" t="n">
        <v>0</v>
      </c>
      <c r="M358" t="n">
        <v>0</v>
      </c>
      <c r="N358" t="n">
        <v>0</v>
      </c>
      <c r="O358" t="n">
        <v>0</v>
      </c>
      <c r="P358" t="n">
        <v>0</v>
      </c>
      <c r="Q358" t="n">
        <v>0</v>
      </c>
      <c r="R358" s="2" t="inlineStr"/>
    </row>
    <row r="359" ht="15" customHeight="1">
      <c r="A359" t="inlineStr">
        <is>
          <t>A 14378-2025</t>
        </is>
      </c>
      <c r="B359" s="1" t="n">
        <v>45741</v>
      </c>
      <c r="C359" s="1" t="n">
        <v>45915</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28925-2025</t>
        </is>
      </c>
      <c r="B360" s="1" t="n">
        <v>45820.67107638889</v>
      </c>
      <c r="C360" s="1" t="n">
        <v>45915</v>
      </c>
      <c r="D360" t="inlineStr">
        <is>
          <t>DALARNAS LÄN</t>
        </is>
      </c>
      <c r="E360" t="inlineStr">
        <is>
          <t>MORA</t>
        </is>
      </c>
      <c r="G360" t="n">
        <v>3.7</v>
      </c>
      <c r="H360" t="n">
        <v>0</v>
      </c>
      <c r="I360" t="n">
        <v>0</v>
      </c>
      <c r="J360" t="n">
        <v>0</v>
      </c>
      <c r="K360" t="n">
        <v>0</v>
      </c>
      <c r="L360" t="n">
        <v>0</v>
      </c>
      <c r="M360" t="n">
        <v>0</v>
      </c>
      <c r="N360" t="n">
        <v>0</v>
      </c>
      <c r="O360" t="n">
        <v>0</v>
      </c>
      <c r="P360" t="n">
        <v>0</v>
      </c>
      <c r="Q360" t="n">
        <v>0</v>
      </c>
      <c r="R360" s="2" t="inlineStr"/>
    </row>
    <row r="361" ht="15" customHeight="1">
      <c r="A361" t="inlineStr">
        <is>
          <t>A 28927-2025</t>
        </is>
      </c>
      <c r="B361" s="1" t="n">
        <v>45820.67221064815</v>
      </c>
      <c r="C361" s="1" t="n">
        <v>45915</v>
      </c>
      <c r="D361" t="inlineStr">
        <is>
          <t>DALARNAS LÄN</t>
        </is>
      </c>
      <c r="E361" t="inlineStr">
        <is>
          <t>MORA</t>
        </is>
      </c>
      <c r="G361" t="n">
        <v>0.4</v>
      </c>
      <c r="H361" t="n">
        <v>0</v>
      </c>
      <c r="I361" t="n">
        <v>0</v>
      </c>
      <c r="J361" t="n">
        <v>0</v>
      </c>
      <c r="K361" t="n">
        <v>0</v>
      </c>
      <c r="L361" t="n">
        <v>0</v>
      </c>
      <c r="M361" t="n">
        <v>0</v>
      </c>
      <c r="N361" t="n">
        <v>0</v>
      </c>
      <c r="O361" t="n">
        <v>0</v>
      </c>
      <c r="P361" t="n">
        <v>0</v>
      </c>
      <c r="Q361" t="n">
        <v>0</v>
      </c>
      <c r="R361" s="2" t="inlineStr"/>
    </row>
    <row r="362" ht="15" customHeight="1">
      <c r="A362" t="inlineStr">
        <is>
          <t>A 28924-2025</t>
        </is>
      </c>
      <c r="B362" s="1" t="n">
        <v>45820.66846064815</v>
      </c>
      <c r="C362" s="1" t="n">
        <v>45915</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25345-2025</t>
        </is>
      </c>
      <c r="B363" s="1" t="n">
        <v>45799</v>
      </c>
      <c r="C363" s="1" t="n">
        <v>45915</v>
      </c>
      <c r="D363" t="inlineStr">
        <is>
          <t>DALARNAS LÄN</t>
        </is>
      </c>
      <c r="E363" t="inlineStr">
        <is>
          <t>MORA</t>
        </is>
      </c>
      <c r="G363" t="n">
        <v>3.1</v>
      </c>
      <c r="H363" t="n">
        <v>0</v>
      </c>
      <c r="I363" t="n">
        <v>0</v>
      </c>
      <c r="J363" t="n">
        <v>0</v>
      </c>
      <c r="K363" t="n">
        <v>0</v>
      </c>
      <c r="L363" t="n">
        <v>0</v>
      </c>
      <c r="M363" t="n">
        <v>0</v>
      </c>
      <c r="N363" t="n">
        <v>0</v>
      </c>
      <c r="O363" t="n">
        <v>0</v>
      </c>
      <c r="P363" t="n">
        <v>0</v>
      </c>
      <c r="Q363" t="n">
        <v>0</v>
      </c>
      <c r="R363" s="2" t="inlineStr"/>
    </row>
    <row r="364" ht="15" customHeight="1">
      <c r="A364" t="inlineStr">
        <is>
          <t>A 24335-2022</t>
        </is>
      </c>
      <c r="B364" s="1" t="n">
        <v>44725</v>
      </c>
      <c r="C364" s="1" t="n">
        <v>45915</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44177-2023</t>
        </is>
      </c>
      <c r="B365" s="1" t="n">
        <v>45188.51439814815</v>
      </c>
      <c r="C365" s="1" t="n">
        <v>45915</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44201-2023</t>
        </is>
      </c>
      <c r="B366" s="1" t="n">
        <v>45188</v>
      </c>
      <c r="C366" s="1" t="n">
        <v>45915</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29425-2025</t>
        </is>
      </c>
      <c r="B367" s="1" t="n">
        <v>45824.64524305556</v>
      </c>
      <c r="C367" s="1" t="n">
        <v>45915</v>
      </c>
      <c r="D367" t="inlineStr">
        <is>
          <t>DALARNAS LÄN</t>
        </is>
      </c>
      <c r="E367" t="inlineStr">
        <is>
          <t>MORA</t>
        </is>
      </c>
      <c r="G367" t="n">
        <v>4.4</v>
      </c>
      <c r="H367" t="n">
        <v>0</v>
      </c>
      <c r="I367" t="n">
        <v>0</v>
      </c>
      <c r="J367" t="n">
        <v>0</v>
      </c>
      <c r="K367" t="n">
        <v>0</v>
      </c>
      <c r="L367" t="n">
        <v>0</v>
      </c>
      <c r="M367" t="n">
        <v>0</v>
      </c>
      <c r="N367" t="n">
        <v>0</v>
      </c>
      <c r="O367" t="n">
        <v>0</v>
      </c>
      <c r="P367" t="n">
        <v>0</v>
      </c>
      <c r="Q367" t="n">
        <v>0</v>
      </c>
      <c r="R367" s="2" t="inlineStr"/>
    </row>
    <row r="368" ht="15" customHeight="1">
      <c r="A368" t="inlineStr">
        <is>
          <t>A 28976-2025</t>
        </is>
      </c>
      <c r="B368" s="1" t="n">
        <v>45821.34855324074</v>
      </c>
      <c r="C368" s="1" t="n">
        <v>45915</v>
      </c>
      <c r="D368" t="inlineStr">
        <is>
          <t>DALARNAS LÄN</t>
        </is>
      </c>
      <c r="E368" t="inlineStr">
        <is>
          <t>MORA</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55222-2023</t>
        </is>
      </c>
      <c r="B369" s="1" t="n">
        <v>45237.60775462963</v>
      </c>
      <c r="C369" s="1" t="n">
        <v>45915</v>
      </c>
      <c r="D369" t="inlineStr">
        <is>
          <t>DALARNAS LÄN</t>
        </is>
      </c>
      <c r="E369" t="inlineStr">
        <is>
          <t>MORA</t>
        </is>
      </c>
      <c r="F369" t="inlineStr">
        <is>
          <t>Allmännings- och besparingsskogar</t>
        </is>
      </c>
      <c r="G369" t="n">
        <v>19.8</v>
      </c>
      <c r="H369" t="n">
        <v>0</v>
      </c>
      <c r="I369" t="n">
        <v>0</v>
      </c>
      <c r="J369" t="n">
        <v>0</v>
      </c>
      <c r="K369" t="n">
        <v>0</v>
      </c>
      <c r="L369" t="n">
        <v>0</v>
      </c>
      <c r="M369" t="n">
        <v>0</v>
      </c>
      <c r="N369" t="n">
        <v>0</v>
      </c>
      <c r="O369" t="n">
        <v>0</v>
      </c>
      <c r="P369" t="n">
        <v>0</v>
      </c>
      <c r="Q369" t="n">
        <v>0</v>
      </c>
      <c r="R369" s="2" t="inlineStr"/>
    </row>
    <row r="370" ht="15" customHeight="1">
      <c r="A370" t="inlineStr">
        <is>
          <t>A 31177-2021</t>
        </is>
      </c>
      <c r="B370" s="1" t="n">
        <v>44368</v>
      </c>
      <c r="C370" s="1" t="n">
        <v>45915</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51570-2023</t>
        </is>
      </c>
      <c r="B371" s="1" t="n">
        <v>45222</v>
      </c>
      <c r="C371" s="1" t="n">
        <v>45915</v>
      </c>
      <c r="D371" t="inlineStr">
        <is>
          <t>DALARNAS LÄN</t>
        </is>
      </c>
      <c r="E371" t="inlineStr">
        <is>
          <t>MORA</t>
        </is>
      </c>
      <c r="G371" t="n">
        <v>10.1</v>
      </c>
      <c r="H371" t="n">
        <v>0</v>
      </c>
      <c r="I371" t="n">
        <v>0</v>
      </c>
      <c r="J371" t="n">
        <v>0</v>
      </c>
      <c r="K371" t="n">
        <v>0</v>
      </c>
      <c r="L371" t="n">
        <v>0</v>
      </c>
      <c r="M371" t="n">
        <v>0</v>
      </c>
      <c r="N371" t="n">
        <v>0</v>
      </c>
      <c r="O371" t="n">
        <v>0</v>
      </c>
      <c r="P371" t="n">
        <v>0</v>
      </c>
      <c r="Q371" t="n">
        <v>0</v>
      </c>
      <c r="R371" s="2" t="inlineStr"/>
    </row>
    <row r="372" ht="15" customHeight="1">
      <c r="A372" t="inlineStr">
        <is>
          <t>A 29440-2025</t>
        </is>
      </c>
      <c r="B372" s="1" t="n">
        <v>45824.65862268519</v>
      </c>
      <c r="C372" s="1" t="n">
        <v>45915</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29068-2025</t>
        </is>
      </c>
      <c r="B373" s="1" t="n">
        <v>45821.50900462963</v>
      </c>
      <c r="C373" s="1" t="n">
        <v>45915</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15440-2024</t>
        </is>
      </c>
      <c r="B374" s="1" t="n">
        <v>45401.4194212963</v>
      </c>
      <c r="C374" s="1" t="n">
        <v>45915</v>
      </c>
      <c r="D374" t="inlineStr">
        <is>
          <t>DALARNAS LÄN</t>
        </is>
      </c>
      <c r="E374" t="inlineStr">
        <is>
          <t>MORA</t>
        </is>
      </c>
      <c r="G374" t="n">
        <v>1.1</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44781.5350925926</v>
      </c>
      <c r="C375" s="1" t="n">
        <v>45915</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29870-2025</t>
        </is>
      </c>
      <c r="B376" s="1" t="n">
        <v>45826.35716435185</v>
      </c>
      <c r="C376" s="1" t="n">
        <v>45915</v>
      </c>
      <c r="D376" t="inlineStr">
        <is>
          <t>DALARNAS LÄN</t>
        </is>
      </c>
      <c r="E376" t="inlineStr">
        <is>
          <t>MORA</t>
        </is>
      </c>
      <c r="G376" t="n">
        <v>1.2</v>
      </c>
      <c r="H376" t="n">
        <v>0</v>
      </c>
      <c r="I376" t="n">
        <v>0</v>
      </c>
      <c r="J376" t="n">
        <v>0</v>
      </c>
      <c r="K376" t="n">
        <v>0</v>
      </c>
      <c r="L376" t="n">
        <v>0</v>
      </c>
      <c r="M376" t="n">
        <v>0</v>
      </c>
      <c r="N376" t="n">
        <v>0</v>
      </c>
      <c r="O376" t="n">
        <v>0</v>
      </c>
      <c r="P376" t="n">
        <v>0</v>
      </c>
      <c r="Q376" t="n">
        <v>0</v>
      </c>
      <c r="R376" s="2" t="inlineStr"/>
    </row>
    <row r="377" ht="15" customHeight="1">
      <c r="A377" t="inlineStr">
        <is>
          <t>A 29873-2025</t>
        </is>
      </c>
      <c r="B377" s="1" t="n">
        <v>45826</v>
      </c>
      <c r="C377" s="1" t="n">
        <v>45915</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11857-2023</t>
        </is>
      </c>
      <c r="B378" s="1" t="n">
        <v>44995</v>
      </c>
      <c r="C378" s="1" t="n">
        <v>45915</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15818-2024</t>
        </is>
      </c>
      <c r="B379" s="1" t="n">
        <v>45404.67442129629</v>
      </c>
      <c r="C379" s="1" t="n">
        <v>45915</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29528-2025</t>
        </is>
      </c>
      <c r="B380" s="1" t="n">
        <v>45825.34322916667</v>
      </c>
      <c r="C380" s="1" t="n">
        <v>45915</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45674-2024</t>
        </is>
      </c>
      <c r="B381" s="1" t="n">
        <v>45573</v>
      </c>
      <c r="C381" s="1" t="n">
        <v>45915</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48825-2023</t>
        </is>
      </c>
      <c r="B382" s="1" t="n">
        <v>45203</v>
      </c>
      <c r="C382" s="1" t="n">
        <v>45915</v>
      </c>
      <c r="D382" t="inlineStr">
        <is>
          <t>DALARNAS LÄN</t>
        </is>
      </c>
      <c r="E382" t="inlineStr">
        <is>
          <t>MORA</t>
        </is>
      </c>
      <c r="G382" t="n">
        <v>7.9</v>
      </c>
      <c r="H382" t="n">
        <v>0</v>
      </c>
      <c r="I382" t="n">
        <v>0</v>
      </c>
      <c r="J382" t="n">
        <v>0</v>
      </c>
      <c r="K382" t="n">
        <v>0</v>
      </c>
      <c r="L382" t="n">
        <v>0</v>
      </c>
      <c r="M382" t="n">
        <v>0</v>
      </c>
      <c r="N382" t="n">
        <v>0</v>
      </c>
      <c r="O382" t="n">
        <v>0</v>
      </c>
      <c r="P382" t="n">
        <v>0</v>
      </c>
      <c r="Q382" t="n">
        <v>0</v>
      </c>
      <c r="R382" s="2" t="inlineStr"/>
    </row>
    <row r="383" ht="15" customHeight="1">
      <c r="A383" t="inlineStr">
        <is>
          <t>A 30087-2025</t>
        </is>
      </c>
      <c r="B383" s="1" t="n">
        <v>45826.6575</v>
      </c>
      <c r="C383" s="1" t="n">
        <v>45915</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45390-2024</t>
        </is>
      </c>
      <c r="B384" s="1" t="n">
        <v>45576.54820601852</v>
      </c>
      <c r="C384" s="1" t="n">
        <v>45915</v>
      </c>
      <c r="D384" t="inlineStr">
        <is>
          <t>DALARNAS LÄN</t>
        </is>
      </c>
      <c r="E384" t="inlineStr">
        <is>
          <t>MORA</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19756-2022</t>
        </is>
      </c>
      <c r="B385" s="1" t="n">
        <v>44694.62913194444</v>
      </c>
      <c r="C385" s="1" t="n">
        <v>45915</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18806-2025</t>
        </is>
      </c>
      <c r="B386" s="1" t="n">
        <v>45764.35269675926</v>
      </c>
      <c r="C386" s="1" t="n">
        <v>45915</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17163-2025</t>
        </is>
      </c>
      <c r="B387" s="1" t="n">
        <v>45756.35998842592</v>
      </c>
      <c r="C387" s="1" t="n">
        <v>45915</v>
      </c>
      <c r="D387" t="inlineStr">
        <is>
          <t>DALARNAS LÄN</t>
        </is>
      </c>
      <c r="E387" t="inlineStr">
        <is>
          <t>MORA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5216-2025</t>
        </is>
      </c>
      <c r="B388" s="1" t="n">
        <v>45691.69671296296</v>
      </c>
      <c r="C388" s="1" t="n">
        <v>45915</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53344-2023</t>
        </is>
      </c>
      <c r="B389" s="1" t="n">
        <v>45229</v>
      </c>
      <c r="C389" s="1" t="n">
        <v>45915</v>
      </c>
      <c r="D389" t="inlineStr">
        <is>
          <t>DALARNAS LÄN</t>
        </is>
      </c>
      <c r="E389" t="inlineStr">
        <is>
          <t>MORA</t>
        </is>
      </c>
      <c r="G389" t="n">
        <v>2.4</v>
      </c>
      <c r="H389" t="n">
        <v>0</v>
      </c>
      <c r="I389" t="n">
        <v>0</v>
      </c>
      <c r="J389" t="n">
        <v>0</v>
      </c>
      <c r="K389" t="n">
        <v>0</v>
      </c>
      <c r="L389" t="n">
        <v>0</v>
      </c>
      <c r="M389" t="n">
        <v>0</v>
      </c>
      <c r="N389" t="n">
        <v>0</v>
      </c>
      <c r="O389" t="n">
        <v>0</v>
      </c>
      <c r="P389" t="n">
        <v>0</v>
      </c>
      <c r="Q389" t="n">
        <v>0</v>
      </c>
      <c r="R389" s="2" t="inlineStr"/>
    </row>
    <row r="390" ht="15" customHeight="1">
      <c r="A390" t="inlineStr">
        <is>
          <t>A 10777-2025</t>
        </is>
      </c>
      <c r="B390" s="1" t="n">
        <v>45722.47743055555</v>
      </c>
      <c r="C390" s="1" t="n">
        <v>45915</v>
      </c>
      <c r="D390" t="inlineStr">
        <is>
          <t>DALARNAS LÄN</t>
        </is>
      </c>
      <c r="E390" t="inlineStr">
        <is>
          <t>MORA</t>
        </is>
      </c>
      <c r="G390" t="n">
        <v>9.9</v>
      </c>
      <c r="H390" t="n">
        <v>0</v>
      </c>
      <c r="I390" t="n">
        <v>0</v>
      </c>
      <c r="J390" t="n">
        <v>0</v>
      </c>
      <c r="K390" t="n">
        <v>0</v>
      </c>
      <c r="L390" t="n">
        <v>0</v>
      </c>
      <c r="M390" t="n">
        <v>0</v>
      </c>
      <c r="N390" t="n">
        <v>0</v>
      </c>
      <c r="O390" t="n">
        <v>0</v>
      </c>
      <c r="P390" t="n">
        <v>0</v>
      </c>
      <c r="Q390" t="n">
        <v>0</v>
      </c>
      <c r="R390" s="2" t="inlineStr"/>
    </row>
    <row r="391" ht="15" customHeight="1">
      <c r="A391" t="inlineStr">
        <is>
          <t>A 30166-2025</t>
        </is>
      </c>
      <c r="B391" s="1" t="n">
        <v>45827.33116898148</v>
      </c>
      <c r="C391" s="1" t="n">
        <v>45915</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54253-2023</t>
        </is>
      </c>
      <c r="B392" s="1" t="n">
        <v>45232.63217592592</v>
      </c>
      <c r="C392" s="1" t="n">
        <v>45915</v>
      </c>
      <c r="D392" t="inlineStr">
        <is>
          <t>DALARNAS LÄN</t>
        </is>
      </c>
      <c r="E392" t="inlineStr">
        <is>
          <t>MORA</t>
        </is>
      </c>
      <c r="G392" t="n">
        <v>4.5</v>
      </c>
      <c r="H392" t="n">
        <v>0</v>
      </c>
      <c r="I392" t="n">
        <v>0</v>
      </c>
      <c r="J392" t="n">
        <v>0</v>
      </c>
      <c r="K392" t="n">
        <v>0</v>
      </c>
      <c r="L392" t="n">
        <v>0</v>
      </c>
      <c r="M392" t="n">
        <v>0</v>
      </c>
      <c r="N392" t="n">
        <v>0</v>
      </c>
      <c r="O392" t="n">
        <v>0</v>
      </c>
      <c r="P392" t="n">
        <v>0</v>
      </c>
      <c r="Q392" t="n">
        <v>0</v>
      </c>
      <c r="R392" s="2" t="inlineStr"/>
    </row>
    <row r="393" ht="15" customHeight="1">
      <c r="A393" t="inlineStr">
        <is>
          <t>A 59448-2022</t>
        </is>
      </c>
      <c r="B393" s="1" t="n">
        <v>44907</v>
      </c>
      <c r="C393" s="1" t="n">
        <v>45915</v>
      </c>
      <c r="D393" t="inlineStr">
        <is>
          <t>DALARNAS LÄN</t>
        </is>
      </c>
      <c r="E393" t="inlineStr">
        <is>
          <t>MORA</t>
        </is>
      </c>
      <c r="G393" t="n">
        <v>35.7</v>
      </c>
      <c r="H393" t="n">
        <v>0</v>
      </c>
      <c r="I393" t="n">
        <v>0</v>
      </c>
      <c r="J393" t="n">
        <v>0</v>
      </c>
      <c r="K393" t="n">
        <v>0</v>
      </c>
      <c r="L393" t="n">
        <v>0</v>
      </c>
      <c r="M393" t="n">
        <v>0</v>
      </c>
      <c r="N393" t="n">
        <v>0</v>
      </c>
      <c r="O393" t="n">
        <v>0</v>
      </c>
      <c r="P393" t="n">
        <v>0</v>
      </c>
      <c r="Q393" t="n">
        <v>0</v>
      </c>
      <c r="R393" s="2" t="inlineStr"/>
    </row>
    <row r="394" ht="15" customHeight="1">
      <c r="A394" t="inlineStr">
        <is>
          <t>A 36760-2025</t>
        </is>
      </c>
      <c r="B394" s="1" t="n">
        <v>45873.57319444444</v>
      </c>
      <c r="C394" s="1" t="n">
        <v>45915</v>
      </c>
      <c r="D394" t="inlineStr">
        <is>
          <t>DALARNAS LÄN</t>
        </is>
      </c>
      <c r="E394" t="inlineStr">
        <is>
          <t>MORA</t>
        </is>
      </c>
      <c r="G394" t="n">
        <v>4.6</v>
      </c>
      <c r="H394" t="n">
        <v>0</v>
      </c>
      <c r="I394" t="n">
        <v>0</v>
      </c>
      <c r="J394" t="n">
        <v>0</v>
      </c>
      <c r="K394" t="n">
        <v>0</v>
      </c>
      <c r="L394" t="n">
        <v>0</v>
      </c>
      <c r="M394" t="n">
        <v>0</v>
      </c>
      <c r="N394" t="n">
        <v>0</v>
      </c>
      <c r="O394" t="n">
        <v>0</v>
      </c>
      <c r="P394" t="n">
        <v>0</v>
      </c>
      <c r="Q394" t="n">
        <v>0</v>
      </c>
      <c r="R394" s="2" t="inlineStr"/>
    </row>
    <row r="395" ht="15" customHeight="1">
      <c r="A395" t="inlineStr">
        <is>
          <t>A 57797-2022</t>
        </is>
      </c>
      <c r="B395" s="1" t="n">
        <v>44897</v>
      </c>
      <c r="C395" s="1" t="n">
        <v>45915</v>
      </c>
      <c r="D395" t="inlineStr">
        <is>
          <t>DALARNAS LÄN</t>
        </is>
      </c>
      <c r="E395" t="inlineStr">
        <is>
          <t>MORA</t>
        </is>
      </c>
      <c r="G395" t="n">
        <v>3.1</v>
      </c>
      <c r="H395" t="n">
        <v>0</v>
      </c>
      <c r="I395" t="n">
        <v>0</v>
      </c>
      <c r="J395" t="n">
        <v>0</v>
      </c>
      <c r="K395" t="n">
        <v>0</v>
      </c>
      <c r="L395" t="n">
        <v>0</v>
      </c>
      <c r="M395" t="n">
        <v>0</v>
      </c>
      <c r="N395" t="n">
        <v>0</v>
      </c>
      <c r="O395" t="n">
        <v>0</v>
      </c>
      <c r="P395" t="n">
        <v>0</v>
      </c>
      <c r="Q395" t="n">
        <v>0</v>
      </c>
      <c r="R395" s="2" t="inlineStr"/>
    </row>
    <row r="396" ht="15" customHeight="1">
      <c r="A396" t="inlineStr">
        <is>
          <t>A 40286-2024</t>
        </is>
      </c>
      <c r="B396" s="1" t="n">
        <v>45554.6687037037</v>
      </c>
      <c r="C396" s="1" t="n">
        <v>45915</v>
      </c>
      <c r="D396" t="inlineStr">
        <is>
          <t>DALARNAS LÄN</t>
        </is>
      </c>
      <c r="E396" t="inlineStr">
        <is>
          <t>MORA</t>
        </is>
      </c>
      <c r="G396" t="n">
        <v>0.4</v>
      </c>
      <c r="H396" t="n">
        <v>0</v>
      </c>
      <c r="I396" t="n">
        <v>0</v>
      </c>
      <c r="J396" t="n">
        <v>0</v>
      </c>
      <c r="K396" t="n">
        <v>0</v>
      </c>
      <c r="L396" t="n">
        <v>0</v>
      </c>
      <c r="M396" t="n">
        <v>0</v>
      </c>
      <c r="N396" t="n">
        <v>0</v>
      </c>
      <c r="O396" t="n">
        <v>0</v>
      </c>
      <c r="P396" t="n">
        <v>0</v>
      </c>
      <c r="Q396" t="n">
        <v>0</v>
      </c>
      <c r="R396" s="2" t="inlineStr"/>
    </row>
    <row r="397" ht="15" customHeight="1">
      <c r="A397" t="inlineStr">
        <is>
          <t>A 48824-2023</t>
        </is>
      </c>
      <c r="B397" s="1" t="n">
        <v>45203</v>
      </c>
      <c r="C397" s="1" t="n">
        <v>45915</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30507-2025</t>
        </is>
      </c>
      <c r="B398" s="1" t="n">
        <v>45831.24760416667</v>
      </c>
      <c r="C398" s="1" t="n">
        <v>45915</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45355-2024</t>
        </is>
      </c>
      <c r="B399" s="1" t="n">
        <v>45576</v>
      </c>
      <c r="C399" s="1" t="n">
        <v>45915</v>
      </c>
      <c r="D399" t="inlineStr">
        <is>
          <t>DALARNAS LÄN</t>
        </is>
      </c>
      <c r="E399" t="inlineStr">
        <is>
          <t>MORA</t>
        </is>
      </c>
      <c r="G399" t="n">
        <v>1.4</v>
      </c>
      <c r="H399" t="n">
        <v>0</v>
      </c>
      <c r="I399" t="n">
        <v>0</v>
      </c>
      <c r="J399" t="n">
        <v>0</v>
      </c>
      <c r="K399" t="n">
        <v>0</v>
      </c>
      <c r="L399" t="n">
        <v>0</v>
      </c>
      <c r="M399" t="n">
        <v>0</v>
      </c>
      <c r="N399" t="n">
        <v>0</v>
      </c>
      <c r="O399" t="n">
        <v>0</v>
      </c>
      <c r="P399" t="n">
        <v>0</v>
      </c>
      <c r="Q399" t="n">
        <v>0</v>
      </c>
      <c r="R399" s="2" t="inlineStr"/>
    </row>
    <row r="400" ht="15" customHeight="1">
      <c r="A400" t="inlineStr">
        <is>
          <t>A 20504-2023</t>
        </is>
      </c>
      <c r="B400" s="1" t="n">
        <v>45057</v>
      </c>
      <c r="C400" s="1" t="n">
        <v>45915</v>
      </c>
      <c r="D400" t="inlineStr">
        <is>
          <t>DALARNAS LÄN</t>
        </is>
      </c>
      <c r="E400" t="inlineStr">
        <is>
          <t>MORA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44595-2024</t>
        </is>
      </c>
      <c r="B401" s="1" t="n">
        <v>45574.51053240741</v>
      </c>
      <c r="C401" s="1" t="n">
        <v>45915</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44817-2023</t>
        </is>
      </c>
      <c r="B402" s="1" t="n">
        <v>45190.51887731482</v>
      </c>
      <c r="C402" s="1" t="n">
        <v>45915</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43566-2023</t>
        </is>
      </c>
      <c r="B403" s="1" t="n">
        <v>45184.58199074074</v>
      </c>
      <c r="C403" s="1" t="n">
        <v>45915</v>
      </c>
      <c r="D403" t="inlineStr">
        <is>
          <t>DALARNAS LÄN</t>
        </is>
      </c>
      <c r="E403" t="inlineStr">
        <is>
          <t>MORA</t>
        </is>
      </c>
      <c r="F403" t="inlineStr">
        <is>
          <t>Bergvik skog väst AB</t>
        </is>
      </c>
      <c r="G403" t="n">
        <v>4.3</v>
      </c>
      <c r="H403" t="n">
        <v>0</v>
      </c>
      <c r="I403" t="n">
        <v>0</v>
      </c>
      <c r="J403" t="n">
        <v>0</v>
      </c>
      <c r="K403" t="n">
        <v>0</v>
      </c>
      <c r="L403" t="n">
        <v>0</v>
      </c>
      <c r="M403" t="n">
        <v>0</v>
      </c>
      <c r="N403" t="n">
        <v>0</v>
      </c>
      <c r="O403" t="n">
        <v>0</v>
      </c>
      <c r="P403" t="n">
        <v>0</v>
      </c>
      <c r="Q403" t="n">
        <v>0</v>
      </c>
      <c r="R403" s="2" t="inlineStr"/>
    </row>
    <row r="404" ht="15" customHeight="1">
      <c r="A404" t="inlineStr">
        <is>
          <t>A 30858-2025</t>
        </is>
      </c>
      <c r="B404" s="1" t="n">
        <v>45831.92416666666</v>
      </c>
      <c r="C404" s="1" t="n">
        <v>45915</v>
      </c>
      <c r="D404" t="inlineStr">
        <is>
          <t>DALARNAS LÄN</t>
        </is>
      </c>
      <c r="E404" t="inlineStr">
        <is>
          <t>MORA</t>
        </is>
      </c>
      <c r="G404" t="n">
        <v>2.9</v>
      </c>
      <c r="H404" t="n">
        <v>0</v>
      </c>
      <c r="I404" t="n">
        <v>0</v>
      </c>
      <c r="J404" t="n">
        <v>0</v>
      </c>
      <c r="K404" t="n">
        <v>0</v>
      </c>
      <c r="L404" t="n">
        <v>0</v>
      </c>
      <c r="M404" t="n">
        <v>0</v>
      </c>
      <c r="N404" t="n">
        <v>0</v>
      </c>
      <c r="O404" t="n">
        <v>0</v>
      </c>
      <c r="P404" t="n">
        <v>0</v>
      </c>
      <c r="Q404" t="n">
        <v>0</v>
      </c>
      <c r="R404" s="2" t="inlineStr"/>
    </row>
    <row r="405" ht="15" customHeight="1">
      <c r="A405" t="inlineStr">
        <is>
          <t>A 30859-2025</t>
        </is>
      </c>
      <c r="B405" s="1" t="n">
        <v>45831.93105324074</v>
      </c>
      <c r="C405" s="1" t="n">
        <v>45915</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30989-2025</t>
        </is>
      </c>
      <c r="B406" s="1" t="n">
        <v>45832.48185185185</v>
      </c>
      <c r="C406" s="1" t="n">
        <v>45915</v>
      </c>
      <c r="D406" t="inlineStr">
        <is>
          <t>DALARNAS LÄN</t>
        </is>
      </c>
      <c r="E406" t="inlineStr">
        <is>
          <t>MORA</t>
        </is>
      </c>
      <c r="F406" t="inlineStr">
        <is>
          <t>Bergvik skog öst AB</t>
        </is>
      </c>
      <c r="G406" t="n">
        <v>4.1</v>
      </c>
      <c r="H406" t="n">
        <v>0</v>
      </c>
      <c r="I406" t="n">
        <v>0</v>
      </c>
      <c r="J406" t="n">
        <v>0</v>
      </c>
      <c r="K406" t="n">
        <v>0</v>
      </c>
      <c r="L406" t="n">
        <v>0</v>
      </c>
      <c r="M406" t="n">
        <v>0</v>
      </c>
      <c r="N406" t="n">
        <v>0</v>
      </c>
      <c r="O406" t="n">
        <v>0</v>
      </c>
      <c r="P406" t="n">
        <v>0</v>
      </c>
      <c r="Q406" t="n">
        <v>0</v>
      </c>
      <c r="R406" s="2" t="inlineStr"/>
    </row>
    <row r="407" ht="15" customHeight="1">
      <c r="A407" t="inlineStr">
        <is>
          <t>A 36846-2025</t>
        </is>
      </c>
      <c r="B407" s="1" t="n">
        <v>45874.38655092593</v>
      </c>
      <c r="C407" s="1" t="n">
        <v>45915</v>
      </c>
      <c r="D407" t="inlineStr">
        <is>
          <t>DALARNAS LÄN</t>
        </is>
      </c>
      <c r="E407" t="inlineStr">
        <is>
          <t>MORA</t>
        </is>
      </c>
      <c r="G407" t="n">
        <v>10.7</v>
      </c>
      <c r="H407" t="n">
        <v>0</v>
      </c>
      <c r="I407" t="n">
        <v>0</v>
      </c>
      <c r="J407" t="n">
        <v>0</v>
      </c>
      <c r="K407" t="n">
        <v>0</v>
      </c>
      <c r="L407" t="n">
        <v>0</v>
      </c>
      <c r="M407" t="n">
        <v>0</v>
      </c>
      <c r="N407" t="n">
        <v>0</v>
      </c>
      <c r="O407" t="n">
        <v>0</v>
      </c>
      <c r="P407" t="n">
        <v>0</v>
      </c>
      <c r="Q407" t="n">
        <v>0</v>
      </c>
      <c r="R407" s="2" t="inlineStr"/>
    </row>
    <row r="408" ht="15" customHeight="1">
      <c r="A408" t="inlineStr">
        <is>
          <t>A 17865-2025</t>
        </is>
      </c>
      <c r="B408" s="1" t="n">
        <v>45758.62951388889</v>
      </c>
      <c r="C408" s="1" t="n">
        <v>45915</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30509-2025</t>
        </is>
      </c>
      <c r="B409" s="1" t="n">
        <v>45831.25519675926</v>
      </c>
      <c r="C409" s="1" t="n">
        <v>45915</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17167-2025</t>
        </is>
      </c>
      <c r="B410" s="1" t="n">
        <v>45756.36844907407</v>
      </c>
      <c r="C410" s="1" t="n">
        <v>45915</v>
      </c>
      <c r="D410" t="inlineStr">
        <is>
          <t>DALARNAS LÄN</t>
        </is>
      </c>
      <c r="E410" t="inlineStr">
        <is>
          <t>MORA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17176-2025</t>
        </is>
      </c>
      <c r="B411" s="1" t="n">
        <v>45756.37520833333</v>
      </c>
      <c r="C411" s="1" t="n">
        <v>45915</v>
      </c>
      <c r="D411" t="inlineStr">
        <is>
          <t>DALARNAS LÄN</t>
        </is>
      </c>
      <c r="E411" t="inlineStr">
        <is>
          <t>MORA</t>
        </is>
      </c>
      <c r="F411" t="inlineStr">
        <is>
          <t>Bergvik skog öst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31849-2025</t>
        </is>
      </c>
      <c r="B412" s="1" t="n">
        <v>45834.60525462963</v>
      </c>
      <c r="C412" s="1" t="n">
        <v>45915</v>
      </c>
      <c r="D412" t="inlineStr">
        <is>
          <t>DALARNAS LÄN</t>
        </is>
      </c>
      <c r="E412" t="inlineStr">
        <is>
          <t>MORA</t>
        </is>
      </c>
      <c r="G412" t="n">
        <v>3.9</v>
      </c>
      <c r="H412" t="n">
        <v>0</v>
      </c>
      <c r="I412" t="n">
        <v>0</v>
      </c>
      <c r="J412" t="n">
        <v>0</v>
      </c>
      <c r="K412" t="n">
        <v>0</v>
      </c>
      <c r="L412" t="n">
        <v>0</v>
      </c>
      <c r="M412" t="n">
        <v>0</v>
      </c>
      <c r="N412" t="n">
        <v>0</v>
      </c>
      <c r="O412" t="n">
        <v>0</v>
      </c>
      <c r="P412" t="n">
        <v>0</v>
      </c>
      <c r="Q412" t="n">
        <v>0</v>
      </c>
      <c r="R412" s="2" t="inlineStr"/>
    </row>
    <row r="413" ht="15" customHeight="1">
      <c r="A413" t="inlineStr">
        <is>
          <t>A 57999-2023</t>
        </is>
      </c>
      <c r="B413" s="1" t="n">
        <v>45247</v>
      </c>
      <c r="C413" s="1" t="n">
        <v>45915</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45915</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8153-2021</t>
        </is>
      </c>
      <c r="B415" s="1" t="n">
        <v>44244</v>
      </c>
      <c r="C415" s="1" t="n">
        <v>45915</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57319-2023</t>
        </is>
      </c>
      <c r="B416" s="1" t="n">
        <v>45245.64877314815</v>
      </c>
      <c r="C416" s="1" t="n">
        <v>45915</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62853-2023</t>
        </is>
      </c>
      <c r="B417" s="1" t="n">
        <v>45272</v>
      </c>
      <c r="C417" s="1" t="n">
        <v>45915</v>
      </c>
      <c r="D417" t="inlineStr">
        <is>
          <t>DALARNAS LÄN</t>
        </is>
      </c>
      <c r="E417" t="inlineStr">
        <is>
          <t>MORA</t>
        </is>
      </c>
      <c r="G417" t="n">
        <v>13.6</v>
      </c>
      <c r="H417" t="n">
        <v>0</v>
      </c>
      <c r="I417" t="n">
        <v>0</v>
      </c>
      <c r="J417" t="n">
        <v>0</v>
      </c>
      <c r="K417" t="n">
        <v>0</v>
      </c>
      <c r="L417" t="n">
        <v>0</v>
      </c>
      <c r="M417" t="n">
        <v>0</v>
      </c>
      <c r="N417" t="n">
        <v>0</v>
      </c>
      <c r="O417" t="n">
        <v>0</v>
      </c>
      <c r="P417" t="n">
        <v>0</v>
      </c>
      <c r="Q417" t="n">
        <v>0</v>
      </c>
      <c r="R417" s="2" t="inlineStr"/>
    </row>
    <row r="418" ht="15" customHeight="1">
      <c r="A418" t="inlineStr">
        <is>
          <t>A 53743-2024</t>
        </is>
      </c>
      <c r="B418" s="1" t="n">
        <v>45615.47137731482</v>
      </c>
      <c r="C418" s="1" t="n">
        <v>45915</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48170-2024</t>
        </is>
      </c>
      <c r="B419" s="1" t="n">
        <v>45589.76975694444</v>
      </c>
      <c r="C419" s="1" t="n">
        <v>45915</v>
      </c>
      <c r="D419" t="inlineStr">
        <is>
          <t>DALARNAS LÄN</t>
        </is>
      </c>
      <c r="E419" t="inlineStr">
        <is>
          <t>MORA</t>
        </is>
      </c>
      <c r="G419" t="n">
        <v>2.4</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45915</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29754-2022</t>
        </is>
      </c>
      <c r="B421" s="1" t="n">
        <v>44755.59188657408</v>
      </c>
      <c r="C421" s="1" t="n">
        <v>45915</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31846-2025</t>
        </is>
      </c>
      <c r="B422" s="1" t="n">
        <v>45834.60209490741</v>
      </c>
      <c r="C422" s="1" t="n">
        <v>45915</v>
      </c>
      <c r="D422" t="inlineStr">
        <is>
          <t>DALARNAS LÄN</t>
        </is>
      </c>
      <c r="E422" t="inlineStr">
        <is>
          <t>MORA</t>
        </is>
      </c>
      <c r="G422" t="n">
        <v>3.6</v>
      </c>
      <c r="H422" t="n">
        <v>0</v>
      </c>
      <c r="I422" t="n">
        <v>0</v>
      </c>
      <c r="J422" t="n">
        <v>0</v>
      </c>
      <c r="K422" t="n">
        <v>0</v>
      </c>
      <c r="L422" t="n">
        <v>0</v>
      </c>
      <c r="M422" t="n">
        <v>0</v>
      </c>
      <c r="N422" t="n">
        <v>0</v>
      </c>
      <c r="O422" t="n">
        <v>0</v>
      </c>
      <c r="P422" t="n">
        <v>0</v>
      </c>
      <c r="Q422" t="n">
        <v>0</v>
      </c>
      <c r="R422" s="2" t="inlineStr"/>
    </row>
    <row r="423" ht="15" customHeight="1">
      <c r="A423" t="inlineStr">
        <is>
          <t>A 37268-2025</t>
        </is>
      </c>
      <c r="B423" s="1" t="n">
        <v>45876.46681712963</v>
      </c>
      <c r="C423" s="1" t="n">
        <v>45915</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31842-2025</t>
        </is>
      </c>
      <c r="B424" s="1" t="n">
        <v>45834.59822916667</v>
      </c>
      <c r="C424" s="1" t="n">
        <v>45915</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36579-2022</t>
        </is>
      </c>
      <c r="B425" s="1" t="n">
        <v>44804.61636574074</v>
      </c>
      <c r="C425" s="1" t="n">
        <v>45915</v>
      </c>
      <c r="D425" t="inlineStr">
        <is>
          <t>DALARNAS LÄN</t>
        </is>
      </c>
      <c r="E425" t="inlineStr">
        <is>
          <t>MORA</t>
        </is>
      </c>
      <c r="G425" t="n">
        <v>2.3</v>
      </c>
      <c r="H425" t="n">
        <v>0</v>
      </c>
      <c r="I425" t="n">
        <v>0</v>
      </c>
      <c r="J425" t="n">
        <v>0</v>
      </c>
      <c r="K425" t="n">
        <v>0</v>
      </c>
      <c r="L425" t="n">
        <v>0</v>
      </c>
      <c r="M425" t="n">
        <v>0</v>
      </c>
      <c r="N425" t="n">
        <v>0</v>
      </c>
      <c r="O425" t="n">
        <v>0</v>
      </c>
      <c r="P425" t="n">
        <v>0</v>
      </c>
      <c r="Q425" t="n">
        <v>0</v>
      </c>
      <c r="R425" s="2" t="inlineStr"/>
    </row>
    <row r="426" ht="15" customHeight="1">
      <c r="A426" t="inlineStr">
        <is>
          <t>A 3531-2024</t>
        </is>
      </c>
      <c r="B426" s="1" t="n">
        <v>45320</v>
      </c>
      <c r="C426" s="1" t="n">
        <v>45915</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c r="U426">
        <f>HYPERLINK("https://klasma.github.io/Logging_2062/knärot/A 3531-2024 karta knärot.png", "A 3531-2024")</f>
        <v/>
      </c>
      <c r="V426">
        <f>HYPERLINK("https://klasma.github.io/Logging_2062/klagomål/A 3531-2024 FSC-klagomål.docx", "A 3531-2024")</f>
        <v/>
      </c>
      <c r="W426">
        <f>HYPERLINK("https://klasma.github.io/Logging_2062/klagomålsmail/A 3531-2024 FSC-klagomål mail.docx", "A 3531-2024")</f>
        <v/>
      </c>
      <c r="X426">
        <f>HYPERLINK("https://klasma.github.io/Logging_2062/tillsyn/A 3531-2024 tillsynsbegäran.docx", "A 3531-2024")</f>
        <v/>
      </c>
      <c r="Y426">
        <f>HYPERLINK("https://klasma.github.io/Logging_2062/tillsynsmail/A 3531-2024 tillsynsbegäran mail.docx", "A 3531-2024")</f>
        <v/>
      </c>
    </row>
    <row r="427" ht="15" customHeight="1">
      <c r="A427" t="inlineStr">
        <is>
          <t>A 20594-2025</t>
        </is>
      </c>
      <c r="B427" s="1" t="n">
        <v>45775.74009259259</v>
      </c>
      <c r="C427" s="1" t="n">
        <v>45915</v>
      </c>
      <c r="D427" t="inlineStr">
        <is>
          <t>DALARNAS LÄN</t>
        </is>
      </c>
      <c r="E427" t="inlineStr">
        <is>
          <t>MORA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64088-2023</t>
        </is>
      </c>
      <c r="B428" s="1" t="n">
        <v>45279.43570601852</v>
      </c>
      <c r="C428" s="1" t="n">
        <v>45915</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60718-2023</t>
        </is>
      </c>
      <c r="B429" s="1" t="n">
        <v>45260.5284375</v>
      </c>
      <c r="C429" s="1" t="n">
        <v>45915</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14641-2023</t>
        </is>
      </c>
      <c r="B430" s="1" t="n">
        <v>45013</v>
      </c>
      <c r="C430" s="1" t="n">
        <v>45915</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5309-2023</t>
        </is>
      </c>
      <c r="B431" s="1" t="n">
        <v>44956</v>
      </c>
      <c r="C431" s="1" t="n">
        <v>45915</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12151-2021</t>
        </is>
      </c>
      <c r="B432" s="1" t="n">
        <v>44266</v>
      </c>
      <c r="C432" s="1" t="n">
        <v>45915</v>
      </c>
      <c r="D432" t="inlineStr">
        <is>
          <t>DALARNAS LÄN</t>
        </is>
      </c>
      <c r="E432" t="inlineStr">
        <is>
          <t>MORA</t>
        </is>
      </c>
      <c r="G432" t="n">
        <v>0.5</v>
      </c>
      <c r="H432" t="n">
        <v>0</v>
      </c>
      <c r="I432" t="n">
        <v>0</v>
      </c>
      <c r="J432" t="n">
        <v>0</v>
      </c>
      <c r="K432" t="n">
        <v>0</v>
      </c>
      <c r="L432" t="n">
        <v>0</v>
      </c>
      <c r="M432" t="n">
        <v>0</v>
      </c>
      <c r="N432" t="n">
        <v>0</v>
      </c>
      <c r="O432" t="n">
        <v>0</v>
      </c>
      <c r="P432" t="n">
        <v>0</v>
      </c>
      <c r="Q432" t="n">
        <v>0</v>
      </c>
      <c r="R432" s="2" t="inlineStr"/>
    </row>
    <row r="433" ht="15" customHeight="1">
      <c r="A433" t="inlineStr">
        <is>
          <t>A 39009-2023</t>
        </is>
      </c>
      <c r="B433" s="1" t="n">
        <v>45162</v>
      </c>
      <c r="C433" s="1" t="n">
        <v>45915</v>
      </c>
      <c r="D433" t="inlineStr">
        <is>
          <t>DALARNAS LÄN</t>
        </is>
      </c>
      <c r="E433" t="inlineStr">
        <is>
          <t>MORA</t>
        </is>
      </c>
      <c r="G433" t="n">
        <v>1.9</v>
      </c>
      <c r="H433" t="n">
        <v>0</v>
      </c>
      <c r="I433" t="n">
        <v>0</v>
      </c>
      <c r="J433" t="n">
        <v>0</v>
      </c>
      <c r="K433" t="n">
        <v>0</v>
      </c>
      <c r="L433" t="n">
        <v>0</v>
      </c>
      <c r="M433" t="n">
        <v>0</v>
      </c>
      <c r="N433" t="n">
        <v>0</v>
      </c>
      <c r="O433" t="n">
        <v>0</v>
      </c>
      <c r="P433" t="n">
        <v>0</v>
      </c>
      <c r="Q433" t="n">
        <v>0</v>
      </c>
      <c r="R433" s="2" t="inlineStr"/>
    </row>
    <row r="434" ht="15" customHeight="1">
      <c r="A434" t="inlineStr">
        <is>
          <t>A 42611-2022</t>
        </is>
      </c>
      <c r="B434" s="1" t="n">
        <v>44831.81482638889</v>
      </c>
      <c r="C434" s="1" t="n">
        <v>45915</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15416-2023</t>
        </is>
      </c>
      <c r="B435" s="1" t="n">
        <v>45019.71342592593</v>
      </c>
      <c r="C435" s="1" t="n">
        <v>45915</v>
      </c>
      <c r="D435" t="inlineStr">
        <is>
          <t>DALARNAS LÄN</t>
        </is>
      </c>
      <c r="E435" t="inlineStr">
        <is>
          <t>MORA</t>
        </is>
      </c>
      <c r="G435" t="n">
        <v>2</v>
      </c>
      <c r="H435" t="n">
        <v>0</v>
      </c>
      <c r="I435" t="n">
        <v>0</v>
      </c>
      <c r="J435" t="n">
        <v>0</v>
      </c>
      <c r="K435" t="n">
        <v>0</v>
      </c>
      <c r="L435" t="n">
        <v>0</v>
      </c>
      <c r="M435" t="n">
        <v>0</v>
      </c>
      <c r="N435" t="n">
        <v>0</v>
      </c>
      <c r="O435" t="n">
        <v>0</v>
      </c>
      <c r="P435" t="n">
        <v>0</v>
      </c>
      <c r="Q435" t="n">
        <v>0</v>
      </c>
      <c r="R435" s="2" t="inlineStr"/>
    </row>
    <row r="436" ht="15" customHeight="1">
      <c r="A436" t="inlineStr">
        <is>
          <t>A 52288-2024</t>
        </is>
      </c>
      <c r="B436" s="1" t="n">
        <v>45608.69395833334</v>
      </c>
      <c r="C436" s="1" t="n">
        <v>45915</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25935-2023</t>
        </is>
      </c>
      <c r="B437" s="1" t="n">
        <v>45090.68675925926</v>
      </c>
      <c r="C437" s="1" t="n">
        <v>45915</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44769-2021</t>
        </is>
      </c>
      <c r="B438" s="1" t="n">
        <v>44438</v>
      </c>
      <c r="C438" s="1" t="n">
        <v>45915</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28487-2024</t>
        </is>
      </c>
      <c r="B439" s="1" t="n">
        <v>45477.75744212963</v>
      </c>
      <c r="C439" s="1" t="n">
        <v>45915</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24768-2024</t>
        </is>
      </c>
      <c r="B440" s="1" t="n">
        <v>45460.69545138889</v>
      </c>
      <c r="C440" s="1" t="n">
        <v>45915</v>
      </c>
      <c r="D440" t="inlineStr">
        <is>
          <t>DALARNAS LÄN</t>
        </is>
      </c>
      <c r="E440" t="inlineStr">
        <is>
          <t>MORA</t>
        </is>
      </c>
      <c r="G440" t="n">
        <v>2.4</v>
      </c>
      <c r="H440" t="n">
        <v>0</v>
      </c>
      <c r="I440" t="n">
        <v>0</v>
      </c>
      <c r="J440" t="n">
        <v>0</v>
      </c>
      <c r="K440" t="n">
        <v>0</v>
      </c>
      <c r="L440" t="n">
        <v>0</v>
      </c>
      <c r="M440" t="n">
        <v>0</v>
      </c>
      <c r="N440" t="n">
        <v>0</v>
      </c>
      <c r="O440" t="n">
        <v>0</v>
      </c>
      <c r="P440" t="n">
        <v>0</v>
      </c>
      <c r="Q440" t="n">
        <v>0</v>
      </c>
      <c r="R440" s="2" t="inlineStr"/>
    </row>
    <row r="441" ht="15" customHeight="1">
      <c r="A441" t="inlineStr">
        <is>
          <t>A 50911-2024</t>
        </is>
      </c>
      <c r="B441" s="1" t="n">
        <v>45602.7022337963</v>
      </c>
      <c r="C441" s="1" t="n">
        <v>45915</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48728-2022</t>
        </is>
      </c>
      <c r="B442" s="1" t="n">
        <v>44859.52145833334</v>
      </c>
      <c r="C442" s="1" t="n">
        <v>45915</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35040-2023</t>
        </is>
      </c>
      <c r="B443" s="1" t="n">
        <v>45145.36853009259</v>
      </c>
      <c r="C443" s="1" t="n">
        <v>45915</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58036-2024</t>
        </is>
      </c>
      <c r="B444" s="1" t="n">
        <v>45631.71893518518</v>
      </c>
      <c r="C444" s="1" t="n">
        <v>45915</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61222-2023</t>
        </is>
      </c>
      <c r="B445" s="1" t="n">
        <v>45264</v>
      </c>
      <c r="C445" s="1" t="n">
        <v>45915</v>
      </c>
      <c r="D445" t="inlineStr">
        <is>
          <t>DALARNAS LÄN</t>
        </is>
      </c>
      <c r="E445" t="inlineStr">
        <is>
          <t>MORA</t>
        </is>
      </c>
      <c r="F445" t="inlineStr">
        <is>
          <t>Allmännings- och besparingsskogar</t>
        </is>
      </c>
      <c r="G445" t="n">
        <v>1.1</v>
      </c>
      <c r="H445" t="n">
        <v>0</v>
      </c>
      <c r="I445" t="n">
        <v>0</v>
      </c>
      <c r="J445" t="n">
        <v>0</v>
      </c>
      <c r="K445" t="n">
        <v>0</v>
      </c>
      <c r="L445" t="n">
        <v>0</v>
      </c>
      <c r="M445" t="n">
        <v>0</v>
      </c>
      <c r="N445" t="n">
        <v>0</v>
      </c>
      <c r="O445" t="n">
        <v>0</v>
      </c>
      <c r="P445" t="n">
        <v>0</v>
      </c>
      <c r="Q445" t="n">
        <v>0</v>
      </c>
      <c r="R445" s="2" t="inlineStr"/>
    </row>
    <row r="446" ht="15" customHeight="1">
      <c r="A446" t="inlineStr">
        <is>
          <t>A 28964-2024</t>
        </is>
      </c>
      <c r="B446" s="1" t="n">
        <v>45481.42923611111</v>
      </c>
      <c r="C446" s="1" t="n">
        <v>45915</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27420-2024</t>
        </is>
      </c>
      <c r="B447" s="1" t="n">
        <v>45474.37850694444</v>
      </c>
      <c r="C447" s="1" t="n">
        <v>45915</v>
      </c>
      <c r="D447" t="inlineStr">
        <is>
          <t>DALARNAS LÄN</t>
        </is>
      </c>
      <c r="E447" t="inlineStr">
        <is>
          <t>MORA</t>
        </is>
      </c>
      <c r="G447" t="n">
        <v>7.3</v>
      </c>
      <c r="H447" t="n">
        <v>0</v>
      </c>
      <c r="I447" t="n">
        <v>0</v>
      </c>
      <c r="J447" t="n">
        <v>0</v>
      </c>
      <c r="K447" t="n">
        <v>0</v>
      </c>
      <c r="L447" t="n">
        <v>0</v>
      </c>
      <c r="M447" t="n">
        <v>0</v>
      </c>
      <c r="N447" t="n">
        <v>0</v>
      </c>
      <c r="O447" t="n">
        <v>0</v>
      </c>
      <c r="P447" t="n">
        <v>0</v>
      </c>
      <c r="Q447" t="n">
        <v>0</v>
      </c>
      <c r="R447" s="2" t="inlineStr"/>
    </row>
    <row r="448" ht="15" customHeight="1">
      <c r="A448" t="inlineStr">
        <is>
          <t>A 16967-2025</t>
        </is>
      </c>
      <c r="B448" s="1" t="n">
        <v>45755.46106481482</v>
      </c>
      <c r="C448" s="1" t="n">
        <v>45915</v>
      </c>
      <c r="D448" t="inlineStr">
        <is>
          <t>DALARNAS LÄN</t>
        </is>
      </c>
      <c r="E448" t="inlineStr">
        <is>
          <t>MORA</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37879-2025</t>
        </is>
      </c>
      <c r="B449" s="1" t="n">
        <v>45881.48791666667</v>
      </c>
      <c r="C449" s="1" t="n">
        <v>45915</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12920-2022</t>
        </is>
      </c>
      <c r="B450" s="1" t="n">
        <v>44642.65418981481</v>
      </c>
      <c r="C450" s="1" t="n">
        <v>45915</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61188-2024</t>
        </is>
      </c>
      <c r="B451" s="1" t="n">
        <v>45645.62282407407</v>
      </c>
      <c r="C451" s="1" t="n">
        <v>45915</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58089-2024</t>
        </is>
      </c>
      <c r="B452" s="1" t="n">
        <v>45632.34984953704</v>
      </c>
      <c r="C452" s="1" t="n">
        <v>45915</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row>
    <row r="453" ht="15" customHeight="1">
      <c r="A453" t="inlineStr">
        <is>
          <t>A 38086-2025</t>
        </is>
      </c>
      <c r="B453" s="1" t="n">
        <v>45882.47625</v>
      </c>
      <c r="C453" s="1" t="n">
        <v>45915</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61350-2024</t>
        </is>
      </c>
      <c r="B454" s="1" t="n">
        <v>45646.37872685185</v>
      </c>
      <c r="C454" s="1" t="n">
        <v>45915</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62266-2020</t>
        </is>
      </c>
      <c r="B455" s="1" t="n">
        <v>44160.35008101852</v>
      </c>
      <c r="C455" s="1" t="n">
        <v>45915</v>
      </c>
      <c r="D455" t="inlineStr">
        <is>
          <t>DALARNAS LÄN</t>
        </is>
      </c>
      <c r="E455" t="inlineStr">
        <is>
          <t>MORA</t>
        </is>
      </c>
      <c r="F455" t="inlineStr">
        <is>
          <t>Bergvik skog väst AB</t>
        </is>
      </c>
      <c r="G455" t="n">
        <v>5.9</v>
      </c>
      <c r="H455" t="n">
        <v>0</v>
      </c>
      <c r="I455" t="n">
        <v>0</v>
      </c>
      <c r="J455" t="n">
        <v>0</v>
      </c>
      <c r="K455" t="n">
        <v>0</v>
      </c>
      <c r="L455" t="n">
        <v>0</v>
      </c>
      <c r="M455" t="n">
        <v>0</v>
      </c>
      <c r="N455" t="n">
        <v>0</v>
      </c>
      <c r="O455" t="n">
        <v>0</v>
      </c>
      <c r="P455" t="n">
        <v>0</v>
      </c>
      <c r="Q455" t="n">
        <v>0</v>
      </c>
      <c r="R455" s="2" t="inlineStr"/>
    </row>
    <row r="456" ht="15" customHeight="1">
      <c r="A456" t="inlineStr">
        <is>
          <t>A 43533-2023</t>
        </is>
      </c>
      <c r="B456" s="1" t="n">
        <v>45184.53412037037</v>
      </c>
      <c r="C456" s="1" t="n">
        <v>45915</v>
      </c>
      <c r="D456" t="inlineStr">
        <is>
          <t>DALARNAS LÄN</t>
        </is>
      </c>
      <c r="E456" t="inlineStr">
        <is>
          <t>MORA</t>
        </is>
      </c>
      <c r="F456" t="inlineStr">
        <is>
          <t>Bergvik skog väst AB</t>
        </is>
      </c>
      <c r="G456" t="n">
        <v>10.3</v>
      </c>
      <c r="H456" t="n">
        <v>0</v>
      </c>
      <c r="I456" t="n">
        <v>0</v>
      </c>
      <c r="J456" t="n">
        <v>0</v>
      </c>
      <c r="K456" t="n">
        <v>0</v>
      </c>
      <c r="L456" t="n">
        <v>0</v>
      </c>
      <c r="M456" t="n">
        <v>0</v>
      </c>
      <c r="N456" t="n">
        <v>0</v>
      </c>
      <c r="O456" t="n">
        <v>0</v>
      </c>
      <c r="P456" t="n">
        <v>0</v>
      </c>
      <c r="Q456" t="n">
        <v>0</v>
      </c>
      <c r="R456" s="2" t="inlineStr"/>
    </row>
    <row r="457" ht="15" customHeight="1">
      <c r="A457" t="inlineStr">
        <is>
          <t>A 30998-2022</t>
        </is>
      </c>
      <c r="B457" s="1" t="n">
        <v>44768</v>
      </c>
      <c r="C457" s="1" t="n">
        <v>45915</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32852-2025</t>
        </is>
      </c>
      <c r="B458" s="1" t="n">
        <v>45839.57559027777</v>
      </c>
      <c r="C458" s="1" t="n">
        <v>45915</v>
      </c>
      <c r="D458" t="inlineStr">
        <is>
          <t>DALARNAS LÄN</t>
        </is>
      </c>
      <c r="E458" t="inlineStr">
        <is>
          <t>MORA</t>
        </is>
      </c>
      <c r="G458" t="n">
        <v>1.7</v>
      </c>
      <c r="H458" t="n">
        <v>0</v>
      </c>
      <c r="I458" t="n">
        <v>0</v>
      </c>
      <c r="J458" t="n">
        <v>0</v>
      </c>
      <c r="K458" t="n">
        <v>0</v>
      </c>
      <c r="L458" t="n">
        <v>0</v>
      </c>
      <c r="M458" t="n">
        <v>0</v>
      </c>
      <c r="N458" t="n">
        <v>0</v>
      </c>
      <c r="O458" t="n">
        <v>0</v>
      </c>
      <c r="P458" t="n">
        <v>0</v>
      </c>
      <c r="Q458" t="n">
        <v>0</v>
      </c>
      <c r="R458" s="2" t="inlineStr"/>
    </row>
    <row r="459" ht="15" customHeight="1">
      <c r="A459" t="inlineStr">
        <is>
          <t>A 8343-2025</t>
        </is>
      </c>
      <c r="B459" s="1" t="n">
        <v>45708.67253472222</v>
      </c>
      <c r="C459" s="1" t="n">
        <v>45915</v>
      </c>
      <c r="D459" t="inlineStr">
        <is>
          <t>DALARNAS LÄN</t>
        </is>
      </c>
      <c r="E459" t="inlineStr">
        <is>
          <t>MORA</t>
        </is>
      </c>
      <c r="G459" t="n">
        <v>3.4</v>
      </c>
      <c r="H459" t="n">
        <v>0</v>
      </c>
      <c r="I459" t="n">
        <v>0</v>
      </c>
      <c r="J459" t="n">
        <v>0</v>
      </c>
      <c r="K459" t="n">
        <v>0</v>
      </c>
      <c r="L459" t="n">
        <v>0</v>
      </c>
      <c r="M459" t="n">
        <v>0</v>
      </c>
      <c r="N459" t="n">
        <v>0</v>
      </c>
      <c r="O459" t="n">
        <v>0</v>
      </c>
      <c r="P459" t="n">
        <v>0</v>
      </c>
      <c r="Q459" t="n">
        <v>0</v>
      </c>
      <c r="R459" s="2" t="inlineStr"/>
    </row>
    <row r="460" ht="15" customHeight="1">
      <c r="A460" t="inlineStr">
        <is>
          <t>A 60526-2023</t>
        </is>
      </c>
      <c r="B460" s="1" t="n">
        <v>45259</v>
      </c>
      <c r="C460" s="1" t="n">
        <v>45915</v>
      </c>
      <c r="D460" t="inlineStr">
        <is>
          <t>DALARNAS LÄN</t>
        </is>
      </c>
      <c r="E460" t="inlineStr">
        <is>
          <t>MORA</t>
        </is>
      </c>
      <c r="G460" t="n">
        <v>6.7</v>
      </c>
      <c r="H460" t="n">
        <v>0</v>
      </c>
      <c r="I460" t="n">
        <v>0</v>
      </c>
      <c r="J460" t="n">
        <v>0</v>
      </c>
      <c r="K460" t="n">
        <v>0</v>
      </c>
      <c r="L460" t="n">
        <v>0</v>
      </c>
      <c r="M460" t="n">
        <v>0</v>
      </c>
      <c r="N460" t="n">
        <v>0</v>
      </c>
      <c r="O460" t="n">
        <v>0</v>
      </c>
      <c r="P460" t="n">
        <v>0</v>
      </c>
      <c r="Q460" t="n">
        <v>0</v>
      </c>
      <c r="R460" s="2" t="inlineStr"/>
    </row>
    <row r="461" ht="15" customHeight="1">
      <c r="A461" t="inlineStr">
        <is>
          <t>A 63958-2023</t>
        </is>
      </c>
      <c r="B461" s="1" t="n">
        <v>45278</v>
      </c>
      <c r="C461" s="1" t="n">
        <v>45915</v>
      </c>
      <c r="D461" t="inlineStr">
        <is>
          <t>DALARNAS LÄN</t>
        </is>
      </c>
      <c r="E461" t="inlineStr">
        <is>
          <t>MORA</t>
        </is>
      </c>
      <c r="G461" t="n">
        <v>1.9</v>
      </c>
      <c r="H461" t="n">
        <v>0</v>
      </c>
      <c r="I461" t="n">
        <v>0</v>
      </c>
      <c r="J461" t="n">
        <v>0</v>
      </c>
      <c r="K461" t="n">
        <v>0</v>
      </c>
      <c r="L461" t="n">
        <v>0</v>
      </c>
      <c r="M461" t="n">
        <v>0</v>
      </c>
      <c r="N461" t="n">
        <v>0</v>
      </c>
      <c r="O461" t="n">
        <v>0</v>
      </c>
      <c r="P461" t="n">
        <v>0</v>
      </c>
      <c r="Q461" t="n">
        <v>0</v>
      </c>
      <c r="R461" s="2" t="inlineStr"/>
    </row>
    <row r="462" ht="15" customHeight="1">
      <c r="A462" t="inlineStr">
        <is>
          <t>A 52908-2023</t>
        </is>
      </c>
      <c r="B462" s="1" t="n">
        <v>45226.49950231481</v>
      </c>
      <c r="C462" s="1" t="n">
        <v>45915</v>
      </c>
      <c r="D462" t="inlineStr">
        <is>
          <t>DALARNAS LÄN</t>
        </is>
      </c>
      <c r="E462" t="inlineStr">
        <is>
          <t>MORA</t>
        </is>
      </c>
      <c r="G462" t="n">
        <v>3.3</v>
      </c>
      <c r="H462" t="n">
        <v>0</v>
      </c>
      <c r="I462" t="n">
        <v>0</v>
      </c>
      <c r="J462" t="n">
        <v>0</v>
      </c>
      <c r="K462" t="n">
        <v>0</v>
      </c>
      <c r="L462" t="n">
        <v>0</v>
      </c>
      <c r="M462" t="n">
        <v>0</v>
      </c>
      <c r="N462" t="n">
        <v>0</v>
      </c>
      <c r="O462" t="n">
        <v>0</v>
      </c>
      <c r="P462" t="n">
        <v>0</v>
      </c>
      <c r="Q462" t="n">
        <v>0</v>
      </c>
      <c r="R462" s="2" t="inlineStr"/>
    </row>
    <row r="463" ht="15" customHeight="1">
      <c r="A463" t="inlineStr">
        <is>
          <t>A 17164-2025</t>
        </is>
      </c>
      <c r="B463" s="1" t="n">
        <v>45756.36403935185</v>
      </c>
      <c r="C463" s="1" t="n">
        <v>45915</v>
      </c>
      <c r="D463" t="inlineStr">
        <is>
          <t>DALARNAS LÄN</t>
        </is>
      </c>
      <c r="E463" t="inlineStr">
        <is>
          <t>MORA</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19896-2021</t>
        </is>
      </c>
      <c r="B464" s="1" t="n">
        <v>44313.54942129629</v>
      </c>
      <c r="C464" s="1" t="n">
        <v>45915</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37774-2022</t>
        </is>
      </c>
      <c r="B465" s="1" t="n">
        <v>44810.64164351852</v>
      </c>
      <c r="C465" s="1" t="n">
        <v>45915</v>
      </c>
      <c r="D465" t="inlineStr">
        <is>
          <t>DALARNAS LÄN</t>
        </is>
      </c>
      <c r="E465" t="inlineStr">
        <is>
          <t>MORA</t>
        </is>
      </c>
      <c r="F465" t="inlineStr">
        <is>
          <t>Bergvik skog väst AB</t>
        </is>
      </c>
      <c r="G465" t="n">
        <v>8.5</v>
      </c>
      <c r="H465" t="n">
        <v>0</v>
      </c>
      <c r="I465" t="n">
        <v>0</v>
      </c>
      <c r="J465" t="n">
        <v>0</v>
      </c>
      <c r="K465" t="n">
        <v>0</v>
      </c>
      <c r="L465" t="n">
        <v>0</v>
      </c>
      <c r="M465" t="n">
        <v>0</v>
      </c>
      <c r="N465" t="n">
        <v>0</v>
      </c>
      <c r="O465" t="n">
        <v>0</v>
      </c>
      <c r="P465" t="n">
        <v>0</v>
      </c>
      <c r="Q465" t="n">
        <v>0</v>
      </c>
      <c r="R465" s="2" t="inlineStr"/>
    </row>
    <row r="466" ht="15" customHeight="1">
      <c r="A466" t="inlineStr">
        <is>
          <t>A 22854-2023</t>
        </is>
      </c>
      <c r="B466" s="1" t="n">
        <v>45072</v>
      </c>
      <c r="C466" s="1" t="n">
        <v>45915</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51253-2023</t>
        </is>
      </c>
      <c r="B467" s="1" t="n">
        <v>45219</v>
      </c>
      <c r="C467" s="1" t="n">
        <v>45915</v>
      </c>
      <c r="D467" t="inlineStr">
        <is>
          <t>DALARNAS LÄN</t>
        </is>
      </c>
      <c r="E467" t="inlineStr">
        <is>
          <t>MORA</t>
        </is>
      </c>
      <c r="G467" t="n">
        <v>5</v>
      </c>
      <c r="H467" t="n">
        <v>0</v>
      </c>
      <c r="I467" t="n">
        <v>0</v>
      </c>
      <c r="J467" t="n">
        <v>0</v>
      </c>
      <c r="K467" t="n">
        <v>0</v>
      </c>
      <c r="L467" t="n">
        <v>0</v>
      </c>
      <c r="M467" t="n">
        <v>0</v>
      </c>
      <c r="N467" t="n">
        <v>0</v>
      </c>
      <c r="O467" t="n">
        <v>0</v>
      </c>
      <c r="P467" t="n">
        <v>0</v>
      </c>
      <c r="Q467" t="n">
        <v>0</v>
      </c>
      <c r="R467" s="2" t="inlineStr"/>
    </row>
    <row r="468" ht="15" customHeight="1">
      <c r="A468" t="inlineStr">
        <is>
          <t>A 58116-2022</t>
        </is>
      </c>
      <c r="B468" s="1" t="n">
        <v>44900.65716435185</v>
      </c>
      <c r="C468" s="1" t="n">
        <v>45915</v>
      </c>
      <c r="D468" t="inlineStr">
        <is>
          <t>DALARNAS LÄN</t>
        </is>
      </c>
      <c r="E468" t="inlineStr">
        <is>
          <t>MORA</t>
        </is>
      </c>
      <c r="G468" t="n">
        <v>2.9</v>
      </c>
      <c r="H468" t="n">
        <v>0</v>
      </c>
      <c r="I468" t="n">
        <v>0</v>
      </c>
      <c r="J468" t="n">
        <v>0</v>
      </c>
      <c r="K468" t="n">
        <v>0</v>
      </c>
      <c r="L468" t="n">
        <v>0</v>
      </c>
      <c r="M468" t="n">
        <v>0</v>
      </c>
      <c r="N468" t="n">
        <v>0</v>
      </c>
      <c r="O468" t="n">
        <v>0</v>
      </c>
      <c r="P468" t="n">
        <v>0</v>
      </c>
      <c r="Q468" t="n">
        <v>0</v>
      </c>
      <c r="R468" s="2" t="inlineStr"/>
    </row>
    <row r="469" ht="15" customHeight="1">
      <c r="A469" t="inlineStr">
        <is>
          <t>A 33443-2025</t>
        </is>
      </c>
      <c r="B469" s="1" t="n">
        <v>45841</v>
      </c>
      <c r="C469" s="1" t="n">
        <v>45915</v>
      </c>
      <c r="D469" t="inlineStr">
        <is>
          <t>DALARNAS LÄN</t>
        </is>
      </c>
      <c r="E469" t="inlineStr">
        <is>
          <t>MORA</t>
        </is>
      </c>
      <c r="G469" t="n">
        <v>2.7</v>
      </c>
      <c r="H469" t="n">
        <v>0</v>
      </c>
      <c r="I469" t="n">
        <v>0</v>
      </c>
      <c r="J469" t="n">
        <v>0</v>
      </c>
      <c r="K469" t="n">
        <v>0</v>
      </c>
      <c r="L469" t="n">
        <v>0</v>
      </c>
      <c r="M469" t="n">
        <v>0</v>
      </c>
      <c r="N469" t="n">
        <v>0</v>
      </c>
      <c r="O469" t="n">
        <v>0</v>
      </c>
      <c r="P469" t="n">
        <v>0</v>
      </c>
      <c r="Q469" t="n">
        <v>0</v>
      </c>
      <c r="R469" s="2" t="inlineStr"/>
    </row>
    <row r="470" ht="15" customHeight="1">
      <c r="A470" t="inlineStr">
        <is>
          <t>A 56532-2024</t>
        </is>
      </c>
      <c r="B470" s="1" t="n">
        <v>45625.55440972222</v>
      </c>
      <c r="C470" s="1" t="n">
        <v>45915</v>
      </c>
      <c r="D470" t="inlineStr">
        <is>
          <t>DALARNAS LÄN</t>
        </is>
      </c>
      <c r="E470" t="inlineStr">
        <is>
          <t>MORA</t>
        </is>
      </c>
      <c r="G470" t="n">
        <v>6.9</v>
      </c>
      <c r="H470" t="n">
        <v>0</v>
      </c>
      <c r="I470" t="n">
        <v>0</v>
      </c>
      <c r="J470" t="n">
        <v>0</v>
      </c>
      <c r="K470" t="n">
        <v>0</v>
      </c>
      <c r="L470" t="n">
        <v>0</v>
      </c>
      <c r="M470" t="n">
        <v>0</v>
      </c>
      <c r="N470" t="n">
        <v>0</v>
      </c>
      <c r="O470" t="n">
        <v>0</v>
      </c>
      <c r="P470" t="n">
        <v>0</v>
      </c>
      <c r="Q470" t="n">
        <v>0</v>
      </c>
      <c r="R470" s="2" t="inlineStr"/>
    </row>
    <row r="471" ht="15" customHeight="1">
      <c r="A471" t="inlineStr">
        <is>
          <t>A 24465-2021</t>
        </is>
      </c>
      <c r="B471" s="1" t="n">
        <v>44337</v>
      </c>
      <c r="C471" s="1" t="n">
        <v>45915</v>
      </c>
      <c r="D471" t="inlineStr">
        <is>
          <t>DALARNAS LÄN</t>
        </is>
      </c>
      <c r="E471" t="inlineStr">
        <is>
          <t>MORA</t>
        </is>
      </c>
      <c r="G471" t="n">
        <v>2.6</v>
      </c>
      <c r="H471" t="n">
        <v>0</v>
      </c>
      <c r="I471" t="n">
        <v>0</v>
      </c>
      <c r="J471" t="n">
        <v>0</v>
      </c>
      <c r="K471" t="n">
        <v>0</v>
      </c>
      <c r="L471" t="n">
        <v>0</v>
      </c>
      <c r="M471" t="n">
        <v>0</v>
      </c>
      <c r="N471" t="n">
        <v>0</v>
      </c>
      <c r="O471" t="n">
        <v>0</v>
      </c>
      <c r="P471" t="n">
        <v>0</v>
      </c>
      <c r="Q471" t="n">
        <v>0</v>
      </c>
      <c r="R471" s="2" t="inlineStr"/>
    </row>
    <row r="472" ht="15" customHeight="1">
      <c r="A472" t="inlineStr">
        <is>
          <t>A 5298-2023</t>
        </is>
      </c>
      <c r="B472" s="1" t="n">
        <v>44959.54355324074</v>
      </c>
      <c r="C472" s="1" t="n">
        <v>45915</v>
      </c>
      <c r="D472" t="inlineStr">
        <is>
          <t>DALARNAS LÄN</t>
        </is>
      </c>
      <c r="E472" t="inlineStr">
        <is>
          <t>MORA</t>
        </is>
      </c>
      <c r="F472" t="inlineStr">
        <is>
          <t>Bergvik skog väst AB</t>
        </is>
      </c>
      <c r="G472" t="n">
        <v>6.2</v>
      </c>
      <c r="H472" t="n">
        <v>0</v>
      </c>
      <c r="I472" t="n">
        <v>0</v>
      </c>
      <c r="J472" t="n">
        <v>0</v>
      </c>
      <c r="K472" t="n">
        <v>0</v>
      </c>
      <c r="L472" t="n">
        <v>0</v>
      </c>
      <c r="M472" t="n">
        <v>0</v>
      </c>
      <c r="N472" t="n">
        <v>0</v>
      </c>
      <c r="O472" t="n">
        <v>0</v>
      </c>
      <c r="P472" t="n">
        <v>0</v>
      </c>
      <c r="Q472" t="n">
        <v>0</v>
      </c>
      <c r="R472" s="2" t="inlineStr"/>
    </row>
    <row r="473" ht="15" customHeight="1">
      <c r="A473" t="inlineStr">
        <is>
          <t>A 38073-2025</t>
        </is>
      </c>
      <c r="B473" s="1" t="n">
        <v>45882</v>
      </c>
      <c r="C473" s="1" t="n">
        <v>45915</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59002-2024</t>
        </is>
      </c>
      <c r="B474" s="1" t="n">
        <v>45636</v>
      </c>
      <c r="C474" s="1" t="n">
        <v>45915</v>
      </c>
      <c r="D474" t="inlineStr">
        <is>
          <t>DALARNAS LÄN</t>
        </is>
      </c>
      <c r="E474" t="inlineStr">
        <is>
          <t>MORA</t>
        </is>
      </c>
      <c r="F474" t="inlineStr">
        <is>
          <t>Bergvik skog väst AB</t>
        </is>
      </c>
      <c r="G474" t="n">
        <v>24.8</v>
      </c>
      <c r="H474" t="n">
        <v>0</v>
      </c>
      <c r="I474" t="n">
        <v>0</v>
      </c>
      <c r="J474" t="n">
        <v>0</v>
      </c>
      <c r="K474" t="n">
        <v>0</v>
      </c>
      <c r="L474" t="n">
        <v>0</v>
      </c>
      <c r="M474" t="n">
        <v>0</v>
      </c>
      <c r="N474" t="n">
        <v>0</v>
      </c>
      <c r="O474" t="n">
        <v>0</v>
      </c>
      <c r="P474" t="n">
        <v>0</v>
      </c>
      <c r="Q474" t="n">
        <v>0</v>
      </c>
      <c r="R474" s="2" t="inlineStr"/>
    </row>
    <row r="475" ht="15" customHeight="1">
      <c r="A475" t="inlineStr">
        <is>
          <t>A 44106-2023</t>
        </is>
      </c>
      <c r="B475" s="1" t="n">
        <v>45188</v>
      </c>
      <c r="C475" s="1" t="n">
        <v>45915</v>
      </c>
      <c r="D475" t="inlineStr">
        <is>
          <t>DALARNAS LÄN</t>
        </is>
      </c>
      <c r="E475" t="inlineStr">
        <is>
          <t>MORA</t>
        </is>
      </c>
      <c r="G475" t="n">
        <v>10.1</v>
      </c>
      <c r="H475" t="n">
        <v>0</v>
      </c>
      <c r="I475" t="n">
        <v>0</v>
      </c>
      <c r="J475" t="n">
        <v>0</v>
      </c>
      <c r="K475" t="n">
        <v>0</v>
      </c>
      <c r="L475" t="n">
        <v>0</v>
      </c>
      <c r="M475" t="n">
        <v>0</v>
      </c>
      <c r="N475" t="n">
        <v>0</v>
      </c>
      <c r="O475" t="n">
        <v>0</v>
      </c>
      <c r="P475" t="n">
        <v>0</v>
      </c>
      <c r="Q475" t="n">
        <v>0</v>
      </c>
      <c r="R475" s="2" t="inlineStr"/>
    </row>
    <row r="476" ht="15" customHeight="1">
      <c r="A476" t="inlineStr">
        <is>
          <t>A 57091-2021</t>
        </is>
      </c>
      <c r="B476" s="1" t="n">
        <v>44482</v>
      </c>
      <c r="C476" s="1" t="n">
        <v>45915</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4994-2025</t>
        </is>
      </c>
      <c r="B477" s="1" t="n">
        <v>45691.35427083333</v>
      </c>
      <c r="C477" s="1" t="n">
        <v>45915</v>
      </c>
      <c r="D477" t="inlineStr">
        <is>
          <t>DALARNAS LÄN</t>
        </is>
      </c>
      <c r="E477" t="inlineStr">
        <is>
          <t>MORA</t>
        </is>
      </c>
      <c r="G477" t="n">
        <v>4.6</v>
      </c>
      <c r="H477" t="n">
        <v>0</v>
      </c>
      <c r="I477" t="n">
        <v>0</v>
      </c>
      <c r="J477" t="n">
        <v>0</v>
      </c>
      <c r="K477" t="n">
        <v>0</v>
      </c>
      <c r="L477" t="n">
        <v>0</v>
      </c>
      <c r="M477" t="n">
        <v>0</v>
      </c>
      <c r="N477" t="n">
        <v>0</v>
      </c>
      <c r="O477" t="n">
        <v>0</v>
      </c>
      <c r="P477" t="n">
        <v>0</v>
      </c>
      <c r="Q477" t="n">
        <v>0</v>
      </c>
      <c r="R477" s="2" t="inlineStr"/>
    </row>
    <row r="478" ht="15" customHeight="1">
      <c r="A478" t="inlineStr">
        <is>
          <t>A 35287-2024</t>
        </is>
      </c>
      <c r="B478" s="1" t="n">
        <v>45530</v>
      </c>
      <c r="C478" s="1" t="n">
        <v>45915</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18702-2025</t>
        </is>
      </c>
      <c r="B479" s="1" t="n">
        <v>45763.63166666667</v>
      </c>
      <c r="C479" s="1" t="n">
        <v>45915</v>
      </c>
      <c r="D479" t="inlineStr">
        <is>
          <t>DALARNAS LÄN</t>
        </is>
      </c>
      <c r="E479" t="inlineStr">
        <is>
          <t>MORA</t>
        </is>
      </c>
      <c r="G479" t="n">
        <v>3.6</v>
      </c>
      <c r="H479" t="n">
        <v>0</v>
      </c>
      <c r="I479" t="n">
        <v>0</v>
      </c>
      <c r="J479" t="n">
        <v>0</v>
      </c>
      <c r="K479" t="n">
        <v>0</v>
      </c>
      <c r="L479" t="n">
        <v>0</v>
      </c>
      <c r="M479" t="n">
        <v>0</v>
      </c>
      <c r="N479" t="n">
        <v>0</v>
      </c>
      <c r="O479" t="n">
        <v>0</v>
      </c>
      <c r="P479" t="n">
        <v>0</v>
      </c>
      <c r="Q479" t="n">
        <v>0</v>
      </c>
      <c r="R479" s="2" t="inlineStr"/>
    </row>
    <row r="480" ht="15" customHeight="1">
      <c r="A480" t="inlineStr">
        <is>
          <t>A 7766-2025</t>
        </is>
      </c>
      <c r="B480" s="1" t="n">
        <v>45706.5562037037</v>
      </c>
      <c r="C480" s="1" t="n">
        <v>45915</v>
      </c>
      <c r="D480" t="inlineStr">
        <is>
          <t>DALARNAS LÄN</t>
        </is>
      </c>
      <c r="E480" t="inlineStr">
        <is>
          <t>MORA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12478-2025</t>
        </is>
      </c>
      <c r="B481" s="1" t="n">
        <v>45730.57429398148</v>
      </c>
      <c r="C481" s="1" t="n">
        <v>45915</v>
      </c>
      <c r="D481" t="inlineStr">
        <is>
          <t>DALARNAS LÄN</t>
        </is>
      </c>
      <c r="E481" t="inlineStr">
        <is>
          <t>MORA</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30030-2021</t>
        </is>
      </c>
      <c r="B482" s="1" t="n">
        <v>44363</v>
      </c>
      <c r="C482" s="1" t="n">
        <v>45915</v>
      </c>
      <c r="D482" t="inlineStr">
        <is>
          <t>DALARNAS LÄN</t>
        </is>
      </c>
      <c r="E482" t="inlineStr">
        <is>
          <t>MORA</t>
        </is>
      </c>
      <c r="G482" t="n">
        <v>7.1</v>
      </c>
      <c r="H482" t="n">
        <v>0</v>
      </c>
      <c r="I482" t="n">
        <v>0</v>
      </c>
      <c r="J482" t="n">
        <v>0</v>
      </c>
      <c r="K482" t="n">
        <v>0</v>
      </c>
      <c r="L482" t="n">
        <v>0</v>
      </c>
      <c r="M482" t="n">
        <v>0</v>
      </c>
      <c r="N482" t="n">
        <v>0</v>
      </c>
      <c r="O482" t="n">
        <v>0</v>
      </c>
      <c r="P482" t="n">
        <v>0</v>
      </c>
      <c r="Q482" t="n">
        <v>0</v>
      </c>
      <c r="R482" s="2" t="inlineStr"/>
    </row>
    <row r="483" ht="15" customHeight="1">
      <c r="A483" t="inlineStr">
        <is>
          <t>A 31085-2024</t>
        </is>
      </c>
      <c r="B483" s="1" t="n">
        <v>45502.48047453703</v>
      </c>
      <c r="C483" s="1" t="n">
        <v>45915</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44071-2024</t>
        </is>
      </c>
      <c r="B484" s="1" t="n">
        <v>45572.60915509259</v>
      </c>
      <c r="C484" s="1" t="n">
        <v>45915</v>
      </c>
      <c r="D484" t="inlineStr">
        <is>
          <t>DALARNAS LÄN</t>
        </is>
      </c>
      <c r="E484" t="inlineStr">
        <is>
          <t>MORA</t>
        </is>
      </c>
      <c r="G484" t="n">
        <v>4.5</v>
      </c>
      <c r="H484" t="n">
        <v>0</v>
      </c>
      <c r="I484" t="n">
        <v>0</v>
      </c>
      <c r="J484" t="n">
        <v>0</v>
      </c>
      <c r="K484" t="n">
        <v>0</v>
      </c>
      <c r="L484" t="n">
        <v>0</v>
      </c>
      <c r="M484" t="n">
        <v>0</v>
      </c>
      <c r="N484" t="n">
        <v>0</v>
      </c>
      <c r="O484" t="n">
        <v>0</v>
      </c>
      <c r="P484" t="n">
        <v>0</v>
      </c>
      <c r="Q484" t="n">
        <v>0</v>
      </c>
      <c r="R484" s="2" t="inlineStr"/>
    </row>
    <row r="485" ht="15" customHeight="1">
      <c r="A485" t="inlineStr">
        <is>
          <t>A 12490-2025</t>
        </is>
      </c>
      <c r="B485" s="1" t="n">
        <v>45730.59239583334</v>
      </c>
      <c r="C485" s="1" t="n">
        <v>45915</v>
      </c>
      <c r="D485" t="inlineStr">
        <is>
          <t>DALARNAS LÄN</t>
        </is>
      </c>
      <c r="E485" t="inlineStr">
        <is>
          <t>MORA</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21410-2023</t>
        </is>
      </c>
      <c r="B486" s="1" t="n">
        <v>45063</v>
      </c>
      <c r="C486" s="1" t="n">
        <v>45915</v>
      </c>
      <c r="D486" t="inlineStr">
        <is>
          <t>DALARNAS LÄN</t>
        </is>
      </c>
      <c r="E486" t="inlineStr">
        <is>
          <t>MORA</t>
        </is>
      </c>
      <c r="G486" t="n">
        <v>7</v>
      </c>
      <c r="H486" t="n">
        <v>0</v>
      </c>
      <c r="I486" t="n">
        <v>0</v>
      </c>
      <c r="J486" t="n">
        <v>0</v>
      </c>
      <c r="K486" t="n">
        <v>0</v>
      </c>
      <c r="L486" t="n">
        <v>0</v>
      </c>
      <c r="M486" t="n">
        <v>0</v>
      </c>
      <c r="N486" t="n">
        <v>0</v>
      </c>
      <c r="O486" t="n">
        <v>0</v>
      </c>
      <c r="P486" t="n">
        <v>0</v>
      </c>
      <c r="Q486" t="n">
        <v>0</v>
      </c>
      <c r="R486" s="2" t="inlineStr"/>
    </row>
    <row r="487" ht="15" customHeight="1">
      <c r="A487" t="inlineStr">
        <is>
          <t>A 46801-2022</t>
        </is>
      </c>
      <c r="B487" s="1" t="n">
        <v>44851</v>
      </c>
      <c r="C487" s="1" t="n">
        <v>45915</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33666-2024</t>
        </is>
      </c>
      <c r="B488" s="1" t="n">
        <v>45520.48304398148</v>
      </c>
      <c r="C488" s="1" t="n">
        <v>45915</v>
      </c>
      <c r="D488" t="inlineStr">
        <is>
          <t>DALARNAS LÄN</t>
        </is>
      </c>
      <c r="E488" t="inlineStr">
        <is>
          <t>MORA</t>
        </is>
      </c>
      <c r="G488" t="n">
        <v>0.7</v>
      </c>
      <c r="H488" t="n">
        <v>0</v>
      </c>
      <c r="I488" t="n">
        <v>0</v>
      </c>
      <c r="J488" t="n">
        <v>0</v>
      </c>
      <c r="K488" t="n">
        <v>0</v>
      </c>
      <c r="L488" t="n">
        <v>0</v>
      </c>
      <c r="M488" t="n">
        <v>0</v>
      </c>
      <c r="N488" t="n">
        <v>0</v>
      </c>
      <c r="O488" t="n">
        <v>0</v>
      </c>
      <c r="P488" t="n">
        <v>0</v>
      </c>
      <c r="Q488" t="n">
        <v>0</v>
      </c>
      <c r="R488" s="2" t="inlineStr"/>
    </row>
    <row r="489" ht="15" customHeight="1">
      <c r="A489" t="inlineStr">
        <is>
          <t>A 70141-2021</t>
        </is>
      </c>
      <c r="B489" s="1" t="n">
        <v>44533</v>
      </c>
      <c r="C489" s="1" t="n">
        <v>45915</v>
      </c>
      <c r="D489" t="inlineStr">
        <is>
          <t>DALARNAS LÄN</t>
        </is>
      </c>
      <c r="E489" t="inlineStr">
        <is>
          <t>MORA</t>
        </is>
      </c>
      <c r="G489" t="n">
        <v>4.1</v>
      </c>
      <c r="H489" t="n">
        <v>0</v>
      </c>
      <c r="I489" t="n">
        <v>0</v>
      </c>
      <c r="J489" t="n">
        <v>0</v>
      </c>
      <c r="K489" t="n">
        <v>0</v>
      </c>
      <c r="L489" t="n">
        <v>0</v>
      </c>
      <c r="M489" t="n">
        <v>0</v>
      </c>
      <c r="N489" t="n">
        <v>0</v>
      </c>
      <c r="O489" t="n">
        <v>0</v>
      </c>
      <c r="P489" t="n">
        <v>0</v>
      </c>
      <c r="Q489" t="n">
        <v>0</v>
      </c>
      <c r="R489" s="2" t="inlineStr"/>
    </row>
    <row r="490" ht="15" customHeight="1">
      <c r="A490" t="inlineStr">
        <is>
          <t>A 56767-2023</t>
        </is>
      </c>
      <c r="B490" s="1" t="n">
        <v>45244</v>
      </c>
      <c r="C490" s="1" t="n">
        <v>45915</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40949-2023</t>
        </is>
      </c>
      <c r="B491" s="1" t="n">
        <v>45173</v>
      </c>
      <c r="C491" s="1" t="n">
        <v>45915</v>
      </c>
      <c r="D491" t="inlineStr">
        <is>
          <t>DALARNAS LÄN</t>
        </is>
      </c>
      <c r="E491" t="inlineStr">
        <is>
          <t>MORA</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66232-2021</t>
        </is>
      </c>
      <c r="B492" s="1" t="n">
        <v>44518.39234953704</v>
      </c>
      <c r="C492" s="1" t="n">
        <v>45915</v>
      </c>
      <c r="D492" t="inlineStr">
        <is>
          <t>DALARNAS LÄN</t>
        </is>
      </c>
      <c r="E492" t="inlineStr">
        <is>
          <t>MORA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42941-2024</t>
        </is>
      </c>
      <c r="B493" s="1" t="n">
        <v>45567.3515162037</v>
      </c>
      <c r="C493" s="1" t="n">
        <v>45915</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44307-2021</t>
        </is>
      </c>
      <c r="B494" s="1" t="n">
        <v>44435</v>
      </c>
      <c r="C494" s="1" t="n">
        <v>45915</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34272-2024</t>
        </is>
      </c>
      <c r="B495" s="1" t="n">
        <v>45524.61752314815</v>
      </c>
      <c r="C495" s="1" t="n">
        <v>45915</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28131-2024</t>
        </is>
      </c>
      <c r="B496" s="1" t="n">
        <v>45476.68435185185</v>
      </c>
      <c r="C496" s="1" t="n">
        <v>45915</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28132-2024</t>
        </is>
      </c>
      <c r="B497" s="1" t="n">
        <v>45476.68616898148</v>
      </c>
      <c r="C497" s="1" t="n">
        <v>45915</v>
      </c>
      <c r="D497" t="inlineStr">
        <is>
          <t>DALARNAS LÄN</t>
        </is>
      </c>
      <c r="E497" t="inlineStr">
        <is>
          <t>MORA</t>
        </is>
      </c>
      <c r="G497" t="n">
        <v>0.2</v>
      </c>
      <c r="H497" t="n">
        <v>0</v>
      </c>
      <c r="I497" t="n">
        <v>0</v>
      </c>
      <c r="J497" t="n">
        <v>0</v>
      </c>
      <c r="K497" t="n">
        <v>0</v>
      </c>
      <c r="L497" t="n">
        <v>0</v>
      </c>
      <c r="M497" t="n">
        <v>0</v>
      </c>
      <c r="N497" t="n">
        <v>0</v>
      </c>
      <c r="O497" t="n">
        <v>0</v>
      </c>
      <c r="P497" t="n">
        <v>0</v>
      </c>
      <c r="Q497" t="n">
        <v>0</v>
      </c>
      <c r="R497" s="2" t="inlineStr"/>
    </row>
    <row r="498" ht="15" customHeight="1">
      <c r="A498" t="inlineStr">
        <is>
          <t>A 57608-2021</t>
        </is>
      </c>
      <c r="B498" s="1" t="n">
        <v>44484</v>
      </c>
      <c r="C498" s="1" t="n">
        <v>45915</v>
      </c>
      <c r="D498" t="inlineStr">
        <is>
          <t>DALARNAS LÄN</t>
        </is>
      </c>
      <c r="E498" t="inlineStr">
        <is>
          <t>MORA</t>
        </is>
      </c>
      <c r="G498" t="n">
        <v>6.3</v>
      </c>
      <c r="H498" t="n">
        <v>0</v>
      </c>
      <c r="I498" t="n">
        <v>0</v>
      </c>
      <c r="J498" t="n">
        <v>0</v>
      </c>
      <c r="K498" t="n">
        <v>0</v>
      </c>
      <c r="L498" t="n">
        <v>0</v>
      </c>
      <c r="M498" t="n">
        <v>0</v>
      </c>
      <c r="N498" t="n">
        <v>0</v>
      </c>
      <c r="O498" t="n">
        <v>0</v>
      </c>
      <c r="P498" t="n">
        <v>0</v>
      </c>
      <c r="Q498" t="n">
        <v>0</v>
      </c>
      <c r="R498" s="2" t="inlineStr"/>
    </row>
    <row r="499" ht="15" customHeight="1">
      <c r="A499" t="inlineStr">
        <is>
          <t>A 23586-2023</t>
        </is>
      </c>
      <c r="B499" s="1" t="n">
        <v>45077</v>
      </c>
      <c r="C499" s="1" t="n">
        <v>45915</v>
      </c>
      <c r="D499" t="inlineStr">
        <is>
          <t>DALARNAS LÄN</t>
        </is>
      </c>
      <c r="E499" t="inlineStr">
        <is>
          <t>MORA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39674-2023</t>
        </is>
      </c>
      <c r="B500" s="1" t="n">
        <v>45167</v>
      </c>
      <c r="C500" s="1" t="n">
        <v>45915</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5644-2024</t>
        </is>
      </c>
      <c r="B501" s="1" t="n">
        <v>45334</v>
      </c>
      <c r="C501" s="1" t="n">
        <v>45915</v>
      </c>
      <c r="D501" t="inlineStr">
        <is>
          <t>DALARNAS LÄN</t>
        </is>
      </c>
      <c r="E501" t="inlineStr">
        <is>
          <t>MORA</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53341-2023</t>
        </is>
      </c>
      <c r="B502" s="1" t="n">
        <v>45229</v>
      </c>
      <c r="C502" s="1" t="n">
        <v>45915</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54257-2023</t>
        </is>
      </c>
      <c r="B503" s="1" t="n">
        <v>45232.64195601852</v>
      </c>
      <c r="C503" s="1" t="n">
        <v>45915</v>
      </c>
      <c r="D503" t="inlineStr">
        <is>
          <t>DALARNAS LÄN</t>
        </is>
      </c>
      <c r="E503" t="inlineStr">
        <is>
          <t>MORA</t>
        </is>
      </c>
      <c r="G503" t="n">
        <v>4</v>
      </c>
      <c r="H503" t="n">
        <v>0</v>
      </c>
      <c r="I503" t="n">
        <v>0</v>
      </c>
      <c r="J503" t="n">
        <v>0</v>
      </c>
      <c r="K503" t="n">
        <v>0</v>
      </c>
      <c r="L503" t="n">
        <v>0</v>
      </c>
      <c r="M503" t="n">
        <v>0</v>
      </c>
      <c r="N503" t="n">
        <v>0</v>
      </c>
      <c r="O503" t="n">
        <v>0</v>
      </c>
      <c r="P503" t="n">
        <v>0</v>
      </c>
      <c r="Q503" t="n">
        <v>0</v>
      </c>
      <c r="R503" s="2" t="inlineStr"/>
    </row>
    <row r="504" ht="15" customHeight="1">
      <c r="A504" t="inlineStr">
        <is>
          <t>A 37385-2022</t>
        </is>
      </c>
      <c r="B504" s="1" t="n">
        <v>44806</v>
      </c>
      <c r="C504" s="1" t="n">
        <v>45915</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61217-2023</t>
        </is>
      </c>
      <c r="B505" s="1" t="n">
        <v>45264.43802083333</v>
      </c>
      <c r="C505" s="1" t="n">
        <v>45915</v>
      </c>
      <c r="D505" t="inlineStr">
        <is>
          <t>DALARNAS LÄN</t>
        </is>
      </c>
      <c r="E505" t="inlineStr">
        <is>
          <t>MORA</t>
        </is>
      </c>
      <c r="F505" t="inlineStr">
        <is>
          <t>Allmännings- och besparingsskogar</t>
        </is>
      </c>
      <c r="G505" t="n">
        <v>2</v>
      </c>
      <c r="H505" t="n">
        <v>0</v>
      </c>
      <c r="I505" t="n">
        <v>0</v>
      </c>
      <c r="J505" t="n">
        <v>0</v>
      </c>
      <c r="K505" t="n">
        <v>0</v>
      </c>
      <c r="L505" t="n">
        <v>0</v>
      </c>
      <c r="M505" t="n">
        <v>0</v>
      </c>
      <c r="N505" t="n">
        <v>0</v>
      </c>
      <c r="O505" t="n">
        <v>0</v>
      </c>
      <c r="P505" t="n">
        <v>0</v>
      </c>
      <c r="Q505" t="n">
        <v>0</v>
      </c>
      <c r="R505" s="2" t="inlineStr"/>
    </row>
    <row r="506" ht="15" customHeight="1">
      <c r="A506" t="inlineStr">
        <is>
          <t>A 61218-2023</t>
        </is>
      </c>
      <c r="B506" s="1" t="n">
        <v>45264</v>
      </c>
      <c r="C506" s="1" t="n">
        <v>45915</v>
      </c>
      <c r="D506" t="inlineStr">
        <is>
          <t>DALARNAS LÄN</t>
        </is>
      </c>
      <c r="E506" t="inlineStr">
        <is>
          <t>MORA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45915</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25749-2023</t>
        </is>
      </c>
      <c r="B508" s="1" t="n">
        <v>45090</v>
      </c>
      <c r="C508" s="1" t="n">
        <v>45915</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5001-2025</t>
        </is>
      </c>
      <c r="B509" s="1" t="n">
        <v>45691.36403935185</v>
      </c>
      <c r="C509" s="1" t="n">
        <v>45915</v>
      </c>
      <c r="D509" t="inlineStr">
        <is>
          <t>DALARNAS LÄN</t>
        </is>
      </c>
      <c r="E509" t="inlineStr">
        <is>
          <t>MORA</t>
        </is>
      </c>
      <c r="G509" t="n">
        <v>1.3</v>
      </c>
      <c r="H509" t="n">
        <v>0</v>
      </c>
      <c r="I509" t="n">
        <v>0</v>
      </c>
      <c r="J509" t="n">
        <v>0</v>
      </c>
      <c r="K509" t="n">
        <v>0</v>
      </c>
      <c r="L509" t="n">
        <v>0</v>
      </c>
      <c r="M509" t="n">
        <v>0</v>
      </c>
      <c r="N509" t="n">
        <v>0</v>
      </c>
      <c r="O509" t="n">
        <v>0</v>
      </c>
      <c r="P509" t="n">
        <v>0</v>
      </c>
      <c r="Q509" t="n">
        <v>0</v>
      </c>
      <c r="R509" s="2" t="inlineStr"/>
    </row>
    <row r="510" ht="15" customHeight="1">
      <c r="A510" t="inlineStr">
        <is>
          <t>A 35363-2024</t>
        </is>
      </c>
      <c r="B510" s="1" t="n">
        <v>45531.34050925926</v>
      </c>
      <c r="C510" s="1" t="n">
        <v>45915</v>
      </c>
      <c r="D510" t="inlineStr">
        <is>
          <t>DALARNAS LÄN</t>
        </is>
      </c>
      <c r="E510" t="inlineStr">
        <is>
          <t>MORA</t>
        </is>
      </c>
      <c r="G510" t="n">
        <v>2.5</v>
      </c>
      <c r="H510" t="n">
        <v>0</v>
      </c>
      <c r="I510" t="n">
        <v>0</v>
      </c>
      <c r="J510" t="n">
        <v>0</v>
      </c>
      <c r="K510" t="n">
        <v>0</v>
      </c>
      <c r="L510" t="n">
        <v>0</v>
      </c>
      <c r="M510" t="n">
        <v>0</v>
      </c>
      <c r="N510" t="n">
        <v>0</v>
      </c>
      <c r="O510" t="n">
        <v>0</v>
      </c>
      <c r="P510" t="n">
        <v>0</v>
      </c>
      <c r="Q510" t="n">
        <v>0</v>
      </c>
      <c r="R510" s="2" t="inlineStr"/>
    </row>
    <row r="511" ht="15" customHeight="1">
      <c r="A511" t="inlineStr">
        <is>
          <t>A 58972-2023</t>
        </is>
      </c>
      <c r="B511" s="1" t="n">
        <v>45252</v>
      </c>
      <c r="C511" s="1" t="n">
        <v>45915</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58171-2024</t>
        </is>
      </c>
      <c r="B512" s="1" t="n">
        <v>45632.46545138889</v>
      </c>
      <c r="C512" s="1" t="n">
        <v>45915</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33513-2024</t>
        </is>
      </c>
      <c r="B513" s="1" t="n">
        <v>45519.644375</v>
      </c>
      <c r="C513" s="1" t="n">
        <v>45915</v>
      </c>
      <c r="D513" t="inlineStr">
        <is>
          <t>DALARNAS LÄN</t>
        </is>
      </c>
      <c r="E513" t="inlineStr">
        <is>
          <t>MORA</t>
        </is>
      </c>
      <c r="G513" t="n">
        <v>5.9</v>
      </c>
      <c r="H513" t="n">
        <v>0</v>
      </c>
      <c r="I513" t="n">
        <v>0</v>
      </c>
      <c r="J513" t="n">
        <v>0</v>
      </c>
      <c r="K513" t="n">
        <v>0</v>
      </c>
      <c r="L513" t="n">
        <v>0</v>
      </c>
      <c r="M513" t="n">
        <v>0</v>
      </c>
      <c r="N513" t="n">
        <v>0</v>
      </c>
      <c r="O513" t="n">
        <v>0</v>
      </c>
      <c r="P513" t="n">
        <v>0</v>
      </c>
      <c r="Q513" t="n">
        <v>0</v>
      </c>
      <c r="R513" s="2" t="inlineStr"/>
    </row>
    <row r="514" ht="15" customHeight="1">
      <c r="A514" t="inlineStr">
        <is>
          <t>A 39856-2024</t>
        </is>
      </c>
      <c r="B514" s="1" t="n">
        <v>45553.44084490741</v>
      </c>
      <c r="C514" s="1" t="n">
        <v>45915</v>
      </c>
      <c r="D514" t="inlineStr">
        <is>
          <t>DALARNAS LÄN</t>
        </is>
      </c>
      <c r="E514" t="inlineStr">
        <is>
          <t>MORA</t>
        </is>
      </c>
      <c r="G514" t="n">
        <v>4.8</v>
      </c>
      <c r="H514" t="n">
        <v>0</v>
      </c>
      <c r="I514" t="n">
        <v>0</v>
      </c>
      <c r="J514" t="n">
        <v>0</v>
      </c>
      <c r="K514" t="n">
        <v>0</v>
      </c>
      <c r="L514" t="n">
        <v>0</v>
      </c>
      <c r="M514" t="n">
        <v>0</v>
      </c>
      <c r="N514" t="n">
        <v>0</v>
      </c>
      <c r="O514" t="n">
        <v>0</v>
      </c>
      <c r="P514" t="n">
        <v>0</v>
      </c>
      <c r="Q514" t="n">
        <v>0</v>
      </c>
      <c r="R514" s="2" t="inlineStr"/>
    </row>
    <row r="515" ht="15" customHeight="1">
      <c r="A515" t="inlineStr">
        <is>
          <t>A 54903-2024</t>
        </is>
      </c>
      <c r="B515" s="1" t="n">
        <v>45618</v>
      </c>
      <c r="C515" s="1" t="n">
        <v>45915</v>
      </c>
      <c r="D515" t="inlineStr">
        <is>
          <t>DALARNAS LÄN</t>
        </is>
      </c>
      <c r="E515" t="inlineStr">
        <is>
          <t>MORA</t>
        </is>
      </c>
      <c r="G515" t="n">
        <v>28.2</v>
      </c>
      <c r="H515" t="n">
        <v>0</v>
      </c>
      <c r="I515" t="n">
        <v>0</v>
      </c>
      <c r="J515" t="n">
        <v>0</v>
      </c>
      <c r="K515" t="n">
        <v>0</v>
      </c>
      <c r="L515" t="n">
        <v>0</v>
      </c>
      <c r="M515" t="n">
        <v>0</v>
      </c>
      <c r="N515" t="n">
        <v>0</v>
      </c>
      <c r="O515" t="n">
        <v>0</v>
      </c>
      <c r="P515" t="n">
        <v>0</v>
      </c>
      <c r="Q515" t="n">
        <v>0</v>
      </c>
      <c r="R515" s="2" t="inlineStr"/>
    </row>
    <row r="516" ht="15" customHeight="1">
      <c r="A516" t="inlineStr">
        <is>
          <t>A 59182-2023</t>
        </is>
      </c>
      <c r="B516" s="1" t="n">
        <v>45253</v>
      </c>
      <c r="C516" s="1" t="n">
        <v>45915</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501-2024</t>
        </is>
      </c>
      <c r="B517" s="1" t="n">
        <v>45299</v>
      </c>
      <c r="C517" s="1" t="n">
        <v>45915</v>
      </c>
      <c r="D517" t="inlineStr">
        <is>
          <t>DALARNAS LÄN</t>
        </is>
      </c>
      <c r="E517" t="inlineStr">
        <is>
          <t>MORA</t>
        </is>
      </c>
      <c r="G517" t="n">
        <v>2.5</v>
      </c>
      <c r="H517" t="n">
        <v>0</v>
      </c>
      <c r="I517" t="n">
        <v>0</v>
      </c>
      <c r="J517" t="n">
        <v>0</v>
      </c>
      <c r="K517" t="n">
        <v>0</v>
      </c>
      <c r="L517" t="n">
        <v>0</v>
      </c>
      <c r="M517" t="n">
        <v>0</v>
      </c>
      <c r="N517" t="n">
        <v>0</v>
      </c>
      <c r="O517" t="n">
        <v>0</v>
      </c>
      <c r="P517" t="n">
        <v>0</v>
      </c>
      <c r="Q517" t="n">
        <v>0</v>
      </c>
      <c r="R517" s="2" t="inlineStr"/>
    </row>
    <row r="518" ht="15" customHeight="1">
      <c r="A518" t="inlineStr">
        <is>
          <t>A 64327-2023</t>
        </is>
      </c>
      <c r="B518" s="1" t="n">
        <v>45280</v>
      </c>
      <c r="C518" s="1" t="n">
        <v>45915</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17494-2025</t>
        </is>
      </c>
      <c r="B519" s="1" t="n">
        <v>45757.52033564815</v>
      </c>
      <c r="C519" s="1" t="n">
        <v>45915</v>
      </c>
      <c r="D519" t="inlineStr">
        <is>
          <t>DALARNAS LÄN</t>
        </is>
      </c>
      <c r="E519" t="inlineStr">
        <is>
          <t>MORA</t>
        </is>
      </c>
      <c r="G519" t="n">
        <v>5.3</v>
      </c>
      <c r="H519" t="n">
        <v>0</v>
      </c>
      <c r="I519" t="n">
        <v>0</v>
      </c>
      <c r="J519" t="n">
        <v>0</v>
      </c>
      <c r="K519" t="n">
        <v>0</v>
      </c>
      <c r="L519" t="n">
        <v>0</v>
      </c>
      <c r="M519" t="n">
        <v>0</v>
      </c>
      <c r="N519" t="n">
        <v>0</v>
      </c>
      <c r="O519" t="n">
        <v>0</v>
      </c>
      <c r="P519" t="n">
        <v>0</v>
      </c>
      <c r="Q519" t="n">
        <v>0</v>
      </c>
      <c r="R519" s="2" t="inlineStr"/>
    </row>
    <row r="520" ht="15" customHeight="1">
      <c r="A520" t="inlineStr">
        <is>
          <t>A 34005-2025</t>
        </is>
      </c>
      <c r="B520" s="1" t="n">
        <v>45844.58890046296</v>
      </c>
      <c r="C520" s="1" t="n">
        <v>45915</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58958-2022</t>
        </is>
      </c>
      <c r="B521" s="1" t="n">
        <v>44903.6605324074</v>
      </c>
      <c r="C521" s="1" t="n">
        <v>45915</v>
      </c>
      <c r="D521" t="inlineStr">
        <is>
          <t>DALARNAS LÄN</t>
        </is>
      </c>
      <c r="E521" t="inlineStr">
        <is>
          <t>MORA</t>
        </is>
      </c>
      <c r="G521" t="n">
        <v>1.1</v>
      </c>
      <c r="H521" t="n">
        <v>0</v>
      </c>
      <c r="I521" t="n">
        <v>0</v>
      </c>
      <c r="J521" t="n">
        <v>0</v>
      </c>
      <c r="K521" t="n">
        <v>0</v>
      </c>
      <c r="L521" t="n">
        <v>0</v>
      </c>
      <c r="M521" t="n">
        <v>0</v>
      </c>
      <c r="N521" t="n">
        <v>0</v>
      </c>
      <c r="O521" t="n">
        <v>0</v>
      </c>
      <c r="P521" t="n">
        <v>0</v>
      </c>
      <c r="Q521" t="n">
        <v>0</v>
      </c>
      <c r="R521" s="2" t="inlineStr"/>
    </row>
    <row r="522" ht="15" customHeight="1">
      <c r="A522" t="inlineStr">
        <is>
          <t>A 12987-2024</t>
        </is>
      </c>
      <c r="B522" s="1" t="n">
        <v>45385.55375</v>
      </c>
      <c r="C522" s="1" t="n">
        <v>45915</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29188-2023</t>
        </is>
      </c>
      <c r="B523" s="1" t="n">
        <v>45105.54270833333</v>
      </c>
      <c r="C523" s="1" t="n">
        <v>45915</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442-2024</t>
        </is>
      </c>
      <c r="B524" s="1" t="n">
        <v>45296.60353009259</v>
      </c>
      <c r="C524" s="1" t="n">
        <v>45915</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15172-2025</t>
        </is>
      </c>
      <c r="B525" s="1" t="n">
        <v>45744.50722222222</v>
      </c>
      <c r="C525" s="1" t="n">
        <v>45915</v>
      </c>
      <c r="D525" t="inlineStr">
        <is>
          <t>DALARNAS LÄN</t>
        </is>
      </c>
      <c r="E525" t="inlineStr">
        <is>
          <t>MORA</t>
        </is>
      </c>
      <c r="G525" t="n">
        <v>3.2</v>
      </c>
      <c r="H525" t="n">
        <v>0</v>
      </c>
      <c r="I525" t="n">
        <v>0</v>
      </c>
      <c r="J525" t="n">
        <v>0</v>
      </c>
      <c r="K525" t="n">
        <v>0</v>
      </c>
      <c r="L525" t="n">
        <v>0</v>
      </c>
      <c r="M525" t="n">
        <v>0</v>
      </c>
      <c r="N525" t="n">
        <v>0</v>
      </c>
      <c r="O525" t="n">
        <v>0</v>
      </c>
      <c r="P525" t="n">
        <v>0</v>
      </c>
      <c r="Q525" t="n">
        <v>0</v>
      </c>
      <c r="R525" s="2" t="inlineStr"/>
    </row>
    <row r="526" ht="15" customHeight="1">
      <c r="A526" t="inlineStr">
        <is>
          <t>A 17278-2025</t>
        </is>
      </c>
      <c r="B526" s="1" t="n">
        <v>45756.56131944444</v>
      </c>
      <c r="C526" s="1" t="n">
        <v>45915</v>
      </c>
      <c r="D526" t="inlineStr">
        <is>
          <t>DALARNAS LÄN</t>
        </is>
      </c>
      <c r="E526" t="inlineStr">
        <is>
          <t>MORA</t>
        </is>
      </c>
      <c r="G526" t="n">
        <v>3</v>
      </c>
      <c r="H526" t="n">
        <v>0</v>
      </c>
      <c r="I526" t="n">
        <v>0</v>
      </c>
      <c r="J526" t="n">
        <v>0</v>
      </c>
      <c r="K526" t="n">
        <v>0</v>
      </c>
      <c r="L526" t="n">
        <v>0</v>
      </c>
      <c r="M526" t="n">
        <v>0</v>
      </c>
      <c r="N526" t="n">
        <v>0</v>
      </c>
      <c r="O526" t="n">
        <v>0</v>
      </c>
      <c r="P526" t="n">
        <v>0</v>
      </c>
      <c r="Q526" t="n">
        <v>0</v>
      </c>
      <c r="R526" s="2" t="inlineStr"/>
    </row>
    <row r="527" ht="15" customHeight="1">
      <c r="A527" t="inlineStr">
        <is>
          <t>A 33627-2024</t>
        </is>
      </c>
      <c r="B527" s="1" t="n">
        <v>45520</v>
      </c>
      <c r="C527" s="1" t="n">
        <v>45915</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34382-2025</t>
        </is>
      </c>
      <c r="B528" s="1" t="n">
        <v>45846</v>
      </c>
      <c r="C528" s="1" t="n">
        <v>45915</v>
      </c>
      <c r="D528" t="inlineStr">
        <is>
          <t>DALARNAS LÄN</t>
        </is>
      </c>
      <c r="E528" t="inlineStr">
        <is>
          <t>MORA</t>
        </is>
      </c>
      <c r="G528" t="n">
        <v>0.7</v>
      </c>
      <c r="H528" t="n">
        <v>0</v>
      </c>
      <c r="I528" t="n">
        <v>0</v>
      </c>
      <c r="J528" t="n">
        <v>0</v>
      </c>
      <c r="K528" t="n">
        <v>0</v>
      </c>
      <c r="L528" t="n">
        <v>0</v>
      </c>
      <c r="M528" t="n">
        <v>0</v>
      </c>
      <c r="N528" t="n">
        <v>0</v>
      </c>
      <c r="O528" t="n">
        <v>0</v>
      </c>
      <c r="P528" t="n">
        <v>0</v>
      </c>
      <c r="Q528" t="n">
        <v>0</v>
      </c>
      <c r="R528" s="2" t="inlineStr"/>
    </row>
    <row r="529" ht="15" customHeight="1">
      <c r="A529" t="inlineStr">
        <is>
          <t>A 34182-2025</t>
        </is>
      </c>
      <c r="B529" s="1" t="n">
        <v>45845.60520833333</v>
      </c>
      <c r="C529" s="1" t="n">
        <v>45915</v>
      </c>
      <c r="D529" t="inlineStr">
        <is>
          <t>DALARNAS LÄN</t>
        </is>
      </c>
      <c r="E529" t="inlineStr">
        <is>
          <t>MORA</t>
        </is>
      </c>
      <c r="G529" t="n">
        <v>3.4</v>
      </c>
      <c r="H529" t="n">
        <v>0</v>
      </c>
      <c r="I529" t="n">
        <v>0</v>
      </c>
      <c r="J529" t="n">
        <v>0</v>
      </c>
      <c r="K529" t="n">
        <v>0</v>
      </c>
      <c r="L529" t="n">
        <v>0</v>
      </c>
      <c r="M529" t="n">
        <v>0</v>
      </c>
      <c r="N529" t="n">
        <v>0</v>
      </c>
      <c r="O529" t="n">
        <v>0</v>
      </c>
      <c r="P529" t="n">
        <v>0</v>
      </c>
      <c r="Q529" t="n">
        <v>0</v>
      </c>
      <c r="R529" s="2" t="inlineStr"/>
    </row>
    <row r="530" ht="15" customHeight="1">
      <c r="A530" t="inlineStr">
        <is>
          <t>A 60674-2023</t>
        </is>
      </c>
      <c r="B530" s="1" t="n">
        <v>45260.46609953704</v>
      </c>
      <c r="C530" s="1" t="n">
        <v>45915</v>
      </c>
      <c r="D530" t="inlineStr">
        <is>
          <t>DALARNAS LÄN</t>
        </is>
      </c>
      <c r="E530" t="inlineStr">
        <is>
          <t>MORA</t>
        </is>
      </c>
      <c r="G530" t="n">
        <v>2.9</v>
      </c>
      <c r="H530" t="n">
        <v>0</v>
      </c>
      <c r="I530" t="n">
        <v>0</v>
      </c>
      <c r="J530" t="n">
        <v>0</v>
      </c>
      <c r="K530" t="n">
        <v>0</v>
      </c>
      <c r="L530" t="n">
        <v>0</v>
      </c>
      <c r="M530" t="n">
        <v>0</v>
      </c>
      <c r="N530" t="n">
        <v>0</v>
      </c>
      <c r="O530" t="n">
        <v>0</v>
      </c>
      <c r="P530" t="n">
        <v>0</v>
      </c>
      <c r="Q530" t="n">
        <v>0</v>
      </c>
      <c r="R530" s="2" t="inlineStr"/>
    </row>
    <row r="531" ht="15" customHeight="1">
      <c r="A531" t="inlineStr">
        <is>
          <t>A 61293-2022</t>
        </is>
      </c>
      <c r="B531" s="1" t="n">
        <v>44915.62751157407</v>
      </c>
      <c r="C531" s="1" t="n">
        <v>45915</v>
      </c>
      <c r="D531" t="inlineStr">
        <is>
          <t>DALARNAS LÄN</t>
        </is>
      </c>
      <c r="E531" t="inlineStr">
        <is>
          <t>MORA</t>
        </is>
      </c>
      <c r="G531" t="n">
        <v>0.3</v>
      </c>
      <c r="H531" t="n">
        <v>0</v>
      </c>
      <c r="I531" t="n">
        <v>0</v>
      </c>
      <c r="J531" t="n">
        <v>0</v>
      </c>
      <c r="K531" t="n">
        <v>0</v>
      </c>
      <c r="L531" t="n">
        <v>0</v>
      </c>
      <c r="M531" t="n">
        <v>0</v>
      </c>
      <c r="N531" t="n">
        <v>0</v>
      </c>
      <c r="O531" t="n">
        <v>0</v>
      </c>
      <c r="P531" t="n">
        <v>0</v>
      </c>
      <c r="Q531" t="n">
        <v>0</v>
      </c>
      <c r="R531" s="2" t="inlineStr"/>
    </row>
    <row r="532" ht="15" customHeight="1">
      <c r="A532" t="inlineStr">
        <is>
          <t>A 60360-2023</t>
        </is>
      </c>
      <c r="B532" s="1" t="n">
        <v>45259</v>
      </c>
      <c r="C532" s="1" t="n">
        <v>45915</v>
      </c>
      <c r="D532" t="inlineStr">
        <is>
          <t>DALARNAS LÄN</t>
        </is>
      </c>
      <c r="E532" t="inlineStr">
        <is>
          <t>MORA</t>
        </is>
      </c>
      <c r="G532" t="n">
        <v>2.9</v>
      </c>
      <c r="H532" t="n">
        <v>0</v>
      </c>
      <c r="I532" t="n">
        <v>0</v>
      </c>
      <c r="J532" t="n">
        <v>0</v>
      </c>
      <c r="K532" t="n">
        <v>0</v>
      </c>
      <c r="L532" t="n">
        <v>0</v>
      </c>
      <c r="M532" t="n">
        <v>0</v>
      </c>
      <c r="N532" t="n">
        <v>0</v>
      </c>
      <c r="O532" t="n">
        <v>0</v>
      </c>
      <c r="P532" t="n">
        <v>0</v>
      </c>
      <c r="Q532" t="n">
        <v>0</v>
      </c>
      <c r="R532" s="2" t="inlineStr"/>
    </row>
    <row r="533" ht="15" customHeight="1">
      <c r="A533" t="inlineStr">
        <is>
          <t>A 18139-2025</t>
        </is>
      </c>
      <c r="B533" s="1" t="n">
        <v>45761.60459490741</v>
      </c>
      <c r="C533" s="1" t="n">
        <v>45915</v>
      </c>
      <c r="D533" t="inlineStr">
        <is>
          <t>DALARNAS LÄN</t>
        </is>
      </c>
      <c r="E533" t="inlineStr">
        <is>
          <t>MORA</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39483-2025</t>
        </is>
      </c>
      <c r="B534" s="1" t="n">
        <v>45890.35881944445</v>
      </c>
      <c r="C534" s="1" t="n">
        <v>45915</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39481-2025</t>
        </is>
      </c>
      <c r="B535" s="1" t="n">
        <v>45890.35545138889</v>
      </c>
      <c r="C535" s="1" t="n">
        <v>45915</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14040-2023</t>
        </is>
      </c>
      <c r="B536" s="1" t="n">
        <v>45008.64575231481</v>
      </c>
      <c r="C536" s="1" t="n">
        <v>45915</v>
      </c>
      <c r="D536" t="inlineStr">
        <is>
          <t>DALARNAS LÄN</t>
        </is>
      </c>
      <c r="E536" t="inlineStr">
        <is>
          <t>MORA</t>
        </is>
      </c>
      <c r="G536" t="n">
        <v>1.3</v>
      </c>
      <c r="H536" t="n">
        <v>0</v>
      </c>
      <c r="I536" t="n">
        <v>0</v>
      </c>
      <c r="J536" t="n">
        <v>0</v>
      </c>
      <c r="K536" t="n">
        <v>0</v>
      </c>
      <c r="L536" t="n">
        <v>0</v>
      </c>
      <c r="M536" t="n">
        <v>0</v>
      </c>
      <c r="N536" t="n">
        <v>0</v>
      </c>
      <c r="O536" t="n">
        <v>0</v>
      </c>
      <c r="P536" t="n">
        <v>0</v>
      </c>
      <c r="Q536" t="n">
        <v>0</v>
      </c>
      <c r="R536" s="2" t="inlineStr"/>
    </row>
    <row r="537" ht="15" customHeight="1">
      <c r="A537" t="inlineStr">
        <is>
          <t>A 25499-2024</t>
        </is>
      </c>
      <c r="B537" s="1" t="n">
        <v>45463</v>
      </c>
      <c r="C537" s="1" t="n">
        <v>45915</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55331-2022</t>
        </is>
      </c>
      <c r="B538" s="1" t="n">
        <v>44887.43714120371</v>
      </c>
      <c r="C538" s="1" t="n">
        <v>45915</v>
      </c>
      <c r="D538" t="inlineStr">
        <is>
          <t>DALARNAS LÄN</t>
        </is>
      </c>
      <c r="E538" t="inlineStr">
        <is>
          <t>MORA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34482-2025</t>
        </is>
      </c>
      <c r="B539" s="1" t="n">
        <v>45847.38469907407</v>
      </c>
      <c r="C539" s="1" t="n">
        <v>45915</v>
      </c>
      <c r="D539" t="inlineStr">
        <is>
          <t>DALARNAS LÄN</t>
        </is>
      </c>
      <c r="E539" t="inlineStr">
        <is>
          <t>MORA</t>
        </is>
      </c>
      <c r="G539" t="n">
        <v>1.5</v>
      </c>
      <c r="H539" t="n">
        <v>0</v>
      </c>
      <c r="I539" t="n">
        <v>0</v>
      </c>
      <c r="J539" t="n">
        <v>0</v>
      </c>
      <c r="K539" t="n">
        <v>0</v>
      </c>
      <c r="L539" t="n">
        <v>0</v>
      </c>
      <c r="M539" t="n">
        <v>0</v>
      </c>
      <c r="N539" t="n">
        <v>0</v>
      </c>
      <c r="O539" t="n">
        <v>0</v>
      </c>
      <c r="P539" t="n">
        <v>0</v>
      </c>
      <c r="Q539" t="n">
        <v>0</v>
      </c>
      <c r="R539" s="2" t="inlineStr"/>
    </row>
    <row r="540" ht="15" customHeight="1">
      <c r="A540" t="inlineStr">
        <is>
          <t>A 45475-2023</t>
        </is>
      </c>
      <c r="B540" s="1" t="n">
        <v>45188</v>
      </c>
      <c r="C540" s="1" t="n">
        <v>45915</v>
      </c>
      <c r="D540" t="inlineStr">
        <is>
          <t>DALARNAS LÄN</t>
        </is>
      </c>
      <c r="E540" t="inlineStr">
        <is>
          <t>MORA</t>
        </is>
      </c>
      <c r="G540" t="n">
        <v>1.1</v>
      </c>
      <c r="H540" t="n">
        <v>0</v>
      </c>
      <c r="I540" t="n">
        <v>0</v>
      </c>
      <c r="J540" t="n">
        <v>0</v>
      </c>
      <c r="K540" t="n">
        <v>0</v>
      </c>
      <c r="L540" t="n">
        <v>0</v>
      </c>
      <c r="M540" t="n">
        <v>0</v>
      </c>
      <c r="N540" t="n">
        <v>0</v>
      </c>
      <c r="O540" t="n">
        <v>0</v>
      </c>
      <c r="P540" t="n">
        <v>0</v>
      </c>
      <c r="Q540" t="n">
        <v>0</v>
      </c>
      <c r="R540" s="2" t="inlineStr"/>
    </row>
    <row r="541" ht="15" customHeight="1">
      <c r="A541" t="inlineStr">
        <is>
          <t>A 39456-2025</t>
        </is>
      </c>
      <c r="B541" s="1" t="n">
        <v>45889.76200231481</v>
      </c>
      <c r="C541" s="1" t="n">
        <v>45915</v>
      </c>
      <c r="D541" t="inlineStr">
        <is>
          <t>DALARNAS LÄN</t>
        </is>
      </c>
      <c r="E541" t="inlineStr">
        <is>
          <t>MORA</t>
        </is>
      </c>
      <c r="F541" t="inlineStr">
        <is>
          <t>Bergvik skog öst AB</t>
        </is>
      </c>
      <c r="G541" t="n">
        <v>16.7</v>
      </c>
      <c r="H541" t="n">
        <v>0</v>
      </c>
      <c r="I541" t="n">
        <v>0</v>
      </c>
      <c r="J541" t="n">
        <v>0</v>
      </c>
      <c r="K541" t="n">
        <v>0</v>
      </c>
      <c r="L541" t="n">
        <v>0</v>
      </c>
      <c r="M541" t="n">
        <v>0</v>
      </c>
      <c r="N541" t="n">
        <v>0</v>
      </c>
      <c r="O541" t="n">
        <v>0</v>
      </c>
      <c r="P541" t="n">
        <v>0</v>
      </c>
      <c r="Q541" t="n">
        <v>0</v>
      </c>
      <c r="R541" s="2" t="inlineStr"/>
    </row>
    <row r="542" ht="15" customHeight="1">
      <c r="A542" t="inlineStr">
        <is>
          <t>A 11919-2024</t>
        </is>
      </c>
      <c r="B542" s="1" t="n">
        <v>45376.61019675926</v>
      </c>
      <c r="C542" s="1" t="n">
        <v>45915</v>
      </c>
      <c r="D542" t="inlineStr">
        <is>
          <t>DALARNAS LÄN</t>
        </is>
      </c>
      <c r="E542" t="inlineStr">
        <is>
          <t>MORA</t>
        </is>
      </c>
      <c r="G542" t="n">
        <v>3.5</v>
      </c>
      <c r="H542" t="n">
        <v>0</v>
      </c>
      <c r="I542" t="n">
        <v>0</v>
      </c>
      <c r="J542" t="n">
        <v>0</v>
      </c>
      <c r="K542" t="n">
        <v>0</v>
      </c>
      <c r="L542" t="n">
        <v>0</v>
      </c>
      <c r="M542" t="n">
        <v>0</v>
      </c>
      <c r="N542" t="n">
        <v>0</v>
      </c>
      <c r="O542" t="n">
        <v>0</v>
      </c>
      <c r="P542" t="n">
        <v>0</v>
      </c>
      <c r="Q542" t="n">
        <v>0</v>
      </c>
      <c r="R542" s="2" t="inlineStr"/>
    </row>
    <row r="543" ht="15" customHeight="1">
      <c r="A543" t="inlineStr">
        <is>
          <t>A 39478-2025</t>
        </is>
      </c>
      <c r="B543" s="1" t="n">
        <v>45890.3469212963</v>
      </c>
      <c r="C543" s="1" t="n">
        <v>45915</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39480-2025</t>
        </is>
      </c>
      <c r="B544" s="1" t="n">
        <v>45890.35232638889</v>
      </c>
      <c r="C544" s="1" t="n">
        <v>45915</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40147-2025</t>
        </is>
      </c>
      <c r="B545" s="1" t="n">
        <v>45894.57918981482</v>
      </c>
      <c r="C545" s="1" t="n">
        <v>45915</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61405-2023</t>
        </is>
      </c>
      <c r="B546" s="1" t="n">
        <v>45264.65987268519</v>
      </c>
      <c r="C546" s="1" t="n">
        <v>45915</v>
      </c>
      <c r="D546" t="inlineStr">
        <is>
          <t>DALARNAS LÄN</t>
        </is>
      </c>
      <c r="E546" t="inlineStr">
        <is>
          <t>MORA</t>
        </is>
      </c>
      <c r="G546" t="n">
        <v>0.4</v>
      </c>
      <c r="H546" t="n">
        <v>0</v>
      </c>
      <c r="I546" t="n">
        <v>0</v>
      </c>
      <c r="J546" t="n">
        <v>0</v>
      </c>
      <c r="K546" t="n">
        <v>0</v>
      </c>
      <c r="L546" t="n">
        <v>0</v>
      </c>
      <c r="M546" t="n">
        <v>0</v>
      </c>
      <c r="N546" t="n">
        <v>0</v>
      </c>
      <c r="O546" t="n">
        <v>0</v>
      </c>
      <c r="P546" t="n">
        <v>0</v>
      </c>
      <c r="Q546" t="n">
        <v>0</v>
      </c>
      <c r="R546" s="2" t="inlineStr"/>
    </row>
    <row r="547" ht="15" customHeight="1">
      <c r="A547" t="inlineStr">
        <is>
          <t>A 45315-2024</t>
        </is>
      </c>
      <c r="B547" s="1" t="n">
        <v>45576.43782407408</v>
      </c>
      <c r="C547" s="1" t="n">
        <v>45915</v>
      </c>
      <c r="D547" t="inlineStr">
        <is>
          <t>DALARNAS LÄN</t>
        </is>
      </c>
      <c r="E547" t="inlineStr">
        <is>
          <t>MORA</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34933-2025</t>
        </is>
      </c>
      <c r="B548" s="1" t="n">
        <v>45849.57297453703</v>
      </c>
      <c r="C548" s="1" t="n">
        <v>45915</v>
      </c>
      <c r="D548" t="inlineStr">
        <is>
          <t>DALARNAS LÄN</t>
        </is>
      </c>
      <c r="E548" t="inlineStr">
        <is>
          <t>MORA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40140-2025</t>
        </is>
      </c>
      <c r="B549" s="1" t="n">
        <v>45894.57016203704</v>
      </c>
      <c r="C549" s="1" t="n">
        <v>45915</v>
      </c>
      <c r="D549" t="inlineStr">
        <is>
          <t>DALARNAS LÄN</t>
        </is>
      </c>
      <c r="E549" t="inlineStr">
        <is>
          <t>MORA</t>
        </is>
      </c>
      <c r="G549" t="n">
        <v>0.7</v>
      </c>
      <c r="H549" t="n">
        <v>0</v>
      </c>
      <c r="I549" t="n">
        <v>0</v>
      </c>
      <c r="J549" t="n">
        <v>0</v>
      </c>
      <c r="K549" t="n">
        <v>0</v>
      </c>
      <c r="L549" t="n">
        <v>0</v>
      </c>
      <c r="M549" t="n">
        <v>0</v>
      </c>
      <c r="N549" t="n">
        <v>0</v>
      </c>
      <c r="O549" t="n">
        <v>0</v>
      </c>
      <c r="P549" t="n">
        <v>0</v>
      </c>
      <c r="Q549" t="n">
        <v>0</v>
      </c>
      <c r="R549" s="2" t="inlineStr"/>
    </row>
    <row r="550" ht="15" customHeight="1">
      <c r="A550" t="inlineStr">
        <is>
          <t>A 40142-2025</t>
        </is>
      </c>
      <c r="B550" s="1" t="n">
        <v>45894.57202546296</v>
      </c>
      <c r="C550" s="1" t="n">
        <v>45915</v>
      </c>
      <c r="D550" t="inlineStr">
        <is>
          <t>DALARNAS LÄN</t>
        </is>
      </c>
      <c r="E550" t="inlineStr">
        <is>
          <t>MORA</t>
        </is>
      </c>
      <c r="G550" t="n">
        <v>0.4</v>
      </c>
      <c r="H550" t="n">
        <v>0</v>
      </c>
      <c r="I550" t="n">
        <v>0</v>
      </c>
      <c r="J550" t="n">
        <v>0</v>
      </c>
      <c r="K550" t="n">
        <v>0</v>
      </c>
      <c r="L550" t="n">
        <v>0</v>
      </c>
      <c r="M550" t="n">
        <v>0</v>
      </c>
      <c r="N550" t="n">
        <v>0</v>
      </c>
      <c r="O550" t="n">
        <v>0</v>
      </c>
      <c r="P550" t="n">
        <v>0</v>
      </c>
      <c r="Q550" t="n">
        <v>0</v>
      </c>
      <c r="R550" s="2" t="inlineStr"/>
    </row>
    <row r="551" ht="15" customHeight="1">
      <c r="A551" t="inlineStr">
        <is>
          <t>A 17529-2023</t>
        </is>
      </c>
      <c r="B551" s="1" t="n">
        <v>45036.46804398148</v>
      </c>
      <c r="C551" s="1" t="n">
        <v>45915</v>
      </c>
      <c r="D551" t="inlineStr">
        <is>
          <t>DALARNAS LÄN</t>
        </is>
      </c>
      <c r="E551" t="inlineStr">
        <is>
          <t>MORA</t>
        </is>
      </c>
      <c r="G551" t="n">
        <v>6</v>
      </c>
      <c r="H551" t="n">
        <v>0</v>
      </c>
      <c r="I551" t="n">
        <v>0</v>
      </c>
      <c r="J551" t="n">
        <v>0</v>
      </c>
      <c r="K551" t="n">
        <v>0</v>
      </c>
      <c r="L551" t="n">
        <v>0</v>
      </c>
      <c r="M551" t="n">
        <v>0</v>
      </c>
      <c r="N551" t="n">
        <v>0</v>
      </c>
      <c r="O551" t="n">
        <v>0</v>
      </c>
      <c r="P551" t="n">
        <v>0</v>
      </c>
      <c r="Q551" t="n">
        <v>0</v>
      </c>
      <c r="R551" s="2" t="inlineStr"/>
    </row>
    <row r="552" ht="15" customHeight="1">
      <c r="A552" t="inlineStr">
        <is>
          <t>A 39787-2025</t>
        </is>
      </c>
      <c r="B552" s="1" t="n">
        <v>45891</v>
      </c>
      <c r="C552" s="1" t="n">
        <v>45915</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4209-2023</t>
        </is>
      </c>
      <c r="B553" s="1" t="n">
        <v>44953</v>
      </c>
      <c r="C553" s="1" t="n">
        <v>45915</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39824-2025</t>
        </is>
      </c>
      <c r="B554" s="1" t="n">
        <v>45891</v>
      </c>
      <c r="C554" s="1" t="n">
        <v>45915</v>
      </c>
      <c r="D554" t="inlineStr">
        <is>
          <t>DALARNAS LÄN</t>
        </is>
      </c>
      <c r="E554" t="inlineStr">
        <is>
          <t>MORA</t>
        </is>
      </c>
      <c r="G554" t="n">
        <v>2</v>
      </c>
      <c r="H554" t="n">
        <v>0</v>
      </c>
      <c r="I554" t="n">
        <v>0</v>
      </c>
      <c r="J554" t="n">
        <v>0</v>
      </c>
      <c r="K554" t="n">
        <v>0</v>
      </c>
      <c r="L554" t="n">
        <v>0</v>
      </c>
      <c r="M554" t="n">
        <v>0</v>
      </c>
      <c r="N554" t="n">
        <v>0</v>
      </c>
      <c r="O554" t="n">
        <v>0</v>
      </c>
      <c r="P554" t="n">
        <v>0</v>
      </c>
      <c r="Q554" t="n">
        <v>0</v>
      </c>
      <c r="R554" s="2" t="inlineStr"/>
    </row>
    <row r="555" ht="15" customHeight="1">
      <c r="A555" t="inlineStr">
        <is>
          <t>A 35121-2025</t>
        </is>
      </c>
      <c r="B555" s="1" t="n">
        <v>45852.60936342592</v>
      </c>
      <c r="C555" s="1" t="n">
        <v>45915</v>
      </c>
      <c r="D555" t="inlineStr">
        <is>
          <t>DALARNAS LÄN</t>
        </is>
      </c>
      <c r="E555" t="inlineStr">
        <is>
          <t>MORA</t>
        </is>
      </c>
      <c r="F555" t="inlineStr">
        <is>
          <t>Bergvik skog öst AB</t>
        </is>
      </c>
      <c r="G555" t="n">
        <v>15.9</v>
      </c>
      <c r="H555" t="n">
        <v>0</v>
      </c>
      <c r="I555" t="n">
        <v>0</v>
      </c>
      <c r="J555" t="n">
        <v>0</v>
      </c>
      <c r="K555" t="n">
        <v>0</v>
      </c>
      <c r="L555" t="n">
        <v>0</v>
      </c>
      <c r="M555" t="n">
        <v>0</v>
      </c>
      <c r="N555" t="n">
        <v>0</v>
      </c>
      <c r="O555" t="n">
        <v>0</v>
      </c>
      <c r="P555" t="n">
        <v>0</v>
      </c>
      <c r="Q555" t="n">
        <v>0</v>
      </c>
      <c r="R555" s="2" t="inlineStr"/>
    </row>
    <row r="556" ht="15" customHeight="1">
      <c r="A556" t="inlineStr">
        <is>
          <t>A 40660-2025</t>
        </is>
      </c>
      <c r="B556" s="1" t="n">
        <v>45896.64631944444</v>
      </c>
      <c r="C556" s="1" t="n">
        <v>45915</v>
      </c>
      <c r="D556" t="inlineStr">
        <is>
          <t>DALARNAS LÄN</t>
        </is>
      </c>
      <c r="E556" t="inlineStr">
        <is>
          <t>MORA</t>
        </is>
      </c>
      <c r="F556" t="inlineStr">
        <is>
          <t>Bergvik skog väst AB</t>
        </is>
      </c>
      <c r="G556" t="n">
        <v>5.4</v>
      </c>
      <c r="H556" t="n">
        <v>0</v>
      </c>
      <c r="I556" t="n">
        <v>0</v>
      </c>
      <c r="J556" t="n">
        <v>0</v>
      </c>
      <c r="K556" t="n">
        <v>0</v>
      </c>
      <c r="L556" t="n">
        <v>0</v>
      </c>
      <c r="M556" t="n">
        <v>0</v>
      </c>
      <c r="N556" t="n">
        <v>0</v>
      </c>
      <c r="O556" t="n">
        <v>0</v>
      </c>
      <c r="P556" t="n">
        <v>0</v>
      </c>
      <c r="Q556" t="n">
        <v>0</v>
      </c>
      <c r="R556" s="2" t="inlineStr"/>
    </row>
    <row r="557" ht="15" customHeight="1">
      <c r="A557" t="inlineStr">
        <is>
          <t>A 40661-2025</t>
        </is>
      </c>
      <c r="B557" s="1" t="n">
        <v>45896.64715277778</v>
      </c>
      <c r="C557" s="1" t="n">
        <v>45915</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8146-2021</t>
        </is>
      </c>
      <c r="B558" s="1" t="n">
        <v>44244</v>
      </c>
      <c r="C558" s="1" t="n">
        <v>45915</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40471-2025</t>
        </is>
      </c>
      <c r="B559" s="1" t="n">
        <v>45895.67356481482</v>
      </c>
      <c r="C559" s="1" t="n">
        <v>45915</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41200-2025</t>
        </is>
      </c>
      <c r="B560" s="1" t="n">
        <v>45898.5738425926</v>
      </c>
      <c r="C560" s="1" t="n">
        <v>45915</v>
      </c>
      <c r="D560" t="inlineStr">
        <is>
          <t>DALARNAS LÄN</t>
        </is>
      </c>
      <c r="E560" t="inlineStr">
        <is>
          <t>MORA</t>
        </is>
      </c>
      <c r="G560" t="n">
        <v>8.9</v>
      </c>
      <c r="H560" t="n">
        <v>0</v>
      </c>
      <c r="I560" t="n">
        <v>0</v>
      </c>
      <c r="J560" t="n">
        <v>0</v>
      </c>
      <c r="K560" t="n">
        <v>0</v>
      </c>
      <c r="L560" t="n">
        <v>0</v>
      </c>
      <c r="M560" t="n">
        <v>0</v>
      </c>
      <c r="N560" t="n">
        <v>0</v>
      </c>
      <c r="O560" t="n">
        <v>0</v>
      </c>
      <c r="P560" t="n">
        <v>0</v>
      </c>
      <c r="Q560" t="n">
        <v>0</v>
      </c>
      <c r="R560" s="2" t="inlineStr"/>
    </row>
    <row r="561" ht="15" customHeight="1">
      <c r="A561" t="inlineStr">
        <is>
          <t>A 40805-2025</t>
        </is>
      </c>
      <c r="B561" s="1" t="n">
        <v>45897.46659722222</v>
      </c>
      <c r="C561" s="1" t="n">
        <v>45915</v>
      </c>
      <c r="D561" t="inlineStr">
        <is>
          <t>DALARNAS LÄN</t>
        </is>
      </c>
      <c r="E561" t="inlineStr">
        <is>
          <t>MORA</t>
        </is>
      </c>
      <c r="G561" t="n">
        <v>1.6</v>
      </c>
      <c r="H561" t="n">
        <v>0</v>
      </c>
      <c r="I561" t="n">
        <v>0</v>
      </c>
      <c r="J561" t="n">
        <v>0</v>
      </c>
      <c r="K561" t="n">
        <v>0</v>
      </c>
      <c r="L561" t="n">
        <v>0</v>
      </c>
      <c r="M561" t="n">
        <v>0</v>
      </c>
      <c r="N561" t="n">
        <v>0</v>
      </c>
      <c r="O561" t="n">
        <v>0</v>
      </c>
      <c r="P561" t="n">
        <v>0</v>
      </c>
      <c r="Q561" t="n">
        <v>0</v>
      </c>
      <c r="R561" s="2" t="inlineStr"/>
    </row>
    <row r="562" ht="15" customHeight="1">
      <c r="A562" t="inlineStr">
        <is>
          <t>A 39344-2024</t>
        </is>
      </c>
      <c r="B562" s="1" t="n">
        <v>45551.44503472222</v>
      </c>
      <c r="C562" s="1" t="n">
        <v>45915</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41175-2025</t>
        </is>
      </c>
      <c r="B563" s="1" t="n">
        <v>45898.55165509259</v>
      </c>
      <c r="C563" s="1" t="n">
        <v>45915</v>
      </c>
      <c r="D563" t="inlineStr">
        <is>
          <t>DALARNAS LÄN</t>
        </is>
      </c>
      <c r="E563" t="inlineStr">
        <is>
          <t>MORA</t>
        </is>
      </c>
      <c r="G563" t="n">
        <v>4.5</v>
      </c>
      <c r="H563" t="n">
        <v>0</v>
      </c>
      <c r="I563" t="n">
        <v>0</v>
      </c>
      <c r="J563" t="n">
        <v>0</v>
      </c>
      <c r="K563" t="n">
        <v>0</v>
      </c>
      <c r="L563" t="n">
        <v>0</v>
      </c>
      <c r="M563" t="n">
        <v>0</v>
      </c>
      <c r="N563" t="n">
        <v>0</v>
      </c>
      <c r="O563" t="n">
        <v>0</v>
      </c>
      <c r="P563" t="n">
        <v>0</v>
      </c>
      <c r="Q563" t="n">
        <v>0</v>
      </c>
      <c r="R563" s="2" t="inlineStr"/>
    </row>
    <row r="564" ht="15" customHeight="1">
      <c r="A564" t="inlineStr">
        <is>
          <t>A 26314-2021</t>
        </is>
      </c>
      <c r="B564" s="1" t="n">
        <v>44347</v>
      </c>
      <c r="C564" s="1" t="n">
        <v>45915</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35407-2025</t>
        </is>
      </c>
      <c r="B565" s="1" t="n">
        <v>45855.35989583333</v>
      </c>
      <c r="C565" s="1" t="n">
        <v>45915</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35611-2025</t>
        </is>
      </c>
      <c r="B566" s="1" t="n">
        <v>45859.35384259259</v>
      </c>
      <c r="C566" s="1" t="n">
        <v>45915</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41794-2025</t>
        </is>
      </c>
      <c r="B567" s="1" t="n">
        <v>45902.60008101852</v>
      </c>
      <c r="C567" s="1" t="n">
        <v>45915</v>
      </c>
      <c r="D567" t="inlineStr">
        <is>
          <t>DALARNAS LÄN</t>
        </is>
      </c>
      <c r="E567" t="inlineStr">
        <is>
          <t>MORA</t>
        </is>
      </c>
      <c r="G567" t="n">
        <v>14.4</v>
      </c>
      <c r="H567" t="n">
        <v>0</v>
      </c>
      <c r="I567" t="n">
        <v>0</v>
      </c>
      <c r="J567" t="n">
        <v>0</v>
      </c>
      <c r="K567" t="n">
        <v>0</v>
      </c>
      <c r="L567" t="n">
        <v>0</v>
      </c>
      <c r="M567" t="n">
        <v>0</v>
      </c>
      <c r="N567" t="n">
        <v>0</v>
      </c>
      <c r="O567" t="n">
        <v>0</v>
      </c>
      <c r="P567" t="n">
        <v>0</v>
      </c>
      <c r="Q567" t="n">
        <v>0</v>
      </c>
      <c r="R567" s="2" t="inlineStr"/>
    </row>
    <row r="568" ht="15" customHeight="1">
      <c r="A568" t="inlineStr">
        <is>
          <t>A 18559-2024</t>
        </is>
      </c>
      <c r="B568" s="1" t="n">
        <v>45425.66265046296</v>
      </c>
      <c r="C568" s="1" t="n">
        <v>45915</v>
      </c>
      <c r="D568" t="inlineStr">
        <is>
          <t>DALARNAS LÄN</t>
        </is>
      </c>
      <c r="E568" t="inlineStr">
        <is>
          <t>MORA</t>
        </is>
      </c>
      <c r="G568" t="n">
        <v>3.6</v>
      </c>
      <c r="H568" t="n">
        <v>0</v>
      </c>
      <c r="I568" t="n">
        <v>0</v>
      </c>
      <c r="J568" t="n">
        <v>0</v>
      </c>
      <c r="K568" t="n">
        <v>0</v>
      </c>
      <c r="L568" t="n">
        <v>0</v>
      </c>
      <c r="M568" t="n">
        <v>0</v>
      </c>
      <c r="N568" t="n">
        <v>0</v>
      </c>
      <c r="O568" t="n">
        <v>0</v>
      </c>
      <c r="P568" t="n">
        <v>0</v>
      </c>
      <c r="Q568" t="n">
        <v>0</v>
      </c>
      <c r="R568" s="2" t="inlineStr"/>
    </row>
    <row r="569" ht="15" customHeight="1">
      <c r="A569" t="inlineStr">
        <is>
          <t>A 41783-2025</t>
        </is>
      </c>
      <c r="B569" s="1" t="n">
        <v>45902.58721064815</v>
      </c>
      <c r="C569" s="1" t="n">
        <v>45915</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35622-2025</t>
        </is>
      </c>
      <c r="B570" s="1" t="n">
        <v>45859</v>
      </c>
      <c r="C570" s="1" t="n">
        <v>45915</v>
      </c>
      <c r="D570" t="inlineStr">
        <is>
          <t>DALARNAS LÄN</t>
        </is>
      </c>
      <c r="E570" t="inlineStr">
        <is>
          <t>MORA</t>
        </is>
      </c>
      <c r="F570" t="inlineStr">
        <is>
          <t>Bergvik skog öst AB</t>
        </is>
      </c>
      <c r="G570" t="n">
        <v>5.8</v>
      </c>
      <c r="H570" t="n">
        <v>0</v>
      </c>
      <c r="I570" t="n">
        <v>0</v>
      </c>
      <c r="J570" t="n">
        <v>0</v>
      </c>
      <c r="K570" t="n">
        <v>0</v>
      </c>
      <c r="L570" t="n">
        <v>0</v>
      </c>
      <c r="M570" t="n">
        <v>0</v>
      </c>
      <c r="N570" t="n">
        <v>0</v>
      </c>
      <c r="O570" t="n">
        <v>0</v>
      </c>
      <c r="P570" t="n">
        <v>0</v>
      </c>
      <c r="Q570" t="n">
        <v>0</v>
      </c>
      <c r="R570" s="2" t="inlineStr"/>
    </row>
    <row r="571" ht="15" customHeight="1">
      <c r="A571" t="inlineStr">
        <is>
          <t>A 35734-2025</t>
        </is>
      </c>
      <c r="B571" s="1" t="n">
        <v>45860.471875</v>
      </c>
      <c r="C571" s="1" t="n">
        <v>45915</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9277-2024</t>
        </is>
      </c>
      <c r="B572" s="1" t="n">
        <v>45358.63265046296</v>
      </c>
      <c r="C572" s="1" t="n">
        <v>45915</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41410-2025</t>
        </is>
      </c>
      <c r="B573" s="1" t="n">
        <v>45901.35030092593</v>
      </c>
      <c r="C573" s="1" t="n">
        <v>45915</v>
      </c>
      <c r="D573" t="inlineStr">
        <is>
          <t>DALARNAS LÄN</t>
        </is>
      </c>
      <c r="E573" t="inlineStr">
        <is>
          <t>MORA</t>
        </is>
      </c>
      <c r="G573" t="n">
        <v>4.5</v>
      </c>
      <c r="H573" t="n">
        <v>0</v>
      </c>
      <c r="I573" t="n">
        <v>0</v>
      </c>
      <c r="J573" t="n">
        <v>0</v>
      </c>
      <c r="K573" t="n">
        <v>0</v>
      </c>
      <c r="L573" t="n">
        <v>0</v>
      </c>
      <c r="M573" t="n">
        <v>0</v>
      </c>
      <c r="N573" t="n">
        <v>0</v>
      </c>
      <c r="O573" t="n">
        <v>0</v>
      </c>
      <c r="P573" t="n">
        <v>0</v>
      </c>
      <c r="Q573" t="n">
        <v>0</v>
      </c>
      <c r="R573" s="2" t="inlineStr"/>
    </row>
    <row r="574" ht="15" customHeight="1">
      <c r="A574" t="inlineStr">
        <is>
          <t>A 35623-2025</t>
        </is>
      </c>
      <c r="B574" s="1" t="n">
        <v>45859</v>
      </c>
      <c r="C574" s="1" t="n">
        <v>45915</v>
      </c>
      <c r="D574" t="inlineStr">
        <is>
          <t>DALARNAS LÄN</t>
        </is>
      </c>
      <c r="E574" t="inlineStr">
        <is>
          <t>MORA</t>
        </is>
      </c>
      <c r="F574" t="inlineStr">
        <is>
          <t>Bergvik skog öst AB</t>
        </is>
      </c>
      <c r="G574" t="n">
        <v>1</v>
      </c>
      <c r="H574" t="n">
        <v>0</v>
      </c>
      <c r="I574" t="n">
        <v>0</v>
      </c>
      <c r="J574" t="n">
        <v>0</v>
      </c>
      <c r="K574" t="n">
        <v>0</v>
      </c>
      <c r="L574" t="n">
        <v>0</v>
      </c>
      <c r="M574" t="n">
        <v>0</v>
      </c>
      <c r="N574" t="n">
        <v>0</v>
      </c>
      <c r="O574" t="n">
        <v>0</v>
      </c>
      <c r="P574" t="n">
        <v>0</v>
      </c>
      <c r="Q574" t="n">
        <v>0</v>
      </c>
      <c r="R574" s="2" t="inlineStr"/>
    </row>
    <row r="575" ht="15" customHeight="1">
      <c r="A575" t="inlineStr">
        <is>
          <t>A 41614-2025</t>
        </is>
      </c>
      <c r="B575" s="1" t="n">
        <v>45901.68267361111</v>
      </c>
      <c r="C575" s="1" t="n">
        <v>45915</v>
      </c>
      <c r="D575" t="inlineStr">
        <is>
          <t>DALARNAS LÄN</t>
        </is>
      </c>
      <c r="E575" t="inlineStr">
        <is>
          <t>MORA</t>
        </is>
      </c>
      <c r="F575" t="inlineStr">
        <is>
          <t>Bergvik skog väst AB</t>
        </is>
      </c>
      <c r="G575" t="n">
        <v>13.8</v>
      </c>
      <c r="H575" t="n">
        <v>0</v>
      </c>
      <c r="I575" t="n">
        <v>0</v>
      </c>
      <c r="J575" t="n">
        <v>0</v>
      </c>
      <c r="K575" t="n">
        <v>0</v>
      </c>
      <c r="L575" t="n">
        <v>0</v>
      </c>
      <c r="M575" t="n">
        <v>0</v>
      </c>
      <c r="N575" t="n">
        <v>0</v>
      </c>
      <c r="O575" t="n">
        <v>0</v>
      </c>
      <c r="P575" t="n">
        <v>0</v>
      </c>
      <c r="Q575" t="n">
        <v>0</v>
      </c>
      <c r="R575" s="2" t="inlineStr"/>
    </row>
    <row r="576" ht="15" customHeight="1">
      <c r="A576" t="inlineStr">
        <is>
          <t>A 35624-2025</t>
        </is>
      </c>
      <c r="B576" s="1" t="n">
        <v>45859</v>
      </c>
      <c r="C576" s="1" t="n">
        <v>45915</v>
      </c>
      <c r="D576" t="inlineStr">
        <is>
          <t>DALARNAS LÄN</t>
        </is>
      </c>
      <c r="E576" t="inlineStr">
        <is>
          <t>MORA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60051-2022</t>
        </is>
      </c>
      <c r="B577" s="1" t="n">
        <v>44909.52385416667</v>
      </c>
      <c r="C577" s="1" t="n">
        <v>45915</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48390-2024</t>
        </is>
      </c>
      <c r="B578" s="1" t="n">
        <v>45590.60216435185</v>
      </c>
      <c r="C578" s="1" t="n">
        <v>45915</v>
      </c>
      <c r="D578" t="inlineStr">
        <is>
          <t>DALARNAS LÄN</t>
        </is>
      </c>
      <c r="E578" t="inlineStr">
        <is>
          <t>MORA</t>
        </is>
      </c>
      <c r="G578" t="n">
        <v>5</v>
      </c>
      <c r="H578" t="n">
        <v>0</v>
      </c>
      <c r="I578" t="n">
        <v>0</v>
      </c>
      <c r="J578" t="n">
        <v>0</v>
      </c>
      <c r="K578" t="n">
        <v>0</v>
      </c>
      <c r="L578" t="n">
        <v>0</v>
      </c>
      <c r="M578" t="n">
        <v>0</v>
      </c>
      <c r="N578" t="n">
        <v>0</v>
      </c>
      <c r="O578" t="n">
        <v>0</v>
      </c>
      <c r="P578" t="n">
        <v>0</v>
      </c>
      <c r="Q578" t="n">
        <v>0</v>
      </c>
      <c r="R578" s="2" t="inlineStr"/>
    </row>
    <row r="579" ht="15" customHeight="1">
      <c r="A579" t="inlineStr">
        <is>
          <t>A 55671-2024</t>
        </is>
      </c>
      <c r="B579" s="1" t="n">
        <v>45622.65269675926</v>
      </c>
      <c r="C579" s="1" t="n">
        <v>45915</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42112-2025</t>
        </is>
      </c>
      <c r="B580" s="1" t="n">
        <v>45904.32134259259</v>
      </c>
      <c r="C580" s="1" t="n">
        <v>45915</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41855-2025</t>
        </is>
      </c>
      <c r="B581" s="1" t="n">
        <v>45902.93693287037</v>
      </c>
      <c r="C581" s="1" t="n">
        <v>45915</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42813-2025</t>
        </is>
      </c>
      <c r="B582" s="1" t="n">
        <v>45908.56168981481</v>
      </c>
      <c r="C582" s="1" t="n">
        <v>45915</v>
      </c>
      <c r="D582" t="inlineStr">
        <is>
          <t>DALARNAS LÄN</t>
        </is>
      </c>
      <c r="E582" t="inlineStr">
        <is>
          <t>MORA</t>
        </is>
      </c>
      <c r="G582" t="n">
        <v>4.3</v>
      </c>
      <c r="H582" t="n">
        <v>0</v>
      </c>
      <c r="I582" t="n">
        <v>0</v>
      </c>
      <c r="J582" t="n">
        <v>0</v>
      </c>
      <c r="K582" t="n">
        <v>0</v>
      </c>
      <c r="L582" t="n">
        <v>0</v>
      </c>
      <c r="M582" t="n">
        <v>0</v>
      </c>
      <c r="N582" t="n">
        <v>0</v>
      </c>
      <c r="O582" t="n">
        <v>0</v>
      </c>
      <c r="P582" t="n">
        <v>0</v>
      </c>
      <c r="Q582" t="n">
        <v>0</v>
      </c>
      <c r="R582" s="2" t="inlineStr"/>
    </row>
    <row r="583" ht="15" customHeight="1">
      <c r="A583" t="inlineStr">
        <is>
          <t>A 53546-2024</t>
        </is>
      </c>
      <c r="B583" s="1" t="n">
        <v>45614.63725694444</v>
      </c>
      <c r="C583" s="1" t="n">
        <v>45915</v>
      </c>
      <c r="D583" t="inlineStr">
        <is>
          <t>DALARNAS LÄN</t>
        </is>
      </c>
      <c r="E583" t="inlineStr">
        <is>
          <t>MORA</t>
        </is>
      </c>
      <c r="G583" t="n">
        <v>2.6</v>
      </c>
      <c r="H583" t="n">
        <v>0</v>
      </c>
      <c r="I583" t="n">
        <v>0</v>
      </c>
      <c r="J583" t="n">
        <v>0</v>
      </c>
      <c r="K583" t="n">
        <v>0</v>
      </c>
      <c r="L583" t="n">
        <v>0</v>
      </c>
      <c r="M583" t="n">
        <v>0</v>
      </c>
      <c r="N583" t="n">
        <v>0</v>
      </c>
      <c r="O583" t="n">
        <v>0</v>
      </c>
      <c r="P583" t="n">
        <v>0</v>
      </c>
      <c r="Q583" t="n">
        <v>0</v>
      </c>
      <c r="R583" s="2" t="inlineStr"/>
    </row>
    <row r="584" ht="15" customHeight="1">
      <c r="A584" t="inlineStr">
        <is>
          <t>A 4208-2023</t>
        </is>
      </c>
      <c r="B584" s="1" t="n">
        <v>44953</v>
      </c>
      <c r="C584" s="1" t="n">
        <v>45915</v>
      </c>
      <c r="D584" t="inlineStr">
        <is>
          <t>DALARNAS LÄN</t>
        </is>
      </c>
      <c r="E584" t="inlineStr">
        <is>
          <t>MORA</t>
        </is>
      </c>
      <c r="G584" t="n">
        <v>2.4</v>
      </c>
      <c r="H584" t="n">
        <v>0</v>
      </c>
      <c r="I584" t="n">
        <v>0</v>
      </c>
      <c r="J584" t="n">
        <v>0</v>
      </c>
      <c r="K584" t="n">
        <v>0</v>
      </c>
      <c r="L584" t="n">
        <v>0</v>
      </c>
      <c r="M584" t="n">
        <v>0</v>
      </c>
      <c r="N584" t="n">
        <v>0</v>
      </c>
      <c r="O584" t="n">
        <v>0</v>
      </c>
      <c r="P584" t="n">
        <v>0</v>
      </c>
      <c r="Q584" t="n">
        <v>0</v>
      </c>
      <c r="R584" s="2" t="inlineStr"/>
    </row>
    <row r="585" ht="15" customHeight="1">
      <c r="A585" t="inlineStr">
        <is>
          <t>A 4210-2023</t>
        </is>
      </c>
      <c r="B585" s="1" t="n">
        <v>44953.44965277778</v>
      </c>
      <c r="C585" s="1" t="n">
        <v>45915</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5491-2023</t>
        </is>
      </c>
      <c r="B586" s="1" t="n">
        <v>44957</v>
      </c>
      <c r="C586" s="1" t="n">
        <v>45915</v>
      </c>
      <c r="D586" t="inlineStr">
        <is>
          <t>DALARNAS LÄN</t>
        </is>
      </c>
      <c r="E586" t="inlineStr">
        <is>
          <t>MORA</t>
        </is>
      </c>
      <c r="G586" t="n">
        <v>3.5</v>
      </c>
      <c r="H586" t="n">
        <v>0</v>
      </c>
      <c r="I586" t="n">
        <v>0</v>
      </c>
      <c r="J586" t="n">
        <v>0</v>
      </c>
      <c r="K586" t="n">
        <v>0</v>
      </c>
      <c r="L586" t="n">
        <v>0</v>
      </c>
      <c r="M586" t="n">
        <v>0</v>
      </c>
      <c r="N586" t="n">
        <v>0</v>
      </c>
      <c r="O586" t="n">
        <v>0</v>
      </c>
      <c r="P586" t="n">
        <v>0</v>
      </c>
      <c r="Q586" t="n">
        <v>0</v>
      </c>
      <c r="R586" s="2" t="inlineStr"/>
    </row>
    <row r="587" ht="15" customHeight="1">
      <c r="A587" t="inlineStr">
        <is>
          <t>A 5493-2023</t>
        </is>
      </c>
      <c r="B587" s="1" t="n">
        <v>44957</v>
      </c>
      <c r="C587" s="1" t="n">
        <v>45915</v>
      </c>
      <c r="D587" t="inlineStr">
        <is>
          <t>DALARNAS LÄN</t>
        </is>
      </c>
      <c r="E587" t="inlineStr">
        <is>
          <t>MORA</t>
        </is>
      </c>
      <c r="F587" t="inlineStr">
        <is>
          <t>Allmännings- och besparingsskogar</t>
        </is>
      </c>
      <c r="G587" t="n">
        <v>14.9</v>
      </c>
      <c r="H587" t="n">
        <v>0</v>
      </c>
      <c r="I587" t="n">
        <v>0</v>
      </c>
      <c r="J587" t="n">
        <v>0</v>
      </c>
      <c r="K587" t="n">
        <v>0</v>
      </c>
      <c r="L587" t="n">
        <v>0</v>
      </c>
      <c r="M587" t="n">
        <v>0</v>
      </c>
      <c r="N587" t="n">
        <v>0</v>
      </c>
      <c r="O587" t="n">
        <v>0</v>
      </c>
      <c r="P587" t="n">
        <v>0</v>
      </c>
      <c r="Q587" t="n">
        <v>0</v>
      </c>
      <c r="R587" s="2" t="inlineStr"/>
    </row>
    <row r="588" ht="15" customHeight="1">
      <c r="A588" t="inlineStr">
        <is>
          <t>A 42830-2025</t>
        </is>
      </c>
      <c r="B588" s="1" t="n">
        <v>45908.57753472222</v>
      </c>
      <c r="C588" s="1" t="n">
        <v>45915</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9554-2025</t>
        </is>
      </c>
      <c r="B589" s="1" t="n">
        <v>45715.59936342593</v>
      </c>
      <c r="C589" s="1" t="n">
        <v>45915</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11463-2024</t>
        </is>
      </c>
      <c r="B590" s="1" t="n">
        <v>45372.58969907407</v>
      </c>
      <c r="C590" s="1" t="n">
        <v>45915</v>
      </c>
      <c r="D590" t="inlineStr">
        <is>
          <t>DALARNAS LÄN</t>
        </is>
      </c>
      <c r="E590" t="inlineStr">
        <is>
          <t>MORA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36041-2025</t>
        </is>
      </c>
      <c r="B591" s="1" t="n">
        <v>45866.34385416667</v>
      </c>
      <c r="C591" s="1" t="n">
        <v>45915</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27975-2023</t>
        </is>
      </c>
      <c r="B592" s="1" t="n">
        <v>45098</v>
      </c>
      <c r="C592" s="1" t="n">
        <v>45915</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5769-2025</t>
        </is>
      </c>
      <c r="B593" s="1" t="n">
        <v>45694.59288194445</v>
      </c>
      <c r="C593" s="1" t="n">
        <v>45915</v>
      </c>
      <c r="D593" t="inlineStr">
        <is>
          <t>DALARNAS LÄN</t>
        </is>
      </c>
      <c r="E593" t="inlineStr">
        <is>
          <t>MORA</t>
        </is>
      </c>
      <c r="G593" t="n">
        <v>15.7</v>
      </c>
      <c r="H593" t="n">
        <v>0</v>
      </c>
      <c r="I593" t="n">
        <v>0</v>
      </c>
      <c r="J593" t="n">
        <v>0</v>
      </c>
      <c r="K593" t="n">
        <v>0</v>
      </c>
      <c r="L593" t="n">
        <v>0</v>
      </c>
      <c r="M593" t="n">
        <v>0</v>
      </c>
      <c r="N593" t="n">
        <v>0</v>
      </c>
      <c r="O593" t="n">
        <v>0</v>
      </c>
      <c r="P593" t="n">
        <v>0</v>
      </c>
      <c r="Q593" t="n">
        <v>0</v>
      </c>
      <c r="R593" s="2" t="inlineStr"/>
    </row>
    <row r="594" ht="15" customHeight="1">
      <c r="A594" t="inlineStr">
        <is>
          <t>A 59101-2024</t>
        </is>
      </c>
      <c r="B594" s="1" t="n">
        <v>45637.34074074074</v>
      </c>
      <c r="C594" s="1" t="n">
        <v>45915</v>
      </c>
      <c r="D594" t="inlineStr">
        <is>
          <t>DALARNAS LÄN</t>
        </is>
      </c>
      <c r="E594" t="inlineStr">
        <is>
          <t>MORA</t>
        </is>
      </c>
      <c r="F594" t="inlineStr">
        <is>
          <t>Allmännings- och besparingsskogar</t>
        </is>
      </c>
      <c r="G594" t="n">
        <v>1.2</v>
      </c>
      <c r="H594" t="n">
        <v>0</v>
      </c>
      <c r="I594" t="n">
        <v>0</v>
      </c>
      <c r="J594" t="n">
        <v>0</v>
      </c>
      <c r="K594" t="n">
        <v>0</v>
      </c>
      <c r="L594" t="n">
        <v>0</v>
      </c>
      <c r="M594" t="n">
        <v>0</v>
      </c>
      <c r="N594" t="n">
        <v>0</v>
      </c>
      <c r="O594" t="n">
        <v>0</v>
      </c>
      <c r="P594" t="n">
        <v>0</v>
      </c>
      <c r="Q594" t="n">
        <v>0</v>
      </c>
      <c r="R594" s="2" t="inlineStr"/>
    </row>
    <row r="595" ht="15" customHeight="1">
      <c r="A595" t="inlineStr">
        <is>
          <t>A 16174-2025</t>
        </is>
      </c>
      <c r="B595" s="1" t="n">
        <v>45750</v>
      </c>
      <c r="C595" s="1" t="n">
        <v>45915</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43874-2024</t>
        </is>
      </c>
      <c r="B596" s="1" t="n">
        <v>45572.38476851852</v>
      </c>
      <c r="C596" s="1" t="n">
        <v>45915</v>
      </c>
      <c r="D596" t="inlineStr">
        <is>
          <t>DALARNAS LÄN</t>
        </is>
      </c>
      <c r="E596" t="inlineStr">
        <is>
          <t>MORA</t>
        </is>
      </c>
      <c r="G596" t="n">
        <v>3.6</v>
      </c>
      <c r="H596" t="n">
        <v>0</v>
      </c>
      <c r="I596" t="n">
        <v>0</v>
      </c>
      <c r="J596" t="n">
        <v>0</v>
      </c>
      <c r="K596" t="n">
        <v>0</v>
      </c>
      <c r="L596" t="n">
        <v>0</v>
      </c>
      <c r="M596" t="n">
        <v>0</v>
      </c>
      <c r="N596" t="n">
        <v>0</v>
      </c>
      <c r="O596" t="n">
        <v>0</v>
      </c>
      <c r="P596" t="n">
        <v>0</v>
      </c>
      <c r="Q596" t="n">
        <v>0</v>
      </c>
      <c r="R596" s="2" t="inlineStr"/>
    </row>
    <row r="597" ht="15" customHeight="1">
      <c r="A597" t="inlineStr">
        <is>
          <t>A 43153-2025</t>
        </is>
      </c>
      <c r="B597" s="1" t="n">
        <v>45910.34449074074</v>
      </c>
      <c r="C597" s="1" t="n">
        <v>45915</v>
      </c>
      <c r="D597" t="inlineStr">
        <is>
          <t>DALARNAS LÄN</t>
        </is>
      </c>
      <c r="E597" t="inlineStr">
        <is>
          <t>MORA</t>
        </is>
      </c>
      <c r="G597" t="n">
        <v>3.9</v>
      </c>
      <c r="H597" t="n">
        <v>0</v>
      </c>
      <c r="I597" t="n">
        <v>0</v>
      </c>
      <c r="J597" t="n">
        <v>0</v>
      </c>
      <c r="K597" t="n">
        <v>0</v>
      </c>
      <c r="L597" t="n">
        <v>0</v>
      </c>
      <c r="M597" t="n">
        <v>0</v>
      </c>
      <c r="N597" t="n">
        <v>0</v>
      </c>
      <c r="O597" t="n">
        <v>0</v>
      </c>
      <c r="P597" t="n">
        <v>0</v>
      </c>
      <c r="Q597" t="n">
        <v>0</v>
      </c>
      <c r="R597" s="2" t="inlineStr"/>
    </row>
    <row r="598" ht="15" customHeight="1">
      <c r="A598" t="inlineStr">
        <is>
          <t>A 42954-2025</t>
        </is>
      </c>
      <c r="B598" s="1" t="n">
        <v>45909.3578125</v>
      </c>
      <c r="C598" s="1" t="n">
        <v>45915</v>
      </c>
      <c r="D598" t="inlineStr">
        <is>
          <t>DALARNAS LÄN</t>
        </is>
      </c>
      <c r="E598" t="inlineStr">
        <is>
          <t>MORA</t>
        </is>
      </c>
      <c r="G598" t="n">
        <v>2.5</v>
      </c>
      <c r="H598" t="n">
        <v>0</v>
      </c>
      <c r="I598" t="n">
        <v>0</v>
      </c>
      <c r="J598" t="n">
        <v>0</v>
      </c>
      <c r="K598" t="n">
        <v>0</v>
      </c>
      <c r="L598" t="n">
        <v>0</v>
      </c>
      <c r="M598" t="n">
        <v>0</v>
      </c>
      <c r="N598" t="n">
        <v>0</v>
      </c>
      <c r="O598" t="n">
        <v>0</v>
      </c>
      <c r="P598" t="n">
        <v>0</v>
      </c>
      <c r="Q598" t="n">
        <v>0</v>
      </c>
      <c r="R598" s="2" t="inlineStr"/>
    </row>
    <row r="599" ht="15" customHeight="1">
      <c r="A599" t="inlineStr">
        <is>
          <t>A 42960-2025</t>
        </is>
      </c>
      <c r="B599" s="1" t="n">
        <v>45909.36631944445</v>
      </c>
      <c r="C599" s="1" t="n">
        <v>45915</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42319-2025</t>
        </is>
      </c>
      <c r="B600" s="1" t="n">
        <v>45903</v>
      </c>
      <c r="C600" s="1" t="n">
        <v>45915</v>
      </c>
      <c r="D600" t="inlineStr">
        <is>
          <t>DALARNAS LÄN</t>
        </is>
      </c>
      <c r="E600" t="inlineStr">
        <is>
          <t>MORA</t>
        </is>
      </c>
      <c r="G600" t="n">
        <v>2.3</v>
      </c>
      <c r="H600" t="n">
        <v>0</v>
      </c>
      <c r="I600" t="n">
        <v>0</v>
      </c>
      <c r="J600" t="n">
        <v>0</v>
      </c>
      <c r="K600" t="n">
        <v>0</v>
      </c>
      <c r="L600" t="n">
        <v>0</v>
      </c>
      <c r="M600" t="n">
        <v>0</v>
      </c>
      <c r="N600" t="n">
        <v>0</v>
      </c>
      <c r="O600" t="n">
        <v>0</v>
      </c>
      <c r="P600" t="n">
        <v>0</v>
      </c>
      <c r="Q600" t="n">
        <v>0</v>
      </c>
      <c r="R600" s="2" t="inlineStr"/>
    </row>
    <row r="601" ht="15" customHeight="1">
      <c r="A601" t="inlineStr">
        <is>
          <t>A 43157-2025</t>
        </is>
      </c>
      <c r="B601" s="1" t="n">
        <v>45910.34953703704</v>
      </c>
      <c r="C601" s="1" t="n">
        <v>45915</v>
      </c>
      <c r="D601" t="inlineStr">
        <is>
          <t>DALARNAS LÄN</t>
        </is>
      </c>
      <c r="E601" t="inlineStr">
        <is>
          <t>MORA</t>
        </is>
      </c>
      <c r="G601" t="n">
        <v>1.3</v>
      </c>
      <c r="H601" t="n">
        <v>0</v>
      </c>
      <c r="I601" t="n">
        <v>0</v>
      </c>
      <c r="J601" t="n">
        <v>0</v>
      </c>
      <c r="K601" t="n">
        <v>0</v>
      </c>
      <c r="L601" t="n">
        <v>0</v>
      </c>
      <c r="M601" t="n">
        <v>0</v>
      </c>
      <c r="N601" t="n">
        <v>0</v>
      </c>
      <c r="O601" t="n">
        <v>0</v>
      </c>
      <c r="P601" t="n">
        <v>0</v>
      </c>
      <c r="Q601" t="n">
        <v>0</v>
      </c>
      <c r="R601" s="2" t="inlineStr"/>
    </row>
    <row r="602" ht="15" customHeight="1">
      <c r="A602" t="inlineStr">
        <is>
          <t>A 57903-2022</t>
        </is>
      </c>
      <c r="B602" s="1" t="n">
        <v>44900.3521412037</v>
      </c>
      <c r="C602" s="1" t="n">
        <v>45915</v>
      </c>
      <c r="D602" t="inlineStr">
        <is>
          <t>DALARNAS LÄN</t>
        </is>
      </c>
      <c r="E602" t="inlineStr">
        <is>
          <t>MORA</t>
        </is>
      </c>
      <c r="G602" t="n">
        <v>4.3</v>
      </c>
      <c r="H602" t="n">
        <v>0</v>
      </c>
      <c r="I602" t="n">
        <v>0</v>
      </c>
      <c r="J602" t="n">
        <v>0</v>
      </c>
      <c r="K602" t="n">
        <v>0</v>
      </c>
      <c r="L602" t="n">
        <v>0</v>
      </c>
      <c r="M602" t="n">
        <v>0</v>
      </c>
      <c r="N602" t="n">
        <v>0</v>
      </c>
      <c r="O602" t="n">
        <v>0</v>
      </c>
      <c r="P602" t="n">
        <v>0</v>
      </c>
      <c r="Q602" t="n">
        <v>0</v>
      </c>
      <c r="R602" s="2" t="inlineStr"/>
    </row>
    <row r="603" ht="15" customHeight="1">
      <c r="A603" t="inlineStr">
        <is>
          <t>A 24169-2022</t>
        </is>
      </c>
      <c r="B603" s="1" t="n">
        <v>44725.50280092593</v>
      </c>
      <c r="C603" s="1" t="n">
        <v>45915</v>
      </c>
      <c r="D603" t="inlineStr">
        <is>
          <t>DALARNAS LÄN</t>
        </is>
      </c>
      <c r="E603" t="inlineStr">
        <is>
          <t>MORA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65186-2021</t>
        </is>
      </c>
      <c r="B604" s="1" t="n">
        <v>44515</v>
      </c>
      <c r="C604" s="1" t="n">
        <v>45915</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36179-2025</t>
        </is>
      </c>
      <c r="B605" s="1" t="n">
        <v>45867</v>
      </c>
      <c r="C605" s="1" t="n">
        <v>45915</v>
      </c>
      <c r="D605" t="inlineStr">
        <is>
          <t>DALARNAS LÄN</t>
        </is>
      </c>
      <c r="E605" t="inlineStr">
        <is>
          <t>MORA</t>
        </is>
      </c>
      <c r="G605" t="n">
        <v>2.5</v>
      </c>
      <c r="H605" t="n">
        <v>0</v>
      </c>
      <c r="I605" t="n">
        <v>0</v>
      </c>
      <c r="J605" t="n">
        <v>0</v>
      </c>
      <c r="K605" t="n">
        <v>0</v>
      </c>
      <c r="L605" t="n">
        <v>0</v>
      </c>
      <c r="M605" t="n">
        <v>0</v>
      </c>
      <c r="N605" t="n">
        <v>0</v>
      </c>
      <c r="O605" t="n">
        <v>0</v>
      </c>
      <c r="P605" t="n">
        <v>0</v>
      </c>
      <c r="Q605" t="n">
        <v>0</v>
      </c>
      <c r="R605" s="2" t="inlineStr"/>
    </row>
    <row r="606" ht="15" customHeight="1">
      <c r="A606" t="inlineStr">
        <is>
          <t>A 58892-2023</t>
        </is>
      </c>
      <c r="B606" s="1" t="n">
        <v>45252.48592592592</v>
      </c>
      <c r="C606" s="1" t="n">
        <v>45915</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42947-2025</t>
        </is>
      </c>
      <c r="B607" s="1" t="n">
        <v>45909.34799768519</v>
      </c>
      <c r="C607" s="1" t="n">
        <v>45915</v>
      </c>
      <c r="D607" t="inlineStr">
        <is>
          <t>DALARNAS LÄN</t>
        </is>
      </c>
      <c r="E607" t="inlineStr">
        <is>
          <t>MORA</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11442-2022</t>
        </is>
      </c>
      <c r="B608" s="1" t="n">
        <v>44630.62788194444</v>
      </c>
      <c r="C608" s="1" t="n">
        <v>45915</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6183-2024</t>
        </is>
      </c>
      <c r="B609" s="1" t="n">
        <v>45337.54135416666</v>
      </c>
      <c r="C609" s="1" t="n">
        <v>45915</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45562-2023</t>
        </is>
      </c>
      <c r="B610" s="1" t="n">
        <v>45194.59378472222</v>
      </c>
      <c r="C610" s="1" t="n">
        <v>45915</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43569-2025</t>
        </is>
      </c>
      <c r="B611" s="1" t="n">
        <v>45911.63363425926</v>
      </c>
      <c r="C611" s="1" t="n">
        <v>45915</v>
      </c>
      <c r="D611" t="inlineStr">
        <is>
          <t>DALARNAS LÄN</t>
        </is>
      </c>
      <c r="E611" t="inlineStr">
        <is>
          <t>MORA</t>
        </is>
      </c>
      <c r="G611" t="n">
        <v>4.7</v>
      </c>
      <c r="H611" t="n">
        <v>0</v>
      </c>
      <c r="I611" t="n">
        <v>0</v>
      </c>
      <c r="J611" t="n">
        <v>0</v>
      </c>
      <c r="K611" t="n">
        <v>0</v>
      </c>
      <c r="L611" t="n">
        <v>0</v>
      </c>
      <c r="M611" t="n">
        <v>0</v>
      </c>
      <c r="N611" t="n">
        <v>0</v>
      </c>
      <c r="O611" t="n">
        <v>0</v>
      </c>
      <c r="P611" t="n">
        <v>0</v>
      </c>
      <c r="Q611" t="n">
        <v>0</v>
      </c>
      <c r="R611" s="2" t="inlineStr"/>
    </row>
    <row r="612" ht="15" customHeight="1">
      <c r="A612" t="inlineStr">
        <is>
          <t>A 43811-2025</t>
        </is>
      </c>
      <c r="B612" s="1" t="n">
        <v>45912.58710648148</v>
      </c>
      <c r="C612" s="1" t="n">
        <v>45915</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45147.3934837963</v>
      </c>
      <c r="C613" s="1" t="n">
        <v>45915</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36586-2025</t>
        </is>
      </c>
      <c r="B614" s="1" t="n">
        <v>45869</v>
      </c>
      <c r="C614" s="1" t="n">
        <v>45915</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43474-2025</t>
        </is>
      </c>
      <c r="B615" s="1" t="n">
        <v>45911.48967592593</v>
      </c>
      <c r="C615" s="1" t="n">
        <v>45915</v>
      </c>
      <c r="D615" t="inlineStr">
        <is>
          <t>DALARNAS LÄN</t>
        </is>
      </c>
      <c r="E615" t="inlineStr">
        <is>
          <t>MORA</t>
        </is>
      </c>
      <c r="G615" t="n">
        <v>1.8</v>
      </c>
      <c r="H615" t="n">
        <v>0</v>
      </c>
      <c r="I615" t="n">
        <v>0</v>
      </c>
      <c r="J615" t="n">
        <v>0</v>
      </c>
      <c r="K615" t="n">
        <v>0</v>
      </c>
      <c r="L615" t="n">
        <v>0</v>
      </c>
      <c r="M615" t="n">
        <v>0</v>
      </c>
      <c r="N615" t="n">
        <v>0</v>
      </c>
      <c r="O615" t="n">
        <v>0</v>
      </c>
      <c r="P615" t="n">
        <v>0</v>
      </c>
      <c r="Q615" t="n">
        <v>0</v>
      </c>
      <c r="R615" s="2" t="inlineStr"/>
    </row>
    <row r="616" ht="15" customHeight="1">
      <c r="A616" t="inlineStr">
        <is>
          <t>A 23300-2024</t>
        </is>
      </c>
      <c r="B616" s="1" t="n">
        <v>45453.43695601852</v>
      </c>
      <c r="C616" s="1" t="n">
        <v>45915</v>
      </c>
      <c r="D616" t="inlineStr">
        <is>
          <t>DALARNAS LÄN</t>
        </is>
      </c>
      <c r="E616" t="inlineStr">
        <is>
          <t>MORA</t>
        </is>
      </c>
      <c r="G616" t="n">
        <v>0.5</v>
      </c>
      <c r="H616" t="n">
        <v>0</v>
      </c>
      <c r="I616" t="n">
        <v>0</v>
      </c>
      <c r="J616" t="n">
        <v>0</v>
      </c>
      <c r="K616" t="n">
        <v>0</v>
      </c>
      <c r="L616" t="n">
        <v>0</v>
      </c>
      <c r="M616" t="n">
        <v>0</v>
      </c>
      <c r="N616" t="n">
        <v>0</v>
      </c>
      <c r="O616" t="n">
        <v>0</v>
      </c>
      <c r="P616" t="n">
        <v>0</v>
      </c>
      <c r="Q616" t="n">
        <v>0</v>
      </c>
      <c r="R616" s="2" t="inlineStr"/>
    </row>
    <row r="617" ht="15" customHeight="1">
      <c r="A617" t="inlineStr">
        <is>
          <t>A 56268-2024</t>
        </is>
      </c>
      <c r="B617" s="1" t="n">
        <v>45624.65785879629</v>
      </c>
      <c r="C617" s="1" t="n">
        <v>45915</v>
      </c>
      <c r="D617" t="inlineStr">
        <is>
          <t>DALARNAS LÄN</t>
        </is>
      </c>
      <c r="E617" t="inlineStr">
        <is>
          <t>MORA</t>
        </is>
      </c>
      <c r="G617" t="n">
        <v>2.7</v>
      </c>
      <c r="H617" t="n">
        <v>0</v>
      </c>
      <c r="I617" t="n">
        <v>0</v>
      </c>
      <c r="J617" t="n">
        <v>0</v>
      </c>
      <c r="K617" t="n">
        <v>0</v>
      </c>
      <c r="L617" t="n">
        <v>0</v>
      </c>
      <c r="M617" t="n">
        <v>0</v>
      </c>
      <c r="N617" t="n">
        <v>0</v>
      </c>
      <c r="O617" t="n">
        <v>0</v>
      </c>
      <c r="P617" t="n">
        <v>0</v>
      </c>
      <c r="Q617" t="n">
        <v>0</v>
      </c>
      <c r="R617" s="2" t="inlineStr"/>
    </row>
    <row r="618" ht="15" customHeight="1">
      <c r="A618" t="inlineStr">
        <is>
          <t>A 571-2024</t>
        </is>
      </c>
      <c r="B618" s="1" t="n">
        <v>45299</v>
      </c>
      <c r="C618" s="1" t="n">
        <v>45915</v>
      </c>
      <c r="D618" t="inlineStr">
        <is>
          <t>DALARNAS LÄN</t>
        </is>
      </c>
      <c r="E618" t="inlineStr">
        <is>
          <t>MORA</t>
        </is>
      </c>
      <c r="G618" t="n">
        <v>3.3</v>
      </c>
      <c r="H618" t="n">
        <v>0</v>
      </c>
      <c r="I618" t="n">
        <v>0</v>
      </c>
      <c r="J618" t="n">
        <v>0</v>
      </c>
      <c r="K618" t="n">
        <v>0</v>
      </c>
      <c r="L618" t="n">
        <v>0</v>
      </c>
      <c r="M618" t="n">
        <v>0</v>
      </c>
      <c r="N618" t="n">
        <v>0</v>
      </c>
      <c r="O618" t="n">
        <v>0</v>
      </c>
      <c r="P618" t="n">
        <v>0</v>
      </c>
      <c r="Q618" t="n">
        <v>0</v>
      </c>
      <c r="R618" s="2" t="inlineStr"/>
    </row>
    <row r="619" ht="15" customHeight="1">
      <c r="A619" t="inlineStr">
        <is>
          <t>A 50056-2022</t>
        </is>
      </c>
      <c r="B619" s="1" t="n">
        <v>44865</v>
      </c>
      <c r="C619" s="1" t="n">
        <v>45915</v>
      </c>
      <c r="D619" t="inlineStr">
        <is>
          <t>DALARNAS LÄN</t>
        </is>
      </c>
      <c r="E619" t="inlineStr">
        <is>
          <t>MORA</t>
        </is>
      </c>
      <c r="G619" t="n">
        <v>1.2</v>
      </c>
      <c r="H619" t="n">
        <v>0</v>
      </c>
      <c r="I619" t="n">
        <v>0</v>
      </c>
      <c r="J619" t="n">
        <v>0</v>
      </c>
      <c r="K619" t="n">
        <v>0</v>
      </c>
      <c r="L619" t="n">
        <v>0</v>
      </c>
      <c r="M619" t="n">
        <v>0</v>
      </c>
      <c r="N619" t="n">
        <v>0</v>
      </c>
      <c r="O619" t="n">
        <v>0</v>
      </c>
      <c r="P619" t="n">
        <v>0</v>
      </c>
      <c r="Q619" t="n">
        <v>0</v>
      </c>
      <c r="R619" s="2" t="inlineStr"/>
    </row>
    <row r="620" ht="15" customHeight="1">
      <c r="A620" t="inlineStr">
        <is>
          <t>A 15499-2024</t>
        </is>
      </c>
      <c r="B620" s="1" t="n">
        <v>45401.53798611111</v>
      </c>
      <c r="C620" s="1" t="n">
        <v>45915</v>
      </c>
      <c r="D620" t="inlineStr">
        <is>
          <t>DALARNAS LÄN</t>
        </is>
      </c>
      <c r="E620" t="inlineStr">
        <is>
          <t>MORA</t>
        </is>
      </c>
      <c r="G620" t="n">
        <v>1.2</v>
      </c>
      <c r="H620" t="n">
        <v>0</v>
      </c>
      <c r="I620" t="n">
        <v>0</v>
      </c>
      <c r="J620" t="n">
        <v>0</v>
      </c>
      <c r="K620" t="n">
        <v>0</v>
      </c>
      <c r="L620" t="n">
        <v>0</v>
      </c>
      <c r="M620" t="n">
        <v>0</v>
      </c>
      <c r="N620" t="n">
        <v>0</v>
      </c>
      <c r="O620" t="n">
        <v>0</v>
      </c>
      <c r="P620" t="n">
        <v>0</v>
      </c>
      <c r="Q620" t="n">
        <v>0</v>
      </c>
      <c r="R620" s="2" t="inlineStr"/>
    </row>
    <row r="621" ht="15" customHeight="1">
      <c r="A621" t="inlineStr">
        <is>
          <t>A 43879-2022</t>
        </is>
      </c>
      <c r="B621" s="1" t="n">
        <v>44838.46721064814</v>
      </c>
      <c r="C621" s="1" t="n">
        <v>45915</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39888-2024</t>
        </is>
      </c>
      <c r="B622" s="1" t="n">
        <v>45553.47538194444</v>
      </c>
      <c r="C622" s="1" t="n">
        <v>45915</v>
      </c>
      <c r="D622" t="inlineStr">
        <is>
          <t>DALARNAS LÄN</t>
        </is>
      </c>
      <c r="E622" t="inlineStr">
        <is>
          <t>MORA</t>
        </is>
      </c>
      <c r="G622" t="n">
        <v>5.4</v>
      </c>
      <c r="H622" t="n">
        <v>0</v>
      </c>
      <c r="I622" t="n">
        <v>0</v>
      </c>
      <c r="J622" t="n">
        <v>0</v>
      </c>
      <c r="K622" t="n">
        <v>0</v>
      </c>
      <c r="L622" t="n">
        <v>0</v>
      </c>
      <c r="M622" t="n">
        <v>0</v>
      </c>
      <c r="N622" t="n">
        <v>0</v>
      </c>
      <c r="O622" t="n">
        <v>0</v>
      </c>
      <c r="P622" t="n">
        <v>0</v>
      </c>
      <c r="Q622" t="n">
        <v>0</v>
      </c>
      <c r="R622" s="2" t="inlineStr"/>
    </row>
    <row r="623" ht="15" customHeight="1">
      <c r="A623" t="inlineStr">
        <is>
          <t>A 12828-2023</t>
        </is>
      </c>
      <c r="B623" s="1" t="n">
        <v>45001</v>
      </c>
      <c r="C623" s="1" t="n">
        <v>45915</v>
      </c>
      <c r="D623" t="inlineStr">
        <is>
          <t>DALARNAS LÄN</t>
        </is>
      </c>
      <c r="E623" t="inlineStr">
        <is>
          <t>MORA</t>
        </is>
      </c>
      <c r="F623" t="inlineStr">
        <is>
          <t>Bergvik skog väst AB</t>
        </is>
      </c>
      <c r="G623" t="n">
        <v>5.4</v>
      </c>
      <c r="H623" t="n">
        <v>0</v>
      </c>
      <c r="I623" t="n">
        <v>0</v>
      </c>
      <c r="J623" t="n">
        <v>0</v>
      </c>
      <c r="K623" t="n">
        <v>0</v>
      </c>
      <c r="L623" t="n">
        <v>0</v>
      </c>
      <c r="M623" t="n">
        <v>0</v>
      </c>
      <c r="N623" t="n">
        <v>0</v>
      </c>
      <c r="O623" t="n">
        <v>0</v>
      </c>
      <c r="P623" t="n">
        <v>0</v>
      </c>
      <c r="Q623" t="n">
        <v>0</v>
      </c>
      <c r="R623" s="2" t="inlineStr"/>
    </row>
    <row r="624" ht="15" customHeight="1">
      <c r="A624" t="inlineStr">
        <is>
          <t>A 60099-2024</t>
        </is>
      </c>
      <c r="B624" s="1" t="n">
        <v>45642.55645833333</v>
      </c>
      <c r="C624" s="1" t="n">
        <v>45915</v>
      </c>
      <c r="D624" t="inlineStr">
        <is>
          <t>DALARNAS LÄN</t>
        </is>
      </c>
      <c r="E624" t="inlineStr">
        <is>
          <t>MORA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53750-2024</t>
        </is>
      </c>
      <c r="B625" s="1" t="n">
        <v>45615.48465277778</v>
      </c>
      <c r="C625" s="1" t="n">
        <v>45915</v>
      </c>
      <c r="D625" t="inlineStr">
        <is>
          <t>DALARNAS LÄN</t>
        </is>
      </c>
      <c r="E625" t="inlineStr">
        <is>
          <t>MORA</t>
        </is>
      </c>
      <c r="G625" t="n">
        <v>2.3</v>
      </c>
      <c r="H625" t="n">
        <v>0</v>
      </c>
      <c r="I625" t="n">
        <v>0</v>
      </c>
      <c r="J625" t="n">
        <v>0</v>
      </c>
      <c r="K625" t="n">
        <v>0</v>
      </c>
      <c r="L625" t="n">
        <v>0</v>
      </c>
      <c r="M625" t="n">
        <v>0</v>
      </c>
      <c r="N625" t="n">
        <v>0</v>
      </c>
      <c r="O625" t="n">
        <v>0</v>
      </c>
      <c r="P625" t="n">
        <v>0</v>
      </c>
      <c r="Q625" t="n">
        <v>0</v>
      </c>
      <c r="R625" s="2" t="inlineStr"/>
    </row>
    <row r="626" ht="15" customHeight="1">
      <c r="A626" t="inlineStr">
        <is>
          <t>A 37971-2024</t>
        </is>
      </c>
      <c r="B626" s="1" t="n">
        <v>45544</v>
      </c>
      <c r="C626" s="1" t="n">
        <v>45915</v>
      </c>
      <c r="D626" t="inlineStr">
        <is>
          <t>DALARNAS LÄN</t>
        </is>
      </c>
      <c r="E626" t="inlineStr">
        <is>
          <t>MORA</t>
        </is>
      </c>
      <c r="G626" t="n">
        <v>2.3</v>
      </c>
      <c r="H626" t="n">
        <v>0</v>
      </c>
      <c r="I626" t="n">
        <v>0</v>
      </c>
      <c r="J626" t="n">
        <v>0</v>
      </c>
      <c r="K626" t="n">
        <v>0</v>
      </c>
      <c r="L626" t="n">
        <v>0</v>
      </c>
      <c r="M626" t="n">
        <v>0</v>
      </c>
      <c r="N626" t="n">
        <v>0</v>
      </c>
      <c r="O626" t="n">
        <v>0</v>
      </c>
      <c r="P626" t="n">
        <v>0</v>
      </c>
      <c r="Q626" t="n">
        <v>0</v>
      </c>
      <c r="R626" s="2" t="inlineStr"/>
    </row>
    <row r="627" ht="15" customHeight="1">
      <c r="A627" t="inlineStr">
        <is>
          <t>A 18122-2025</t>
        </is>
      </c>
      <c r="B627" s="1" t="n">
        <v>45761.59221064814</v>
      </c>
      <c r="C627" s="1" t="n">
        <v>45915</v>
      </c>
      <c r="D627" t="inlineStr">
        <is>
          <t>DALARNAS LÄN</t>
        </is>
      </c>
      <c r="E627" t="inlineStr">
        <is>
          <t>MORA</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46923-2024</t>
        </is>
      </c>
      <c r="B628" s="1" t="n">
        <v>45584.42887731481</v>
      </c>
      <c r="C628" s="1" t="n">
        <v>45915</v>
      </c>
      <c r="D628" t="inlineStr">
        <is>
          <t>DALARNAS LÄN</t>
        </is>
      </c>
      <c r="E628" t="inlineStr">
        <is>
          <t>MORA</t>
        </is>
      </c>
      <c r="G628" t="n">
        <v>3.4</v>
      </c>
      <c r="H628" t="n">
        <v>0</v>
      </c>
      <c r="I628" t="n">
        <v>0</v>
      </c>
      <c r="J628" t="n">
        <v>0</v>
      </c>
      <c r="K628" t="n">
        <v>0</v>
      </c>
      <c r="L628" t="n">
        <v>0</v>
      </c>
      <c r="M628" t="n">
        <v>0</v>
      </c>
      <c r="N628" t="n">
        <v>0</v>
      </c>
      <c r="O628" t="n">
        <v>0</v>
      </c>
      <c r="P628" t="n">
        <v>0</v>
      </c>
      <c r="Q628" t="n">
        <v>0</v>
      </c>
      <c r="R628" s="2" t="inlineStr"/>
    </row>
    <row r="629" ht="15" customHeight="1">
      <c r="A629" t="inlineStr">
        <is>
          <t>A 13262-2022</t>
        </is>
      </c>
      <c r="B629" s="1" t="n">
        <v>44644.70184027778</v>
      </c>
      <c r="C629" s="1" t="n">
        <v>45915</v>
      </c>
      <c r="D629" t="inlineStr">
        <is>
          <t>DALARNAS LÄN</t>
        </is>
      </c>
      <c r="E629" t="inlineStr">
        <is>
          <t>MORA</t>
        </is>
      </c>
      <c r="G629" t="n">
        <v>0.8</v>
      </c>
      <c r="H629" t="n">
        <v>0</v>
      </c>
      <c r="I629" t="n">
        <v>0</v>
      </c>
      <c r="J629" t="n">
        <v>0</v>
      </c>
      <c r="K629" t="n">
        <v>0</v>
      </c>
      <c r="L629" t="n">
        <v>0</v>
      </c>
      <c r="M629" t="n">
        <v>0</v>
      </c>
      <c r="N629" t="n">
        <v>0</v>
      </c>
      <c r="O629" t="n">
        <v>0</v>
      </c>
      <c r="P629" t="n">
        <v>0</v>
      </c>
      <c r="Q629" t="n">
        <v>0</v>
      </c>
      <c r="R629" s="2" t="inlineStr"/>
    </row>
    <row r="630" ht="15" customHeight="1">
      <c r="A630" t="inlineStr">
        <is>
          <t>A 47036-2023</t>
        </is>
      </c>
      <c r="B630" s="1" t="n">
        <v>45196</v>
      </c>
      <c r="C630" s="1" t="n">
        <v>45915</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1897-2023</t>
        </is>
      </c>
      <c r="B631" s="1" t="n">
        <v>44937</v>
      </c>
      <c r="C631" s="1" t="n">
        <v>45915</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20549-2025</t>
        </is>
      </c>
      <c r="B632" s="1" t="n">
        <v>45775.63459490741</v>
      </c>
      <c r="C632" s="1" t="n">
        <v>45915</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19193-2025</t>
        </is>
      </c>
      <c r="B633" s="1" t="n">
        <v>45769.42203703704</v>
      </c>
      <c r="C633" s="1" t="n">
        <v>45915</v>
      </c>
      <c r="D633" t="inlineStr">
        <is>
          <t>DALARNAS LÄN</t>
        </is>
      </c>
      <c r="E633" t="inlineStr">
        <is>
          <t>MORA</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19814-2025</t>
        </is>
      </c>
      <c r="B634" s="1" t="n">
        <v>45771.45686342593</v>
      </c>
      <c r="C634" s="1" t="n">
        <v>45915</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8100-2024</t>
        </is>
      </c>
      <c r="B635" s="1" t="n">
        <v>45351.46583333334</v>
      </c>
      <c r="C635" s="1" t="n">
        <v>45915</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9855-2024</t>
        </is>
      </c>
      <c r="B636" s="1" t="n">
        <v>45363.40368055556</v>
      </c>
      <c r="C636" s="1" t="n">
        <v>45915</v>
      </c>
      <c r="D636" t="inlineStr">
        <is>
          <t>DALARNAS LÄN</t>
        </is>
      </c>
      <c r="E636" t="inlineStr">
        <is>
          <t>MORA</t>
        </is>
      </c>
      <c r="G636" t="n">
        <v>8.6</v>
      </c>
      <c r="H636" t="n">
        <v>0</v>
      </c>
      <c r="I636" t="n">
        <v>0</v>
      </c>
      <c r="J636" t="n">
        <v>0</v>
      </c>
      <c r="K636" t="n">
        <v>0</v>
      </c>
      <c r="L636" t="n">
        <v>0</v>
      </c>
      <c r="M636" t="n">
        <v>0</v>
      </c>
      <c r="N636" t="n">
        <v>0</v>
      </c>
      <c r="O636" t="n">
        <v>0</v>
      </c>
      <c r="P636" t="n">
        <v>0</v>
      </c>
      <c r="Q636" t="n">
        <v>0</v>
      </c>
      <c r="R636" s="2" t="inlineStr"/>
    </row>
    <row r="637" ht="15" customHeight="1">
      <c r="A637" t="inlineStr">
        <is>
          <t>A 22732-2024</t>
        </is>
      </c>
      <c r="B637" s="1" t="n">
        <v>45448.38677083333</v>
      </c>
      <c r="C637" s="1" t="n">
        <v>45915</v>
      </c>
      <c r="D637" t="inlineStr">
        <is>
          <t>DALARNAS LÄN</t>
        </is>
      </c>
      <c r="E637" t="inlineStr">
        <is>
          <t>MORA</t>
        </is>
      </c>
      <c r="G637" t="n">
        <v>3.6</v>
      </c>
      <c r="H637" t="n">
        <v>0</v>
      </c>
      <c r="I637" t="n">
        <v>0</v>
      </c>
      <c r="J637" t="n">
        <v>0</v>
      </c>
      <c r="K637" t="n">
        <v>0</v>
      </c>
      <c r="L637" t="n">
        <v>0</v>
      </c>
      <c r="M637" t="n">
        <v>0</v>
      </c>
      <c r="N637" t="n">
        <v>0</v>
      </c>
      <c r="O637" t="n">
        <v>0</v>
      </c>
      <c r="P637" t="n">
        <v>0</v>
      </c>
      <c r="Q637" t="n">
        <v>0</v>
      </c>
      <c r="R637" s="2" t="inlineStr"/>
    </row>
    <row r="638" ht="15" customHeight="1">
      <c r="A638" t="inlineStr">
        <is>
          <t>A 47784-2024</t>
        </is>
      </c>
      <c r="B638" s="1" t="n">
        <v>45588.59290509259</v>
      </c>
      <c r="C638" s="1" t="n">
        <v>45915</v>
      </c>
      <c r="D638" t="inlineStr">
        <is>
          <t>DALARNAS LÄN</t>
        </is>
      </c>
      <c r="E638" t="inlineStr">
        <is>
          <t>MORA</t>
        </is>
      </c>
      <c r="G638" t="n">
        <v>15.3</v>
      </c>
      <c r="H638" t="n">
        <v>0</v>
      </c>
      <c r="I638" t="n">
        <v>0</v>
      </c>
      <c r="J638" t="n">
        <v>0</v>
      </c>
      <c r="K638" t="n">
        <v>0</v>
      </c>
      <c r="L638" t="n">
        <v>0</v>
      </c>
      <c r="M638" t="n">
        <v>0</v>
      </c>
      <c r="N638" t="n">
        <v>0</v>
      </c>
      <c r="O638" t="n">
        <v>0</v>
      </c>
      <c r="P638" t="n">
        <v>0</v>
      </c>
      <c r="Q638" t="n">
        <v>0</v>
      </c>
      <c r="R638" s="2" t="inlineStr"/>
    </row>
    <row r="639" ht="15" customHeight="1">
      <c r="A639" t="inlineStr">
        <is>
          <t>A 64099-2023</t>
        </is>
      </c>
      <c r="B639" s="1" t="n">
        <v>45279.46009259259</v>
      </c>
      <c r="C639" s="1" t="n">
        <v>45915</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21244-2024</t>
        </is>
      </c>
      <c r="B640" s="1" t="n">
        <v>45440.59936342593</v>
      </c>
      <c r="C640" s="1" t="n">
        <v>45915</v>
      </c>
      <c r="D640" t="inlineStr">
        <is>
          <t>DALARNAS LÄN</t>
        </is>
      </c>
      <c r="E640" t="inlineStr">
        <is>
          <t>MORA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37471-2024</t>
        </is>
      </c>
      <c r="B641" s="1" t="n">
        <v>45540.85054398148</v>
      </c>
      <c r="C641" s="1" t="n">
        <v>45915</v>
      </c>
      <c r="D641" t="inlineStr">
        <is>
          <t>DALARNAS LÄN</t>
        </is>
      </c>
      <c r="E641" t="inlineStr">
        <is>
          <t>MORA</t>
        </is>
      </c>
      <c r="G641" t="n">
        <v>3.5</v>
      </c>
      <c r="H641" t="n">
        <v>0</v>
      </c>
      <c r="I641" t="n">
        <v>0</v>
      </c>
      <c r="J641" t="n">
        <v>0</v>
      </c>
      <c r="K641" t="n">
        <v>0</v>
      </c>
      <c r="L641" t="n">
        <v>0</v>
      </c>
      <c r="M641" t="n">
        <v>0</v>
      </c>
      <c r="N641" t="n">
        <v>0</v>
      </c>
      <c r="O641" t="n">
        <v>0</v>
      </c>
      <c r="P641" t="n">
        <v>0</v>
      </c>
      <c r="Q641" t="n">
        <v>0</v>
      </c>
      <c r="R641" s="2" t="inlineStr"/>
    </row>
    <row r="642" ht="15" customHeight="1">
      <c r="A642" t="inlineStr">
        <is>
          <t>A 33531-2024</t>
        </is>
      </c>
      <c r="B642" s="1" t="n">
        <v>45519.67503472222</v>
      </c>
      <c r="C642" s="1" t="n">
        <v>45915</v>
      </c>
      <c r="D642" t="inlineStr">
        <is>
          <t>DALARNAS LÄN</t>
        </is>
      </c>
      <c r="E642" t="inlineStr">
        <is>
          <t>MORA</t>
        </is>
      </c>
      <c r="G642" t="n">
        <v>14.8</v>
      </c>
      <c r="H642" t="n">
        <v>0</v>
      </c>
      <c r="I642" t="n">
        <v>0</v>
      </c>
      <c r="J642" t="n">
        <v>0</v>
      </c>
      <c r="K642" t="n">
        <v>0</v>
      </c>
      <c r="L642" t="n">
        <v>0</v>
      </c>
      <c r="M642" t="n">
        <v>0</v>
      </c>
      <c r="N642" t="n">
        <v>0</v>
      </c>
      <c r="O642" t="n">
        <v>0</v>
      </c>
      <c r="P642" t="n">
        <v>0</v>
      </c>
      <c r="Q642" t="n">
        <v>0</v>
      </c>
      <c r="R642" s="2" t="inlineStr"/>
    </row>
    <row r="643" ht="15" customHeight="1">
      <c r="A643" t="inlineStr">
        <is>
          <t>A 22785-2023</t>
        </is>
      </c>
      <c r="B643" s="1" t="n">
        <v>45072.34796296297</v>
      </c>
      <c r="C643" s="1" t="n">
        <v>45915</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53754-2024</t>
        </is>
      </c>
      <c r="B644" s="1" t="n">
        <v>45615.49371527778</v>
      </c>
      <c r="C644" s="1" t="n">
        <v>45915</v>
      </c>
      <c r="D644" t="inlineStr">
        <is>
          <t>DALARNAS LÄN</t>
        </is>
      </c>
      <c r="E644" t="inlineStr">
        <is>
          <t>MORA</t>
        </is>
      </c>
      <c r="G644" t="n">
        <v>4.8</v>
      </c>
      <c r="H644" t="n">
        <v>0</v>
      </c>
      <c r="I644" t="n">
        <v>0</v>
      </c>
      <c r="J644" t="n">
        <v>0</v>
      </c>
      <c r="K644" t="n">
        <v>0</v>
      </c>
      <c r="L644" t="n">
        <v>0</v>
      </c>
      <c r="M644" t="n">
        <v>0</v>
      </c>
      <c r="N644" t="n">
        <v>0</v>
      </c>
      <c r="O644" t="n">
        <v>0</v>
      </c>
      <c r="P644" t="n">
        <v>0</v>
      </c>
      <c r="Q644" t="n">
        <v>0</v>
      </c>
      <c r="R644" s="2" t="inlineStr"/>
    </row>
    <row r="645" ht="15" customHeight="1">
      <c r="A645" t="inlineStr">
        <is>
          <t>A 20989-2024</t>
        </is>
      </c>
      <c r="B645" s="1" t="n">
        <v>45439</v>
      </c>
      <c r="C645" s="1" t="n">
        <v>45915</v>
      </c>
      <c r="D645" t="inlineStr">
        <is>
          <t>DALARNAS LÄN</t>
        </is>
      </c>
      <c r="E645" t="inlineStr">
        <is>
          <t>MORA</t>
        </is>
      </c>
      <c r="F645" t="inlineStr">
        <is>
          <t>Bergvik skog öst AB</t>
        </is>
      </c>
      <c r="G645" t="n">
        <v>14.7</v>
      </c>
      <c r="H645" t="n">
        <v>0</v>
      </c>
      <c r="I645" t="n">
        <v>0</v>
      </c>
      <c r="J645" t="n">
        <v>0</v>
      </c>
      <c r="K645" t="n">
        <v>0</v>
      </c>
      <c r="L645" t="n">
        <v>0</v>
      </c>
      <c r="M645" t="n">
        <v>0</v>
      </c>
      <c r="N645" t="n">
        <v>0</v>
      </c>
      <c r="O645" t="n">
        <v>0</v>
      </c>
      <c r="P645" t="n">
        <v>0</v>
      </c>
      <c r="Q645" t="n">
        <v>0</v>
      </c>
      <c r="R645" s="2" t="inlineStr"/>
    </row>
    <row r="646" ht="15" customHeight="1">
      <c r="A646" t="inlineStr">
        <is>
          <t>A 20930-2024</t>
        </is>
      </c>
      <c r="B646" s="1" t="n">
        <v>45439.51907407407</v>
      </c>
      <c r="C646" s="1" t="n">
        <v>45915</v>
      </c>
      <c r="D646" t="inlineStr">
        <is>
          <t>DALARNAS LÄN</t>
        </is>
      </c>
      <c r="E646" t="inlineStr">
        <is>
          <t>MORA</t>
        </is>
      </c>
      <c r="F646" t="inlineStr">
        <is>
          <t>Bergvik skog väst AB</t>
        </is>
      </c>
      <c r="G646" t="n">
        <v>5.3</v>
      </c>
      <c r="H646" t="n">
        <v>0</v>
      </c>
      <c r="I646" t="n">
        <v>0</v>
      </c>
      <c r="J646" t="n">
        <v>0</v>
      </c>
      <c r="K646" t="n">
        <v>0</v>
      </c>
      <c r="L646" t="n">
        <v>0</v>
      </c>
      <c r="M646" t="n">
        <v>0</v>
      </c>
      <c r="N646" t="n">
        <v>0</v>
      </c>
      <c r="O646" t="n">
        <v>0</v>
      </c>
      <c r="P646" t="n">
        <v>0</v>
      </c>
      <c r="Q646" t="n">
        <v>0</v>
      </c>
      <c r="R646" s="2" t="inlineStr"/>
    </row>
    <row r="647" ht="15" customHeight="1">
      <c r="A647" t="inlineStr">
        <is>
          <t>A 7972-2024</t>
        </is>
      </c>
      <c r="B647" s="1" t="n">
        <v>45350</v>
      </c>
      <c r="C647" s="1" t="n">
        <v>45915</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43432-2024</t>
        </is>
      </c>
      <c r="B648" s="1" t="n">
        <v>45568.64337962963</v>
      </c>
      <c r="C648" s="1" t="n">
        <v>45915</v>
      </c>
      <c r="D648" t="inlineStr">
        <is>
          <t>DALARNAS LÄN</t>
        </is>
      </c>
      <c r="E648" t="inlineStr">
        <is>
          <t>MORA</t>
        </is>
      </c>
      <c r="G648" t="n">
        <v>0.4</v>
      </c>
      <c r="H648" t="n">
        <v>0</v>
      </c>
      <c r="I648" t="n">
        <v>0</v>
      </c>
      <c r="J648" t="n">
        <v>0</v>
      </c>
      <c r="K648" t="n">
        <v>0</v>
      </c>
      <c r="L648" t="n">
        <v>0</v>
      </c>
      <c r="M648" t="n">
        <v>0</v>
      </c>
      <c r="N648" t="n">
        <v>0</v>
      </c>
      <c r="O648" t="n">
        <v>0</v>
      </c>
      <c r="P648" t="n">
        <v>0</v>
      </c>
      <c r="Q648" t="n">
        <v>0</v>
      </c>
      <c r="R648" s="2" t="inlineStr"/>
    </row>
    <row r="649" ht="15" customHeight="1">
      <c r="A649" t="inlineStr">
        <is>
          <t>A 60428-2023</t>
        </is>
      </c>
      <c r="B649" s="1" t="n">
        <v>45259.50996527778</v>
      </c>
      <c r="C649" s="1" t="n">
        <v>45915</v>
      </c>
      <c r="D649" t="inlineStr">
        <is>
          <t>DALARNAS LÄN</t>
        </is>
      </c>
      <c r="E649" t="inlineStr">
        <is>
          <t>MORA</t>
        </is>
      </c>
      <c r="G649" t="n">
        <v>4.9</v>
      </c>
      <c r="H649" t="n">
        <v>0</v>
      </c>
      <c r="I649" t="n">
        <v>0</v>
      </c>
      <c r="J649" t="n">
        <v>0</v>
      </c>
      <c r="K649" t="n">
        <v>0</v>
      </c>
      <c r="L649" t="n">
        <v>0</v>
      </c>
      <c r="M649" t="n">
        <v>0</v>
      </c>
      <c r="N649" t="n">
        <v>0</v>
      </c>
      <c r="O649" t="n">
        <v>0</v>
      </c>
      <c r="P649" t="n">
        <v>0</v>
      </c>
      <c r="Q649" t="n">
        <v>0</v>
      </c>
      <c r="R649" s="2" t="inlineStr"/>
    </row>
    <row r="650" ht="15" customHeight="1">
      <c r="A650" t="inlineStr">
        <is>
          <t>A 437-2024</t>
        </is>
      </c>
      <c r="B650" s="1" t="n">
        <v>45296</v>
      </c>
      <c r="C650" s="1" t="n">
        <v>45915</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60715-2023</t>
        </is>
      </c>
      <c r="B651" s="1" t="n">
        <v>45260.52684027778</v>
      </c>
      <c r="C651" s="1" t="n">
        <v>45915</v>
      </c>
      <c r="D651" t="inlineStr">
        <is>
          <t>DALARNAS LÄN</t>
        </is>
      </c>
      <c r="E651" t="inlineStr">
        <is>
          <t>MORA</t>
        </is>
      </c>
      <c r="G651" t="n">
        <v>1.7</v>
      </c>
      <c r="H651" t="n">
        <v>0</v>
      </c>
      <c r="I651" t="n">
        <v>0</v>
      </c>
      <c r="J651" t="n">
        <v>0</v>
      </c>
      <c r="K651" t="n">
        <v>0</v>
      </c>
      <c r="L651" t="n">
        <v>0</v>
      </c>
      <c r="M651" t="n">
        <v>0</v>
      </c>
      <c r="N651" t="n">
        <v>0</v>
      </c>
      <c r="O651" t="n">
        <v>0</v>
      </c>
      <c r="P651" t="n">
        <v>0</v>
      </c>
      <c r="Q651" t="n">
        <v>0</v>
      </c>
      <c r="R651" s="2" t="inlineStr"/>
    </row>
    <row r="652" ht="15" customHeight="1">
      <c r="A652" t="inlineStr">
        <is>
          <t>A 27125-2024</t>
        </is>
      </c>
      <c r="B652" s="1" t="n">
        <v>45471</v>
      </c>
      <c r="C652" s="1" t="n">
        <v>45915</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30822-2024</t>
        </is>
      </c>
      <c r="B653" s="1" t="n">
        <v>45497</v>
      </c>
      <c r="C653" s="1" t="n">
        <v>45915</v>
      </c>
      <c r="D653" t="inlineStr">
        <is>
          <t>DALARNAS LÄN</t>
        </is>
      </c>
      <c r="E653" t="inlineStr">
        <is>
          <t>MORA</t>
        </is>
      </c>
      <c r="G653" t="n">
        <v>1.8</v>
      </c>
      <c r="H653" t="n">
        <v>0</v>
      </c>
      <c r="I653" t="n">
        <v>0</v>
      </c>
      <c r="J653" t="n">
        <v>0</v>
      </c>
      <c r="K653" t="n">
        <v>0</v>
      </c>
      <c r="L653" t="n">
        <v>0</v>
      </c>
      <c r="M653" t="n">
        <v>0</v>
      </c>
      <c r="N653" t="n">
        <v>0</v>
      </c>
      <c r="O653" t="n">
        <v>0</v>
      </c>
      <c r="P653" t="n">
        <v>0</v>
      </c>
      <c r="Q653" t="n">
        <v>0</v>
      </c>
      <c r="R653" s="2" t="inlineStr"/>
    </row>
    <row r="654" ht="15" customHeight="1">
      <c r="A654" t="inlineStr">
        <is>
          <t>A 61278-2024</t>
        </is>
      </c>
      <c r="B654" s="1" t="n">
        <v>45645.76561342592</v>
      </c>
      <c r="C654" s="1" t="n">
        <v>45915</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58177-2024</t>
        </is>
      </c>
      <c r="B655" s="1" t="n">
        <v>45632.46821759259</v>
      </c>
      <c r="C655" s="1" t="n">
        <v>45915</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c r="A656" t="inlineStr">
        <is>
          <t>A 17172-2025</t>
        </is>
      </c>
      <c r="B656" s="1" t="n">
        <v>45756.37201388889</v>
      </c>
      <c r="C656" s="1" t="n">
        <v>45915</v>
      </c>
      <c r="D656" t="inlineStr">
        <is>
          <t>DALARNAS LÄN</t>
        </is>
      </c>
      <c r="E656" t="inlineStr">
        <is>
          <t>MORA</t>
        </is>
      </c>
      <c r="F656" t="inlineStr">
        <is>
          <t>Bergvik skog öst AB</t>
        </is>
      </c>
      <c r="G656" t="n">
        <v>0.5</v>
      </c>
      <c r="H656" t="n">
        <v>0</v>
      </c>
      <c r="I656" t="n">
        <v>0</v>
      </c>
      <c r="J656" t="n">
        <v>0</v>
      </c>
      <c r="K656" t="n">
        <v>0</v>
      </c>
      <c r="L656" t="n">
        <v>0</v>
      </c>
      <c r="M656" t="n">
        <v>0</v>
      </c>
      <c r="N656" t="n">
        <v>0</v>
      </c>
      <c r="O656" t="n">
        <v>0</v>
      </c>
      <c r="P656" t="n">
        <v>0</v>
      </c>
      <c r="Q656" t="n">
        <v>0</v>
      </c>
      <c r="R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2025-09-15T08:56:19Z</dcterms:created>
  <dcterms:modified xmlns:dcterms="http://purl.org/dc/terms/" xmlns:xsi="http://www.w3.org/2001/XMLSchema-instance" xsi:type="dcterms:W3CDTF">2025-09-15T08:56:19Z</dcterms:modified>
</cp:coreProperties>
</file>