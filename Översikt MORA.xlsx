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45969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45969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45969</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45969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45969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45969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45969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47081-2025</t>
        </is>
      </c>
      <c r="B9" s="1" t="n">
        <v>45929.64153935185</v>
      </c>
      <c r="C9" s="1" t="n">
        <v>45969</v>
      </c>
      <c r="D9" t="inlineStr">
        <is>
          <t>DALARNAS LÄN</t>
        </is>
      </c>
      <c r="E9" t="inlineStr">
        <is>
          <t>MORA</t>
        </is>
      </c>
      <c r="F9" t="inlineStr">
        <is>
          <t>Allmännings- och besparingsskogar</t>
        </is>
      </c>
      <c r="G9" t="n">
        <v>9.1</v>
      </c>
      <c r="H9" t="n">
        <v>8</v>
      </c>
      <c r="I9" t="n">
        <v>3</v>
      </c>
      <c r="J9" t="n">
        <v>13</v>
      </c>
      <c r="K9" t="n">
        <v>1</v>
      </c>
      <c r="L9" t="n">
        <v>0</v>
      </c>
      <c r="M9" t="n">
        <v>0</v>
      </c>
      <c r="N9" t="n">
        <v>0</v>
      </c>
      <c r="O9" t="n">
        <v>14</v>
      </c>
      <c r="P9" t="n">
        <v>1</v>
      </c>
      <c r="Q9" t="n">
        <v>20</v>
      </c>
      <c r="R9"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9">
        <f>HYPERLINK("https://klasma.github.io/Logging_2062/artfynd/A 47081-2025 artfynd.xlsx", "A 47081-2025")</f>
        <v/>
      </c>
      <c r="T9">
        <f>HYPERLINK("https://klasma.github.io/Logging_2062/kartor/A 47081-2025 karta.png", "A 47081-2025")</f>
        <v/>
      </c>
      <c r="U9">
        <f>HYPERLINK("https://klasma.github.io/Logging_2062/knärot/A 47081-2025 karta knärot.png",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1254-2025</t>
        </is>
      </c>
      <c r="B10" s="1" t="n">
        <v>45666</v>
      </c>
      <c r="C10" s="1" t="n">
        <v>45969</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34018-2021</t>
        </is>
      </c>
      <c r="B11" s="1" t="n">
        <v>44379.34289351852</v>
      </c>
      <c r="C11" s="1" t="n">
        <v>45969</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43504-2025</t>
        </is>
      </c>
      <c r="B12" s="1" t="n">
        <v>45911</v>
      </c>
      <c r="C12" s="1" t="n">
        <v>45969</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45969</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35200-2025</t>
        </is>
      </c>
      <c r="B14" s="1" t="n">
        <v>45853</v>
      </c>
      <c r="C14" s="1" t="n">
        <v>45969</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20531-2025</t>
        </is>
      </c>
      <c r="B15" s="1" t="n">
        <v>45775</v>
      </c>
      <c r="C15" s="1" t="n">
        <v>45969</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45969</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45969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45969</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45969</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45969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54991-2025</t>
        </is>
      </c>
      <c r="B21" s="1" t="n">
        <v>45967.57792824074</v>
      </c>
      <c r="C21" s="1" t="n">
        <v>45969</v>
      </c>
      <c r="D21" t="inlineStr">
        <is>
          <t>DALARNAS LÄN</t>
        </is>
      </c>
      <c r="E21" t="inlineStr">
        <is>
          <t>MORA</t>
        </is>
      </c>
      <c r="G21" t="n">
        <v>13</v>
      </c>
      <c r="H21" t="n">
        <v>0</v>
      </c>
      <c r="I21" t="n">
        <v>2</v>
      </c>
      <c r="J21" t="n">
        <v>6</v>
      </c>
      <c r="K21" t="n">
        <v>5</v>
      </c>
      <c r="L21" t="n">
        <v>0</v>
      </c>
      <c r="M21" t="n">
        <v>0</v>
      </c>
      <c r="N21" t="n">
        <v>0</v>
      </c>
      <c r="O21" t="n">
        <v>11</v>
      </c>
      <c r="P21" t="n">
        <v>5</v>
      </c>
      <c r="Q21" t="n">
        <v>13</v>
      </c>
      <c r="R21" s="2" t="inlineStr">
        <is>
          <t>Jättemusseron
Lammticka
Rotfingersvamp
Smalfotad taggsvamp
Tajgataggsvamp
Druvfingersvamp
Garnlav
Motaggsvamp
Orange taggsvamp
Skrovlig taggsvamp
Tallriska
Dropptaggsvamp
Tallfingersvamp</t>
        </is>
      </c>
      <c r="S21">
        <f>HYPERLINK("https://klasma.github.io/Logging_2062/artfynd/A 54991-2025 artfynd.xlsx", "A 54991-2025")</f>
        <v/>
      </c>
      <c r="T21">
        <f>HYPERLINK("https://klasma.github.io/Logging_2062/kartor/A 54991-2025 karta.png", "A 54991-2025")</f>
        <v/>
      </c>
      <c r="V21">
        <f>HYPERLINK("https://klasma.github.io/Logging_2062/klagomål/A 54991-2025 FSC-klagomål.docx", "A 54991-2025")</f>
        <v/>
      </c>
      <c r="W21">
        <f>HYPERLINK("https://klasma.github.io/Logging_2062/klagomålsmail/A 54991-2025 FSC-klagomål mail.docx", "A 54991-2025")</f>
        <v/>
      </c>
      <c r="X21">
        <f>HYPERLINK("https://klasma.github.io/Logging_2062/tillsyn/A 54991-2025 tillsynsbegäran.docx", "A 54991-2025")</f>
        <v/>
      </c>
      <c r="Y21">
        <f>HYPERLINK("https://klasma.github.io/Logging_2062/tillsynsmail/A 54991-2025 tillsynsbegäran mail.docx", "A 54991-2025")</f>
        <v/>
      </c>
    </row>
    <row r="22" ht="15" customHeight="1">
      <c r="A22" t="inlineStr">
        <is>
          <t>A 35485-2025</t>
        </is>
      </c>
      <c r="B22" s="1" t="n">
        <v>45855.74484953703</v>
      </c>
      <c r="C22" s="1" t="n">
        <v>45969</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45969</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45969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45969</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45969</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50759-2023</t>
        </is>
      </c>
      <c r="B27" s="1" t="n">
        <v>45217.60914351852</v>
      </c>
      <c r="C27" s="1" t="n">
        <v>45969</v>
      </c>
      <c r="D27" t="inlineStr">
        <is>
          <t>DALARNAS LÄN</t>
        </is>
      </c>
      <c r="E27" t="inlineStr">
        <is>
          <t>MORA</t>
        </is>
      </c>
      <c r="G27" t="n">
        <v>5.3</v>
      </c>
      <c r="H27" t="n">
        <v>5</v>
      </c>
      <c r="I27" t="n">
        <v>1</v>
      </c>
      <c r="J27" t="n">
        <v>7</v>
      </c>
      <c r="K27" t="n">
        <v>0</v>
      </c>
      <c r="L27" t="n">
        <v>0</v>
      </c>
      <c r="M27" t="n">
        <v>0</v>
      </c>
      <c r="N27" t="n">
        <v>0</v>
      </c>
      <c r="O27" t="n">
        <v>7</v>
      </c>
      <c r="P27" t="n">
        <v>0</v>
      </c>
      <c r="Q27" t="n">
        <v>10</v>
      </c>
      <c r="R27" s="2" t="inlineStr">
        <is>
          <t>Garnlav
Rosenticka
Spillkråka
Talltita
Tretåig hackspett
Ullticka
Vedskivlav
Mindre märgborre
Kungsfågel
Revlummer</t>
        </is>
      </c>
      <c r="S27">
        <f>HYPERLINK("https://klasma.github.io/Logging_2062/artfynd/A 50759-2023 artfynd.xlsx", "A 50759-2023")</f>
        <v/>
      </c>
      <c r="T27">
        <f>HYPERLINK("https://klasma.github.io/Logging_2062/kartor/A 50759-2023 karta.png", "A 50759-2023")</f>
        <v/>
      </c>
      <c r="V27">
        <f>HYPERLINK("https://klasma.github.io/Logging_2062/klagomål/A 50759-2023 FSC-klagomål.docx", "A 50759-2023")</f>
        <v/>
      </c>
      <c r="W27">
        <f>HYPERLINK("https://klasma.github.io/Logging_2062/klagomålsmail/A 50759-2023 FSC-klagomål mail.docx", "A 50759-2023")</f>
        <v/>
      </c>
      <c r="X27">
        <f>HYPERLINK("https://klasma.github.io/Logging_2062/tillsyn/A 50759-2023 tillsynsbegäran.docx", "A 50759-2023")</f>
        <v/>
      </c>
      <c r="Y27">
        <f>HYPERLINK("https://klasma.github.io/Logging_2062/tillsynsmail/A 50759-2023 tillsynsbegäran mail.docx", "A 50759-2023")</f>
        <v/>
      </c>
      <c r="Z27">
        <f>HYPERLINK("https://klasma.github.io/Logging_2062/fåglar/A 50759-2023 prioriterade fågelarter.docx", "A 50759-2023")</f>
        <v/>
      </c>
    </row>
    <row r="28" ht="15" customHeight="1">
      <c r="A28" t="inlineStr">
        <is>
          <t>A 29934-2025</t>
        </is>
      </c>
      <c r="B28" s="1" t="n">
        <v>45826</v>
      </c>
      <c r="C28" s="1" t="n">
        <v>45969</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34714-2025</t>
        </is>
      </c>
      <c r="B29" s="1" t="n">
        <v>45848</v>
      </c>
      <c r="C29" s="1" t="n">
        <v>45969</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40313-2025</t>
        </is>
      </c>
      <c r="B30" s="1" t="n">
        <v>45895.42209490741</v>
      </c>
      <c r="C30" s="1" t="n">
        <v>45969</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21041-2023</t>
        </is>
      </c>
      <c r="B31" s="1" t="n">
        <v>45061.58952546296</v>
      </c>
      <c r="C31" s="1" t="n">
        <v>45969</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41794-2025</t>
        </is>
      </c>
      <c r="B32" s="1" t="n">
        <v>45902.60008101852</v>
      </c>
      <c r="C32" s="1" t="n">
        <v>45969</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45969</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35486-2025</t>
        </is>
      </c>
      <c r="B34" s="1" t="n">
        <v>45855</v>
      </c>
      <c r="C34" s="1" t="n">
        <v>45969</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45969</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45969</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30904-2025</t>
        </is>
      </c>
      <c r="B37" s="1" t="n">
        <v>45832.36327546297</v>
      </c>
      <c r="C37" s="1" t="n">
        <v>45969</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33380-2025</t>
        </is>
      </c>
      <c r="B38" s="1" t="n">
        <v>45841.40309027778</v>
      </c>
      <c r="C38" s="1" t="n">
        <v>45969</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45969</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61259-2023</t>
        </is>
      </c>
      <c r="B40" s="1" t="n">
        <v>45264</v>
      </c>
      <c r="C40" s="1" t="n">
        <v>45969</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29380-2025</t>
        </is>
      </c>
      <c r="B41" s="1" t="n">
        <v>45824.59025462963</v>
      </c>
      <c r="C41" s="1" t="n">
        <v>45969</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45969</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34447-2024</t>
        </is>
      </c>
      <c r="B43" s="1" t="n">
        <v>45525</v>
      </c>
      <c r="C43" s="1" t="n">
        <v>45969</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45969</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45969</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45969</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25750-2021</t>
        </is>
      </c>
      <c r="B47" s="1" t="n">
        <v>44343</v>
      </c>
      <c r="C47" s="1" t="n">
        <v>45969</v>
      </c>
      <c r="D47" t="inlineStr">
        <is>
          <t>DALARNAS LÄN</t>
        </is>
      </c>
      <c r="E47" t="inlineStr">
        <is>
          <t>MORA</t>
        </is>
      </c>
      <c r="G47" t="n">
        <v>3.4</v>
      </c>
      <c r="H47" t="n">
        <v>2</v>
      </c>
      <c r="I47" t="n">
        <v>0</v>
      </c>
      <c r="J47" t="n">
        <v>4</v>
      </c>
      <c r="K47" t="n">
        <v>1</v>
      </c>
      <c r="L47" t="n">
        <v>0</v>
      </c>
      <c r="M47" t="n">
        <v>0</v>
      </c>
      <c r="N47" t="n">
        <v>0</v>
      </c>
      <c r="O47" t="n">
        <v>5</v>
      </c>
      <c r="P47" t="n">
        <v>1</v>
      </c>
      <c r="Q47" t="n">
        <v>5</v>
      </c>
      <c r="R47" s="2" t="inlineStr">
        <is>
          <t>Knärot
Garnlav
Kolflarnlav
Mörk kolflarnlav
Spillkråka</t>
        </is>
      </c>
      <c r="S47">
        <f>HYPERLINK("https://klasma.github.io/Logging_2062/artfynd/A 25750-2021 artfynd.xlsx", "A 25750-2021")</f>
        <v/>
      </c>
      <c r="T47">
        <f>HYPERLINK("https://klasma.github.io/Logging_2062/kartor/A 25750-2021 karta.png", "A 25750-2021")</f>
        <v/>
      </c>
      <c r="U47">
        <f>HYPERLINK("https://klasma.github.io/Logging_2062/knärot/A 25750-2021 karta knärot.png", "A 25750-2021")</f>
        <v/>
      </c>
      <c r="V47">
        <f>HYPERLINK("https://klasma.github.io/Logging_2062/klagomål/A 25750-2021 FSC-klagomål.docx", "A 25750-2021")</f>
        <v/>
      </c>
      <c r="W47">
        <f>HYPERLINK("https://klasma.github.io/Logging_2062/klagomålsmail/A 25750-2021 FSC-klagomål mail.docx", "A 25750-2021")</f>
        <v/>
      </c>
      <c r="X47">
        <f>HYPERLINK("https://klasma.github.io/Logging_2062/tillsyn/A 25750-2021 tillsynsbegäran.docx", "A 25750-2021")</f>
        <v/>
      </c>
      <c r="Y47">
        <f>HYPERLINK("https://klasma.github.io/Logging_2062/tillsynsmail/A 25750-2021 tillsynsbegäran mail.docx", "A 25750-2021")</f>
        <v/>
      </c>
      <c r="Z47">
        <f>HYPERLINK("https://klasma.github.io/Logging_2062/fåglar/A 25750-2021 prioriterade fågelarter.docx", "A 25750-2021")</f>
        <v/>
      </c>
    </row>
    <row r="48" ht="15" customHeight="1">
      <c r="A48" t="inlineStr">
        <is>
          <t>A 31539-2025</t>
        </is>
      </c>
      <c r="B48" s="1" t="n">
        <v>45833</v>
      </c>
      <c r="C48" s="1" t="n">
        <v>45969</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45969</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14293-2024</t>
        </is>
      </c>
      <c r="B50" s="1" t="n">
        <v>45393.63902777778</v>
      </c>
      <c r="C50" s="1" t="n">
        <v>45969</v>
      </c>
      <c r="D50" t="inlineStr">
        <is>
          <t>DALARNAS LÄN</t>
        </is>
      </c>
      <c r="E50" t="inlineStr">
        <is>
          <t>MORA</t>
        </is>
      </c>
      <c r="G50" t="n">
        <v>7.4</v>
      </c>
      <c r="H50" t="n">
        <v>2</v>
      </c>
      <c r="I50" t="n">
        <v>1</v>
      </c>
      <c r="J50" t="n">
        <v>2</v>
      </c>
      <c r="K50" t="n">
        <v>0</v>
      </c>
      <c r="L50" t="n">
        <v>0</v>
      </c>
      <c r="M50" t="n">
        <v>0</v>
      </c>
      <c r="N50" t="n">
        <v>0</v>
      </c>
      <c r="O50" t="n">
        <v>2</v>
      </c>
      <c r="P50" t="n">
        <v>0</v>
      </c>
      <c r="Q50" t="n">
        <v>4</v>
      </c>
      <c r="R50" s="2" t="inlineStr">
        <is>
          <t>Garnlav
Talltita
Dropptaggsvamp
Tjäder</t>
        </is>
      </c>
      <c r="S50">
        <f>HYPERLINK("https://klasma.github.io/Logging_2062/artfynd/A 14293-2024 artfynd.xlsx", "A 14293-2024")</f>
        <v/>
      </c>
      <c r="T50">
        <f>HYPERLINK("https://klasma.github.io/Logging_2062/kartor/A 14293-2024 karta.png", "A 14293-2024")</f>
        <v/>
      </c>
      <c r="V50">
        <f>HYPERLINK("https://klasma.github.io/Logging_2062/klagomål/A 14293-2024 FSC-klagomål.docx", "A 14293-2024")</f>
        <v/>
      </c>
      <c r="W50">
        <f>HYPERLINK("https://klasma.github.io/Logging_2062/klagomålsmail/A 14293-2024 FSC-klagomål mail.docx", "A 14293-2024")</f>
        <v/>
      </c>
      <c r="X50">
        <f>HYPERLINK("https://klasma.github.io/Logging_2062/tillsyn/A 14293-2024 tillsynsbegäran.docx", "A 14293-2024")</f>
        <v/>
      </c>
      <c r="Y50">
        <f>HYPERLINK("https://klasma.github.io/Logging_2062/tillsynsmail/A 14293-2024 tillsynsbegäran mail.docx", "A 14293-2024")</f>
        <v/>
      </c>
      <c r="Z50">
        <f>HYPERLINK("https://klasma.github.io/Logging_2062/fåglar/A 14293-2024 prioriterade fågelarter.docx", "A 14293-2024")</f>
        <v/>
      </c>
    </row>
    <row r="51" ht="15" customHeight="1">
      <c r="A51" t="inlineStr">
        <is>
          <t>A 17648-2024</t>
        </is>
      </c>
      <c r="B51" s="1" t="n">
        <v>45418.39261574074</v>
      </c>
      <c r="C51" s="1" t="n">
        <v>45969</v>
      </c>
      <c r="D51" t="inlineStr">
        <is>
          <t>DALARNAS LÄN</t>
        </is>
      </c>
      <c r="E51" t="inlineStr">
        <is>
          <t>MORA</t>
        </is>
      </c>
      <c r="G51" t="n">
        <v>1.7</v>
      </c>
      <c r="H51" t="n">
        <v>4</v>
      </c>
      <c r="I51" t="n">
        <v>0</v>
      </c>
      <c r="J51" t="n">
        <v>2</v>
      </c>
      <c r="K51" t="n">
        <v>0</v>
      </c>
      <c r="L51" t="n">
        <v>0</v>
      </c>
      <c r="M51" t="n">
        <v>0</v>
      </c>
      <c r="N51" t="n">
        <v>0</v>
      </c>
      <c r="O51" t="n">
        <v>2</v>
      </c>
      <c r="P51" t="n">
        <v>0</v>
      </c>
      <c r="Q51" t="n">
        <v>4</v>
      </c>
      <c r="R51" s="2" t="inlineStr">
        <is>
          <t>Brunlångöra
Nordfladdermus
Dvärgpipistrell
Vattenfladdermus</t>
        </is>
      </c>
      <c r="S51">
        <f>HYPERLINK("https://klasma.github.io/Logging_2062/artfynd/A 17648-2024 artfynd.xlsx", "A 17648-2024")</f>
        <v/>
      </c>
      <c r="T51">
        <f>HYPERLINK("https://klasma.github.io/Logging_2062/kartor/A 17648-2024 karta.png", "A 17648-2024")</f>
        <v/>
      </c>
      <c r="V51">
        <f>HYPERLINK("https://klasma.github.io/Logging_2062/klagomål/A 17648-2024 FSC-klagomål.docx", "A 17648-2024")</f>
        <v/>
      </c>
      <c r="W51">
        <f>HYPERLINK("https://klasma.github.io/Logging_2062/klagomålsmail/A 17648-2024 FSC-klagomål mail.docx", "A 17648-2024")</f>
        <v/>
      </c>
      <c r="X51">
        <f>HYPERLINK("https://klasma.github.io/Logging_2062/tillsyn/A 17648-2024 tillsynsbegäran.docx", "A 17648-2024")</f>
        <v/>
      </c>
      <c r="Y51">
        <f>HYPERLINK("https://klasma.github.io/Logging_2062/tillsynsmail/A 17648-2024 tillsynsbegäran mail.docx", "A 17648-2024")</f>
        <v/>
      </c>
    </row>
    <row r="52" ht="15" customHeight="1">
      <c r="A52" t="inlineStr">
        <is>
          <t>A 14829-2025</t>
        </is>
      </c>
      <c r="B52" s="1" t="n">
        <v>45743.36951388889</v>
      </c>
      <c r="C52" s="1" t="n">
        <v>45969</v>
      </c>
      <c r="D52" t="inlineStr">
        <is>
          <t>DALARNAS LÄN</t>
        </is>
      </c>
      <c r="E52" t="inlineStr">
        <is>
          <t>MORA</t>
        </is>
      </c>
      <c r="G52" t="n">
        <v>6.4</v>
      </c>
      <c r="H52" t="n">
        <v>1</v>
      </c>
      <c r="I52" t="n">
        <v>1</v>
      </c>
      <c r="J52" t="n">
        <v>3</v>
      </c>
      <c r="K52" t="n">
        <v>0</v>
      </c>
      <c r="L52" t="n">
        <v>0</v>
      </c>
      <c r="M52" t="n">
        <v>0</v>
      </c>
      <c r="N52" t="n">
        <v>0</v>
      </c>
      <c r="O52" t="n">
        <v>3</v>
      </c>
      <c r="P52" t="n">
        <v>0</v>
      </c>
      <c r="Q52" t="n">
        <v>4</v>
      </c>
      <c r="R52" s="2" t="inlineStr">
        <is>
          <t>Garnlav
Motaggsvamp
Spillkråka
Dropptaggsvamp</t>
        </is>
      </c>
      <c r="S52">
        <f>HYPERLINK("https://klasma.github.io/Logging_2062/artfynd/A 14829-2025 artfynd.xlsx", "A 14829-2025")</f>
        <v/>
      </c>
      <c r="T52">
        <f>HYPERLINK("https://klasma.github.io/Logging_2062/kartor/A 14829-2025 karta.png", "A 14829-2025")</f>
        <v/>
      </c>
      <c r="V52">
        <f>HYPERLINK("https://klasma.github.io/Logging_2062/klagomål/A 14829-2025 FSC-klagomål.docx", "A 14829-2025")</f>
        <v/>
      </c>
      <c r="W52">
        <f>HYPERLINK("https://klasma.github.io/Logging_2062/klagomålsmail/A 14829-2025 FSC-klagomål mail.docx", "A 14829-2025")</f>
        <v/>
      </c>
      <c r="X52">
        <f>HYPERLINK("https://klasma.github.io/Logging_2062/tillsyn/A 14829-2025 tillsynsbegäran.docx", "A 14829-2025")</f>
        <v/>
      </c>
      <c r="Y52">
        <f>HYPERLINK("https://klasma.github.io/Logging_2062/tillsynsmail/A 14829-2025 tillsynsbegäran mail.docx", "A 14829-2025")</f>
        <v/>
      </c>
      <c r="Z52">
        <f>HYPERLINK("https://klasma.github.io/Logging_2062/fåglar/A 14829-2025 prioriterade fågelarter.docx", "A 14829-2025")</f>
        <v/>
      </c>
    </row>
    <row r="53" ht="15" customHeight="1">
      <c r="A53" t="inlineStr">
        <is>
          <t>A 39478-2025</t>
        </is>
      </c>
      <c r="B53" s="1" t="n">
        <v>45890.3469212963</v>
      </c>
      <c r="C53" s="1" t="n">
        <v>45969</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45969</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32222-2025</t>
        </is>
      </c>
      <c r="B55" s="1" t="n">
        <v>45835.59140046296</v>
      </c>
      <c r="C55" s="1" t="n">
        <v>45969</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34715-2025</t>
        </is>
      </c>
      <c r="B56" s="1" t="n">
        <v>45848.52225694444</v>
      </c>
      <c r="C56" s="1" t="n">
        <v>45969</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39481-2025</t>
        </is>
      </c>
      <c r="B57" s="1" t="n">
        <v>45890.35545138889</v>
      </c>
      <c r="C57" s="1" t="n">
        <v>45969</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45969</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45969</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59626-2020</t>
        </is>
      </c>
      <c r="B60" s="1" t="n">
        <v>44150</v>
      </c>
      <c r="C60" s="1" t="n">
        <v>45969</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45969</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45969</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23163-2025</t>
        </is>
      </c>
      <c r="B63" s="1" t="n">
        <v>45791.41832175926</v>
      </c>
      <c r="C63" s="1" t="n">
        <v>45969</v>
      </c>
      <c r="D63" t="inlineStr">
        <is>
          <t>DALARNAS LÄN</t>
        </is>
      </c>
      <c r="E63" t="inlineStr">
        <is>
          <t>MORA</t>
        </is>
      </c>
      <c r="G63" t="n">
        <v>4.2</v>
      </c>
      <c r="H63" t="n">
        <v>2</v>
      </c>
      <c r="I63" t="n">
        <v>0</v>
      </c>
      <c r="J63" t="n">
        <v>2</v>
      </c>
      <c r="K63" t="n">
        <v>0</v>
      </c>
      <c r="L63" t="n">
        <v>0</v>
      </c>
      <c r="M63" t="n">
        <v>0</v>
      </c>
      <c r="N63" t="n">
        <v>0</v>
      </c>
      <c r="O63" t="n">
        <v>2</v>
      </c>
      <c r="P63" t="n">
        <v>0</v>
      </c>
      <c r="Q63" t="n">
        <v>2</v>
      </c>
      <c r="R63" s="2" t="inlineStr">
        <is>
          <t>Spillkråka
Talltita</t>
        </is>
      </c>
      <c r="S63">
        <f>HYPERLINK("https://klasma.github.io/Logging_2062/artfynd/A 23163-2025 artfynd.xlsx", "A 23163-2025")</f>
        <v/>
      </c>
      <c r="T63">
        <f>HYPERLINK("https://klasma.github.io/Logging_2062/kartor/A 23163-2025 karta.png",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42028-2023</t>
        </is>
      </c>
      <c r="B64" s="1" t="n">
        <v>45177.49715277777</v>
      </c>
      <c r="C64" s="1" t="n">
        <v>45969</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45969</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30328-2021</t>
        </is>
      </c>
      <c r="B66" s="1" t="n">
        <v>44364</v>
      </c>
      <c r="C66" s="1" t="n">
        <v>45969</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23736-2023</t>
        </is>
      </c>
      <c r="B67" s="1" t="n">
        <v>45077</v>
      </c>
      <c r="C67" s="1" t="n">
        <v>45969</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20538-2025</t>
        </is>
      </c>
      <c r="B68" s="1" t="n">
        <v>45775.62283564815</v>
      </c>
      <c r="C68" s="1" t="n">
        <v>45969</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13717-2023</t>
        </is>
      </c>
      <c r="B69" s="1" t="n">
        <v>45007</v>
      </c>
      <c r="C69" s="1" t="n">
        <v>45969</v>
      </c>
      <c r="D69" t="inlineStr">
        <is>
          <t>DALARNAS LÄN</t>
        </is>
      </c>
      <c r="E69" t="inlineStr">
        <is>
          <t>MORA</t>
        </is>
      </c>
      <c r="G69" t="n">
        <v>5.6</v>
      </c>
      <c r="H69" t="n">
        <v>0</v>
      </c>
      <c r="I69" t="n">
        <v>0</v>
      </c>
      <c r="J69" t="n">
        <v>1</v>
      </c>
      <c r="K69" t="n">
        <v>0</v>
      </c>
      <c r="L69" t="n">
        <v>0</v>
      </c>
      <c r="M69" t="n">
        <v>0</v>
      </c>
      <c r="N69" t="n">
        <v>0</v>
      </c>
      <c r="O69" t="n">
        <v>1</v>
      </c>
      <c r="P69" t="n">
        <v>0</v>
      </c>
      <c r="Q69" t="n">
        <v>1</v>
      </c>
      <c r="R69" s="2" t="inlineStr">
        <is>
          <t>Slåtterfibbla</t>
        </is>
      </c>
      <c r="S69">
        <f>HYPERLINK("https://klasma.github.io/Logging_2062/artfynd/A 13717-2023 artfynd.xlsx", "A 13717-2023")</f>
        <v/>
      </c>
      <c r="T69">
        <f>HYPERLINK("https://klasma.github.io/Logging_2062/kartor/A 13717-2023 karta.png", "A 13717-2023")</f>
        <v/>
      </c>
      <c r="U69">
        <f>HYPERLINK("https://klasma.github.io/Logging_2062/knärot/A 13717-2023 karta knärot.png", "A 13717-2023")</f>
        <v/>
      </c>
      <c r="V69">
        <f>HYPERLINK("https://klasma.github.io/Logging_2062/klagomål/A 13717-2023 FSC-klagomål.docx", "A 13717-2023")</f>
        <v/>
      </c>
      <c r="W69">
        <f>HYPERLINK("https://klasma.github.io/Logging_2062/klagomålsmail/A 13717-2023 FSC-klagomål mail.docx", "A 13717-2023")</f>
        <v/>
      </c>
      <c r="X69">
        <f>HYPERLINK("https://klasma.github.io/Logging_2062/tillsyn/A 13717-2023 tillsynsbegäran.docx", "A 13717-2023")</f>
        <v/>
      </c>
      <c r="Y69">
        <f>HYPERLINK("https://klasma.github.io/Logging_2062/tillsynsmail/A 13717-2023 tillsynsbegäran mail.docx", "A 13717-2023")</f>
        <v/>
      </c>
    </row>
    <row r="70" ht="15" customHeight="1">
      <c r="A70" t="inlineStr">
        <is>
          <t>A 16094-2024</t>
        </is>
      </c>
      <c r="B70" s="1" t="n">
        <v>45406.41648148148</v>
      </c>
      <c r="C70" s="1" t="n">
        <v>45969</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57669-2022</t>
        </is>
      </c>
      <c r="B71" s="1" t="n">
        <v>44897</v>
      </c>
      <c r="C71" s="1" t="n">
        <v>45969</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5304-2023</t>
        </is>
      </c>
      <c r="B72" s="1" t="n">
        <v>44959.55116898148</v>
      </c>
      <c r="C72" s="1" t="n">
        <v>45969</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45969</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831-2025</t>
        </is>
      </c>
      <c r="B74" s="1" t="n">
        <v>45665.58001157407</v>
      </c>
      <c r="C74" s="1" t="n">
        <v>45969</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45344-2024</t>
        </is>
      </c>
      <c r="B75" s="1" t="n">
        <v>45576</v>
      </c>
      <c r="C75" s="1" t="n">
        <v>45969</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66990-2020</t>
        </is>
      </c>
      <c r="B76" s="1" t="n">
        <v>44180</v>
      </c>
      <c r="C76" s="1" t="n">
        <v>45969</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45969</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45969</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45969</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45969</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45969</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45969</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45969</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45969</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45969</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45969</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61338-2020</t>
        </is>
      </c>
      <c r="B87" s="1" t="n">
        <v>44155</v>
      </c>
      <c r="C87" s="1" t="n">
        <v>45969</v>
      </c>
      <c r="D87" t="inlineStr">
        <is>
          <t>DALARNAS LÄN</t>
        </is>
      </c>
      <c r="E87" t="inlineStr">
        <is>
          <t>MORA</t>
        </is>
      </c>
      <c r="F87" t="inlineStr">
        <is>
          <t>Bergvik skog väst AB</t>
        </is>
      </c>
      <c r="G87" t="n">
        <v>2</v>
      </c>
      <c r="H87" t="n">
        <v>0</v>
      </c>
      <c r="I87" t="n">
        <v>0</v>
      </c>
      <c r="J87" t="n">
        <v>0</v>
      </c>
      <c r="K87" t="n">
        <v>0</v>
      </c>
      <c r="L87" t="n">
        <v>0</v>
      </c>
      <c r="M87" t="n">
        <v>0</v>
      </c>
      <c r="N87" t="n">
        <v>0</v>
      </c>
      <c r="O87" t="n">
        <v>0</v>
      </c>
      <c r="P87" t="n">
        <v>0</v>
      </c>
      <c r="Q87" t="n">
        <v>0</v>
      </c>
      <c r="R87" s="2" t="inlineStr"/>
    </row>
    <row r="88" ht="15" customHeight="1">
      <c r="A88" t="inlineStr">
        <is>
          <t>A 1951-2021</t>
        </is>
      </c>
      <c r="B88" s="1" t="n">
        <v>44210</v>
      </c>
      <c r="C88" s="1" t="n">
        <v>45969</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65253-2021</t>
        </is>
      </c>
      <c r="B89" s="1" t="n">
        <v>44515</v>
      </c>
      <c r="C89" s="1" t="n">
        <v>45969</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45969</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45969</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45969</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43944-2022</t>
        </is>
      </c>
      <c r="B93" s="1" t="n">
        <v>44838</v>
      </c>
      <c r="C93" s="1" t="n">
        <v>45969</v>
      </c>
      <c r="D93" t="inlineStr">
        <is>
          <t>DALARNAS LÄN</t>
        </is>
      </c>
      <c r="E93" t="inlineStr">
        <is>
          <t>MORA</t>
        </is>
      </c>
      <c r="F93" t="inlineStr">
        <is>
          <t>Bergvik skog öst AB</t>
        </is>
      </c>
      <c r="G93" t="n">
        <v>1.1</v>
      </c>
      <c r="H93" t="n">
        <v>0</v>
      </c>
      <c r="I93" t="n">
        <v>0</v>
      </c>
      <c r="J93" t="n">
        <v>0</v>
      </c>
      <c r="K93" t="n">
        <v>0</v>
      </c>
      <c r="L93" t="n">
        <v>0</v>
      </c>
      <c r="M93" t="n">
        <v>0</v>
      </c>
      <c r="N93" t="n">
        <v>0</v>
      </c>
      <c r="O93" t="n">
        <v>0</v>
      </c>
      <c r="P93" t="n">
        <v>0</v>
      </c>
      <c r="Q93" t="n">
        <v>0</v>
      </c>
      <c r="R93" s="2" t="inlineStr"/>
    </row>
    <row r="94" ht="15" customHeight="1">
      <c r="A94" t="inlineStr">
        <is>
          <t>A 50620-2021</t>
        </is>
      </c>
      <c r="B94" s="1" t="n">
        <v>44459.68884259259</v>
      </c>
      <c r="C94" s="1" t="n">
        <v>45969</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45969</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45969</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45969</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45969</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45969</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45969</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45969</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45969</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45969</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45969</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45969</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45969</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45969</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45969</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45969</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45969</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45969</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45969</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45969</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45969</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45969</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8064-2021</t>
        </is>
      </c>
      <c r="B116" s="1" t="n">
        <v>44243</v>
      </c>
      <c r="C116" s="1" t="n">
        <v>45969</v>
      </c>
      <c r="D116" t="inlineStr">
        <is>
          <t>DALARNAS LÄN</t>
        </is>
      </c>
      <c r="E116" t="inlineStr">
        <is>
          <t>MORA</t>
        </is>
      </c>
      <c r="G116" t="n">
        <v>4</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45969</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45969</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45969</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45969</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45969</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45969</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45969</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45969</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45969</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45969</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45969</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45969</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45969</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45969</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45969</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60250-2020</t>
        </is>
      </c>
      <c r="B132" s="1" t="n">
        <v>44152</v>
      </c>
      <c r="C132" s="1" t="n">
        <v>45969</v>
      </c>
      <c r="D132" t="inlineStr">
        <is>
          <t>DALARNAS LÄN</t>
        </is>
      </c>
      <c r="E132" t="inlineStr">
        <is>
          <t>MORA</t>
        </is>
      </c>
      <c r="F132" t="inlineStr">
        <is>
          <t>Bergvik skog öst AB</t>
        </is>
      </c>
      <c r="G132" t="n">
        <v>0.8</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45969</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62301-2020</t>
        </is>
      </c>
      <c r="B134" s="1" t="n">
        <v>44160</v>
      </c>
      <c r="C134" s="1" t="n">
        <v>45969</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45969</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45969</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45969</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45969</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56770-2024</t>
        </is>
      </c>
      <c r="B139" s="1" t="n">
        <v>45628.41587962963</v>
      </c>
      <c r="C139" s="1" t="n">
        <v>45969</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4488-2022</t>
        </is>
      </c>
      <c r="B140" s="1" t="n">
        <v>44589.65528935185</v>
      </c>
      <c r="C140" s="1" t="n">
        <v>45969</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45969</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32474-2022</t>
        </is>
      </c>
      <c r="B142" s="1" t="n">
        <v>44782</v>
      </c>
      <c r="C142" s="1" t="n">
        <v>45969</v>
      </c>
      <c r="D142" t="inlineStr">
        <is>
          <t>DALARNAS LÄN</t>
        </is>
      </c>
      <c r="E142" t="inlineStr">
        <is>
          <t>MORA</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43498-2023</t>
        </is>
      </c>
      <c r="B143" s="1" t="n">
        <v>45184</v>
      </c>
      <c r="C143" s="1" t="n">
        <v>45969</v>
      </c>
      <c r="D143" t="inlineStr">
        <is>
          <t>DALARNAS LÄN</t>
        </is>
      </c>
      <c r="E143" t="inlineStr">
        <is>
          <t>MORA</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66157-2021</t>
        </is>
      </c>
      <c r="B144" s="1" t="n">
        <v>44517.92888888889</v>
      </c>
      <c r="C144" s="1" t="n">
        <v>45969</v>
      </c>
      <c r="D144" t="inlineStr">
        <is>
          <t>DALARNAS LÄN</t>
        </is>
      </c>
      <c r="E144" t="inlineStr">
        <is>
          <t>MORA</t>
        </is>
      </c>
      <c r="G144" t="n">
        <v>2.9</v>
      </c>
      <c r="H144" t="n">
        <v>0</v>
      </c>
      <c r="I144" t="n">
        <v>0</v>
      </c>
      <c r="J144" t="n">
        <v>0</v>
      </c>
      <c r="K144" t="n">
        <v>0</v>
      </c>
      <c r="L144" t="n">
        <v>0</v>
      </c>
      <c r="M144" t="n">
        <v>0</v>
      </c>
      <c r="N144" t="n">
        <v>0</v>
      </c>
      <c r="O144" t="n">
        <v>0</v>
      </c>
      <c r="P144" t="n">
        <v>0</v>
      </c>
      <c r="Q144" t="n">
        <v>0</v>
      </c>
      <c r="R144" s="2" t="inlineStr"/>
    </row>
    <row r="145" ht="15" customHeight="1">
      <c r="A145" t="inlineStr">
        <is>
          <t>A 58413-2021</t>
        </is>
      </c>
      <c r="B145" s="1" t="n">
        <v>44488</v>
      </c>
      <c r="C145" s="1" t="n">
        <v>45969</v>
      </c>
      <c r="D145" t="inlineStr">
        <is>
          <t>DALARNAS LÄN</t>
        </is>
      </c>
      <c r="E145" t="inlineStr">
        <is>
          <t>MORA</t>
        </is>
      </c>
      <c r="F145" t="inlineStr">
        <is>
          <t>Bergvik skog öst AB</t>
        </is>
      </c>
      <c r="G145" t="n">
        <v>5.3</v>
      </c>
      <c r="H145" t="n">
        <v>0</v>
      </c>
      <c r="I145" t="n">
        <v>0</v>
      </c>
      <c r="J145" t="n">
        <v>0</v>
      </c>
      <c r="K145" t="n">
        <v>0</v>
      </c>
      <c r="L145" t="n">
        <v>0</v>
      </c>
      <c r="M145" t="n">
        <v>0</v>
      </c>
      <c r="N145" t="n">
        <v>0</v>
      </c>
      <c r="O145" t="n">
        <v>0</v>
      </c>
      <c r="P145" t="n">
        <v>0</v>
      </c>
      <c r="Q145" t="n">
        <v>0</v>
      </c>
      <c r="R145" s="2" t="inlineStr"/>
    </row>
    <row r="146" ht="15" customHeight="1">
      <c r="A146" t="inlineStr">
        <is>
          <t>A 25935-2023</t>
        </is>
      </c>
      <c r="B146" s="1" t="n">
        <v>45090.68675925926</v>
      </c>
      <c r="C146" s="1" t="n">
        <v>45969</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5527-2024</t>
        </is>
      </c>
      <c r="B147" s="1" t="n">
        <v>45334.38981481481</v>
      </c>
      <c r="C147" s="1" t="n">
        <v>45969</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45969</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24768-2024</t>
        </is>
      </c>
      <c r="B149" s="1" t="n">
        <v>45460.69545138889</v>
      </c>
      <c r="C149" s="1" t="n">
        <v>45969</v>
      </c>
      <c r="D149" t="inlineStr">
        <is>
          <t>DALARNAS LÄN</t>
        </is>
      </c>
      <c r="E149" t="inlineStr">
        <is>
          <t>MORA</t>
        </is>
      </c>
      <c r="G149" t="n">
        <v>2.4</v>
      </c>
      <c r="H149" t="n">
        <v>0</v>
      </c>
      <c r="I149" t="n">
        <v>0</v>
      </c>
      <c r="J149" t="n">
        <v>0</v>
      </c>
      <c r="K149" t="n">
        <v>0</v>
      </c>
      <c r="L149" t="n">
        <v>0</v>
      </c>
      <c r="M149" t="n">
        <v>0</v>
      </c>
      <c r="N149" t="n">
        <v>0</v>
      </c>
      <c r="O149" t="n">
        <v>0</v>
      </c>
      <c r="P149" t="n">
        <v>0</v>
      </c>
      <c r="Q149" t="n">
        <v>0</v>
      </c>
      <c r="R149" s="2" t="inlineStr"/>
    </row>
    <row r="150" ht="15" customHeight="1">
      <c r="A150" t="inlineStr">
        <is>
          <t>A 17904-2021</t>
        </is>
      </c>
      <c r="B150" s="1" t="n">
        <v>44301</v>
      </c>
      <c r="C150" s="1" t="n">
        <v>45969</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17622-2022</t>
        </is>
      </c>
      <c r="B151" s="1" t="n">
        <v>44680.4265162037</v>
      </c>
      <c r="C151" s="1" t="n">
        <v>45969</v>
      </c>
      <c r="D151" t="inlineStr">
        <is>
          <t>DALARNAS LÄN</t>
        </is>
      </c>
      <c r="E151" t="inlineStr">
        <is>
          <t>MORA</t>
        </is>
      </c>
      <c r="G151" t="n">
        <v>1.5</v>
      </c>
      <c r="H151" t="n">
        <v>0</v>
      </c>
      <c r="I151" t="n">
        <v>0</v>
      </c>
      <c r="J151" t="n">
        <v>0</v>
      </c>
      <c r="K151" t="n">
        <v>0</v>
      </c>
      <c r="L151" t="n">
        <v>0</v>
      </c>
      <c r="M151" t="n">
        <v>0</v>
      </c>
      <c r="N151" t="n">
        <v>0</v>
      </c>
      <c r="O151" t="n">
        <v>0</v>
      </c>
      <c r="P151" t="n">
        <v>0</v>
      </c>
      <c r="Q151" t="n">
        <v>0</v>
      </c>
      <c r="R151" s="2" t="inlineStr"/>
    </row>
    <row r="152" ht="15" customHeight="1">
      <c r="A152" t="inlineStr">
        <is>
          <t>A 20299-2023</t>
        </is>
      </c>
      <c r="B152" s="1" t="n">
        <v>45056</v>
      </c>
      <c r="C152" s="1" t="n">
        <v>45969</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50911-2024</t>
        </is>
      </c>
      <c r="B153" s="1" t="n">
        <v>45602.7022337963</v>
      </c>
      <c r="C153" s="1" t="n">
        <v>45969</v>
      </c>
      <c r="D153" t="inlineStr">
        <is>
          <t>DALARNAS LÄN</t>
        </is>
      </c>
      <c r="E153" t="inlineStr">
        <is>
          <t>MORA</t>
        </is>
      </c>
      <c r="G153" t="n">
        <v>1.7</v>
      </c>
      <c r="H153" t="n">
        <v>0</v>
      </c>
      <c r="I153" t="n">
        <v>0</v>
      </c>
      <c r="J153" t="n">
        <v>0</v>
      </c>
      <c r="K153" t="n">
        <v>0</v>
      </c>
      <c r="L153" t="n">
        <v>0</v>
      </c>
      <c r="M153" t="n">
        <v>0</v>
      </c>
      <c r="N153" t="n">
        <v>0</v>
      </c>
      <c r="O153" t="n">
        <v>0</v>
      </c>
      <c r="P153" t="n">
        <v>0</v>
      </c>
      <c r="Q153" t="n">
        <v>0</v>
      </c>
      <c r="R153" s="2" t="inlineStr"/>
    </row>
    <row r="154" ht="15" customHeight="1">
      <c r="A154" t="inlineStr">
        <is>
          <t>A 58961-2021</t>
        </is>
      </c>
      <c r="B154" s="1" t="n">
        <v>44489.94246527777</v>
      </c>
      <c r="C154" s="1" t="n">
        <v>45969</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35040-2023</t>
        </is>
      </c>
      <c r="B155" s="1" t="n">
        <v>45145.36853009259</v>
      </c>
      <c r="C155" s="1" t="n">
        <v>45969</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58036-2024</t>
        </is>
      </c>
      <c r="B156" s="1" t="n">
        <v>45631.71893518518</v>
      </c>
      <c r="C156" s="1" t="n">
        <v>45969</v>
      </c>
      <c r="D156" t="inlineStr">
        <is>
          <t>DALARNAS LÄN</t>
        </is>
      </c>
      <c r="E156" t="inlineStr">
        <is>
          <t>MORA</t>
        </is>
      </c>
      <c r="G156" t="n">
        <v>1.6</v>
      </c>
      <c r="H156" t="n">
        <v>0</v>
      </c>
      <c r="I156" t="n">
        <v>0</v>
      </c>
      <c r="J156" t="n">
        <v>0</v>
      </c>
      <c r="K156" t="n">
        <v>0</v>
      </c>
      <c r="L156" t="n">
        <v>0</v>
      </c>
      <c r="M156" t="n">
        <v>0</v>
      </c>
      <c r="N156" t="n">
        <v>0</v>
      </c>
      <c r="O156" t="n">
        <v>0</v>
      </c>
      <c r="P156" t="n">
        <v>0</v>
      </c>
      <c r="Q156" t="n">
        <v>0</v>
      </c>
      <c r="R156" s="2" t="inlineStr"/>
    </row>
    <row r="157" ht="15" customHeight="1">
      <c r="A157" t="inlineStr">
        <is>
          <t>A 17529-2023</t>
        </is>
      </c>
      <c r="B157" s="1" t="n">
        <v>45036.46804398148</v>
      </c>
      <c r="C157" s="1" t="n">
        <v>45969</v>
      </c>
      <c r="D157" t="inlineStr">
        <is>
          <t>DALARNAS LÄN</t>
        </is>
      </c>
      <c r="E157" t="inlineStr">
        <is>
          <t>MORA</t>
        </is>
      </c>
      <c r="G157" t="n">
        <v>6</v>
      </c>
      <c r="H157" t="n">
        <v>0</v>
      </c>
      <c r="I157" t="n">
        <v>0</v>
      </c>
      <c r="J157" t="n">
        <v>0</v>
      </c>
      <c r="K157" t="n">
        <v>0</v>
      </c>
      <c r="L157" t="n">
        <v>0</v>
      </c>
      <c r="M157" t="n">
        <v>0</v>
      </c>
      <c r="N157" t="n">
        <v>0</v>
      </c>
      <c r="O157" t="n">
        <v>0</v>
      </c>
      <c r="P157" t="n">
        <v>0</v>
      </c>
      <c r="Q157" t="n">
        <v>0</v>
      </c>
      <c r="R157" s="2" t="inlineStr"/>
    </row>
    <row r="158" ht="15" customHeight="1">
      <c r="A158" t="inlineStr">
        <is>
          <t>A 28964-2024</t>
        </is>
      </c>
      <c r="B158" s="1" t="n">
        <v>45481.42923611111</v>
      </c>
      <c r="C158" s="1" t="n">
        <v>45969</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27420-2024</t>
        </is>
      </c>
      <c r="B159" s="1" t="n">
        <v>45474.37850694444</v>
      </c>
      <c r="C159" s="1" t="n">
        <v>45969</v>
      </c>
      <c r="D159" t="inlineStr">
        <is>
          <t>DALARNAS LÄN</t>
        </is>
      </c>
      <c r="E159" t="inlineStr">
        <is>
          <t>MORA</t>
        </is>
      </c>
      <c r="G159" t="n">
        <v>7.3</v>
      </c>
      <c r="H159" t="n">
        <v>0</v>
      </c>
      <c r="I159" t="n">
        <v>0</v>
      </c>
      <c r="J159" t="n">
        <v>0</v>
      </c>
      <c r="K159" t="n">
        <v>0</v>
      </c>
      <c r="L159" t="n">
        <v>0</v>
      </c>
      <c r="M159" t="n">
        <v>0</v>
      </c>
      <c r="N159" t="n">
        <v>0</v>
      </c>
      <c r="O159" t="n">
        <v>0</v>
      </c>
      <c r="P159" t="n">
        <v>0</v>
      </c>
      <c r="Q159" t="n">
        <v>0</v>
      </c>
      <c r="R159" s="2" t="inlineStr"/>
    </row>
    <row r="160" ht="15" customHeight="1">
      <c r="A160" t="inlineStr">
        <is>
          <t>A 4209-2023</t>
        </is>
      </c>
      <c r="B160" s="1" t="n">
        <v>44953</v>
      </c>
      <c r="C160" s="1" t="n">
        <v>45969</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34927-2022</t>
        </is>
      </c>
      <c r="B161" s="1" t="n">
        <v>44796.60181712963</v>
      </c>
      <c r="C161" s="1" t="n">
        <v>45969</v>
      </c>
      <c r="D161" t="inlineStr">
        <is>
          <t>DALARNAS LÄN</t>
        </is>
      </c>
      <c r="E161" t="inlineStr">
        <is>
          <t>MORA</t>
        </is>
      </c>
      <c r="G161" t="n">
        <v>0.7</v>
      </c>
      <c r="H161" t="n">
        <v>0</v>
      </c>
      <c r="I161" t="n">
        <v>0</v>
      </c>
      <c r="J161" t="n">
        <v>0</v>
      </c>
      <c r="K161" t="n">
        <v>0</v>
      </c>
      <c r="L161" t="n">
        <v>0</v>
      </c>
      <c r="M161" t="n">
        <v>0</v>
      </c>
      <c r="N161" t="n">
        <v>0</v>
      </c>
      <c r="O161" t="n">
        <v>0</v>
      </c>
      <c r="P161" t="n">
        <v>0</v>
      </c>
      <c r="Q161" t="n">
        <v>0</v>
      </c>
      <c r="R161" s="2" t="inlineStr"/>
    </row>
    <row r="162" ht="15" customHeight="1">
      <c r="A162" t="inlineStr">
        <is>
          <t>A 48456-2022</t>
        </is>
      </c>
      <c r="B162" s="1" t="n">
        <v>44858.66387731482</v>
      </c>
      <c r="C162" s="1" t="n">
        <v>45969</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37771-2022</t>
        </is>
      </c>
      <c r="B163" s="1" t="n">
        <v>44810.63806712963</v>
      </c>
      <c r="C163" s="1" t="n">
        <v>45969</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67045-2021</t>
        </is>
      </c>
      <c r="B164" s="1" t="n">
        <v>44522</v>
      </c>
      <c r="C164" s="1" t="n">
        <v>45969</v>
      </c>
      <c r="D164" t="inlineStr">
        <is>
          <t>DALARNAS LÄN</t>
        </is>
      </c>
      <c r="E164" t="inlineStr">
        <is>
          <t>MORA</t>
        </is>
      </c>
      <c r="G164" t="n">
        <v>0.2</v>
      </c>
      <c r="H164" t="n">
        <v>0</v>
      </c>
      <c r="I164" t="n">
        <v>0</v>
      </c>
      <c r="J164" t="n">
        <v>0</v>
      </c>
      <c r="K164" t="n">
        <v>0</v>
      </c>
      <c r="L164" t="n">
        <v>0</v>
      </c>
      <c r="M164" t="n">
        <v>0</v>
      </c>
      <c r="N164" t="n">
        <v>0</v>
      </c>
      <c r="O164" t="n">
        <v>0</v>
      </c>
      <c r="P164" t="n">
        <v>0</v>
      </c>
      <c r="Q164" t="n">
        <v>0</v>
      </c>
      <c r="R164" s="2" t="inlineStr"/>
    </row>
    <row r="165" ht="15" customHeight="1">
      <c r="A165" t="inlineStr">
        <is>
          <t>A 17145-2024</t>
        </is>
      </c>
      <c r="B165" s="1" t="n">
        <v>45412</v>
      </c>
      <c r="C165" s="1" t="n">
        <v>45969</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8146-2021</t>
        </is>
      </c>
      <c r="B166" s="1" t="n">
        <v>44244</v>
      </c>
      <c r="C166" s="1" t="n">
        <v>45969</v>
      </c>
      <c r="D166" t="inlineStr">
        <is>
          <t>DALARNAS LÄN</t>
        </is>
      </c>
      <c r="E166" t="inlineStr">
        <is>
          <t>MORA</t>
        </is>
      </c>
      <c r="G166" t="n">
        <v>2.1</v>
      </c>
      <c r="H166" t="n">
        <v>0</v>
      </c>
      <c r="I166" t="n">
        <v>0</v>
      </c>
      <c r="J166" t="n">
        <v>0</v>
      </c>
      <c r="K166" t="n">
        <v>0</v>
      </c>
      <c r="L166" t="n">
        <v>0</v>
      </c>
      <c r="M166" t="n">
        <v>0</v>
      </c>
      <c r="N166" t="n">
        <v>0</v>
      </c>
      <c r="O166" t="n">
        <v>0</v>
      </c>
      <c r="P166" t="n">
        <v>0</v>
      </c>
      <c r="Q166" t="n">
        <v>0</v>
      </c>
      <c r="R166" s="2" t="inlineStr"/>
    </row>
    <row r="167" ht="15" customHeight="1">
      <c r="A167" t="inlineStr">
        <is>
          <t>A 51780-2023</t>
        </is>
      </c>
      <c r="B167" s="1" t="n">
        <v>45222</v>
      </c>
      <c r="C167" s="1" t="n">
        <v>45969</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39344-2024</t>
        </is>
      </c>
      <c r="B168" s="1" t="n">
        <v>45551.44503472222</v>
      </c>
      <c r="C168" s="1" t="n">
        <v>45969</v>
      </c>
      <c r="D168" t="inlineStr">
        <is>
          <t>DALARNAS LÄN</t>
        </is>
      </c>
      <c r="E168" t="inlineStr">
        <is>
          <t>MORA</t>
        </is>
      </c>
      <c r="G168" t="n">
        <v>0.6</v>
      </c>
      <c r="H168" t="n">
        <v>0</v>
      </c>
      <c r="I168" t="n">
        <v>0</v>
      </c>
      <c r="J168" t="n">
        <v>0</v>
      </c>
      <c r="K168" t="n">
        <v>0</v>
      </c>
      <c r="L168" t="n">
        <v>0</v>
      </c>
      <c r="M168" t="n">
        <v>0</v>
      </c>
      <c r="N168" t="n">
        <v>0</v>
      </c>
      <c r="O168" t="n">
        <v>0</v>
      </c>
      <c r="P168" t="n">
        <v>0</v>
      </c>
      <c r="Q168" t="n">
        <v>0</v>
      </c>
      <c r="R168" s="2" t="inlineStr"/>
    </row>
    <row r="169" ht="15" customHeight="1">
      <c r="A169" t="inlineStr">
        <is>
          <t>A 46188-2022</t>
        </is>
      </c>
      <c r="B169" s="1" t="n">
        <v>44847.518125</v>
      </c>
      <c r="C169" s="1" t="n">
        <v>45969</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26314-2021</t>
        </is>
      </c>
      <c r="B170" s="1" t="n">
        <v>44347</v>
      </c>
      <c r="C170" s="1" t="n">
        <v>45969</v>
      </c>
      <c r="D170" t="inlineStr">
        <is>
          <t>DALARNAS LÄN</t>
        </is>
      </c>
      <c r="E170" t="inlineStr">
        <is>
          <t>MORA</t>
        </is>
      </c>
      <c r="G170" t="n">
        <v>0.7</v>
      </c>
      <c r="H170" t="n">
        <v>0</v>
      </c>
      <c r="I170" t="n">
        <v>0</v>
      </c>
      <c r="J170" t="n">
        <v>0</v>
      </c>
      <c r="K170" t="n">
        <v>0</v>
      </c>
      <c r="L170" t="n">
        <v>0</v>
      </c>
      <c r="M170" t="n">
        <v>0</v>
      </c>
      <c r="N170" t="n">
        <v>0</v>
      </c>
      <c r="O170" t="n">
        <v>0</v>
      </c>
      <c r="P170" t="n">
        <v>0</v>
      </c>
      <c r="Q170" t="n">
        <v>0</v>
      </c>
      <c r="R170" s="2" t="inlineStr"/>
    </row>
    <row r="171" ht="15" customHeight="1">
      <c r="A171" t="inlineStr">
        <is>
          <t>A 12920-2022</t>
        </is>
      </c>
      <c r="B171" s="1" t="n">
        <v>44642.65418981481</v>
      </c>
      <c r="C171" s="1" t="n">
        <v>45969</v>
      </c>
      <c r="D171" t="inlineStr">
        <is>
          <t>DALARNAS LÄN</t>
        </is>
      </c>
      <c r="E171" t="inlineStr">
        <is>
          <t>MORA</t>
        </is>
      </c>
      <c r="G171" t="n">
        <v>0.8</v>
      </c>
      <c r="H171" t="n">
        <v>0</v>
      </c>
      <c r="I171" t="n">
        <v>0</v>
      </c>
      <c r="J171" t="n">
        <v>0</v>
      </c>
      <c r="K171" t="n">
        <v>0</v>
      </c>
      <c r="L171" t="n">
        <v>0</v>
      </c>
      <c r="M171" t="n">
        <v>0</v>
      </c>
      <c r="N171" t="n">
        <v>0</v>
      </c>
      <c r="O171" t="n">
        <v>0</v>
      </c>
      <c r="P171" t="n">
        <v>0</v>
      </c>
      <c r="Q171" t="n">
        <v>0</v>
      </c>
      <c r="R171" s="2" t="inlineStr"/>
    </row>
    <row r="172" ht="15" customHeight="1">
      <c r="A172" t="inlineStr">
        <is>
          <t>A 61188-2024</t>
        </is>
      </c>
      <c r="B172" s="1" t="n">
        <v>45645.62282407407</v>
      </c>
      <c r="C172" s="1" t="n">
        <v>45969</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17516-2024</t>
        </is>
      </c>
      <c r="B173" s="1" t="n">
        <v>45415.58502314815</v>
      </c>
      <c r="C173" s="1" t="n">
        <v>45969</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58089-2024</t>
        </is>
      </c>
      <c r="B174" s="1" t="n">
        <v>45632.34984953704</v>
      </c>
      <c r="C174" s="1" t="n">
        <v>45969</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14744-2022</t>
        </is>
      </c>
      <c r="B175" s="1" t="n">
        <v>44656.37616898148</v>
      </c>
      <c r="C175" s="1" t="n">
        <v>45969</v>
      </c>
      <c r="D175" t="inlineStr">
        <is>
          <t>DALARNAS LÄN</t>
        </is>
      </c>
      <c r="E175" t="inlineStr">
        <is>
          <t>MORA</t>
        </is>
      </c>
      <c r="G175" t="n">
        <v>1.9</v>
      </c>
      <c r="H175" t="n">
        <v>0</v>
      </c>
      <c r="I175" t="n">
        <v>0</v>
      </c>
      <c r="J175" t="n">
        <v>0</v>
      </c>
      <c r="K175" t="n">
        <v>0</v>
      </c>
      <c r="L175" t="n">
        <v>0</v>
      </c>
      <c r="M175" t="n">
        <v>0</v>
      </c>
      <c r="N175" t="n">
        <v>0</v>
      </c>
      <c r="O175" t="n">
        <v>0</v>
      </c>
      <c r="P175" t="n">
        <v>0</v>
      </c>
      <c r="Q175" t="n">
        <v>0</v>
      </c>
      <c r="R175" s="2" t="inlineStr"/>
    </row>
    <row r="176" ht="15" customHeight="1">
      <c r="A176" t="inlineStr">
        <is>
          <t>A 8546-2022</t>
        </is>
      </c>
      <c r="B176" s="1" t="n">
        <v>44613</v>
      </c>
      <c r="C176" s="1" t="n">
        <v>45969</v>
      </c>
      <c r="D176" t="inlineStr">
        <is>
          <t>DALARNAS LÄN</t>
        </is>
      </c>
      <c r="E176" t="inlineStr">
        <is>
          <t>MORA</t>
        </is>
      </c>
      <c r="G176" t="n">
        <v>2.6</v>
      </c>
      <c r="H176" t="n">
        <v>0</v>
      </c>
      <c r="I176" t="n">
        <v>0</v>
      </c>
      <c r="J176" t="n">
        <v>0</v>
      </c>
      <c r="K176" t="n">
        <v>0</v>
      </c>
      <c r="L176" t="n">
        <v>0</v>
      </c>
      <c r="M176" t="n">
        <v>0</v>
      </c>
      <c r="N176" t="n">
        <v>0</v>
      </c>
      <c r="O176" t="n">
        <v>0</v>
      </c>
      <c r="P176" t="n">
        <v>0</v>
      </c>
      <c r="Q176" t="n">
        <v>0</v>
      </c>
      <c r="R176" s="2" t="inlineStr"/>
    </row>
    <row r="177" ht="15" customHeight="1">
      <c r="A177" t="inlineStr">
        <is>
          <t>A 61350-2024</t>
        </is>
      </c>
      <c r="B177" s="1" t="n">
        <v>45646.37872685185</v>
      </c>
      <c r="C177" s="1" t="n">
        <v>45969</v>
      </c>
      <c r="D177" t="inlineStr">
        <is>
          <t>DALARNAS LÄN</t>
        </is>
      </c>
      <c r="E177" t="inlineStr">
        <is>
          <t>MORA</t>
        </is>
      </c>
      <c r="G177" t="n">
        <v>1.4</v>
      </c>
      <c r="H177" t="n">
        <v>0</v>
      </c>
      <c r="I177" t="n">
        <v>0</v>
      </c>
      <c r="J177" t="n">
        <v>0</v>
      </c>
      <c r="K177" t="n">
        <v>0</v>
      </c>
      <c r="L177" t="n">
        <v>0</v>
      </c>
      <c r="M177" t="n">
        <v>0</v>
      </c>
      <c r="N177" t="n">
        <v>0</v>
      </c>
      <c r="O177" t="n">
        <v>0</v>
      </c>
      <c r="P177" t="n">
        <v>0</v>
      </c>
      <c r="Q177" t="n">
        <v>0</v>
      </c>
      <c r="R177" s="2" t="inlineStr"/>
    </row>
    <row r="178" ht="15" customHeight="1">
      <c r="A178" t="inlineStr">
        <is>
          <t>A 62266-2020</t>
        </is>
      </c>
      <c r="B178" s="1" t="n">
        <v>44160.35008101852</v>
      </c>
      <c r="C178" s="1" t="n">
        <v>45969</v>
      </c>
      <c r="D178" t="inlineStr">
        <is>
          <t>DALARNAS LÄN</t>
        </is>
      </c>
      <c r="E178" t="inlineStr">
        <is>
          <t>MORA</t>
        </is>
      </c>
      <c r="F178" t="inlineStr">
        <is>
          <t>Bergvik skog väst AB</t>
        </is>
      </c>
      <c r="G178" t="n">
        <v>5.9</v>
      </c>
      <c r="H178" t="n">
        <v>0</v>
      </c>
      <c r="I178" t="n">
        <v>0</v>
      </c>
      <c r="J178" t="n">
        <v>0</v>
      </c>
      <c r="K178" t="n">
        <v>0</v>
      </c>
      <c r="L178" t="n">
        <v>0</v>
      </c>
      <c r="M178" t="n">
        <v>0</v>
      </c>
      <c r="N178" t="n">
        <v>0</v>
      </c>
      <c r="O178" t="n">
        <v>0</v>
      </c>
      <c r="P178" t="n">
        <v>0</v>
      </c>
      <c r="Q178" t="n">
        <v>0</v>
      </c>
      <c r="R178" s="2" t="inlineStr"/>
    </row>
    <row r="179" ht="15" customHeight="1">
      <c r="A179" t="inlineStr">
        <is>
          <t>A 61278-2024</t>
        </is>
      </c>
      <c r="B179" s="1" t="n">
        <v>45645.76561342592</v>
      </c>
      <c r="C179" s="1" t="n">
        <v>45969</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24772-2024</t>
        </is>
      </c>
      <c r="B180" s="1" t="n">
        <v>45460.70204861111</v>
      </c>
      <c r="C180" s="1" t="n">
        <v>45969</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43533-2023</t>
        </is>
      </c>
      <c r="B181" s="1" t="n">
        <v>45184.53412037037</v>
      </c>
      <c r="C181" s="1" t="n">
        <v>45969</v>
      </c>
      <c r="D181" t="inlineStr">
        <is>
          <t>DALARNAS LÄN</t>
        </is>
      </c>
      <c r="E181" t="inlineStr">
        <is>
          <t>MORA</t>
        </is>
      </c>
      <c r="F181" t="inlineStr">
        <is>
          <t>Bergvik skog väst AB</t>
        </is>
      </c>
      <c r="G181" t="n">
        <v>10.3</v>
      </c>
      <c r="H181" t="n">
        <v>0</v>
      </c>
      <c r="I181" t="n">
        <v>0</v>
      </c>
      <c r="J181" t="n">
        <v>0</v>
      </c>
      <c r="K181" t="n">
        <v>0</v>
      </c>
      <c r="L181" t="n">
        <v>0</v>
      </c>
      <c r="M181" t="n">
        <v>0</v>
      </c>
      <c r="N181" t="n">
        <v>0</v>
      </c>
      <c r="O181" t="n">
        <v>0</v>
      </c>
      <c r="P181" t="n">
        <v>0</v>
      </c>
      <c r="Q181" t="n">
        <v>0</v>
      </c>
      <c r="R181" s="2" t="inlineStr"/>
    </row>
    <row r="182" ht="15" customHeight="1">
      <c r="A182" t="inlineStr">
        <is>
          <t>A 30998-2022</t>
        </is>
      </c>
      <c r="B182" s="1" t="n">
        <v>44768</v>
      </c>
      <c r="C182" s="1" t="n">
        <v>45969</v>
      </c>
      <c r="D182" t="inlineStr">
        <is>
          <t>DALARNAS LÄN</t>
        </is>
      </c>
      <c r="E182" t="inlineStr">
        <is>
          <t>MORA</t>
        </is>
      </c>
      <c r="G182" t="n">
        <v>1.7</v>
      </c>
      <c r="H182" t="n">
        <v>0</v>
      </c>
      <c r="I182" t="n">
        <v>0</v>
      </c>
      <c r="J182" t="n">
        <v>0</v>
      </c>
      <c r="K182" t="n">
        <v>0</v>
      </c>
      <c r="L182" t="n">
        <v>0</v>
      </c>
      <c r="M182" t="n">
        <v>0</v>
      </c>
      <c r="N182" t="n">
        <v>0</v>
      </c>
      <c r="O182" t="n">
        <v>0</v>
      </c>
      <c r="P182" t="n">
        <v>0</v>
      </c>
      <c r="Q182" t="n">
        <v>0</v>
      </c>
      <c r="R182" s="2" t="inlineStr"/>
    </row>
    <row r="183" ht="15" customHeight="1">
      <c r="A183" t="inlineStr">
        <is>
          <t>A 8343-2025</t>
        </is>
      </c>
      <c r="B183" s="1" t="n">
        <v>45708.67253472222</v>
      </c>
      <c r="C183" s="1" t="n">
        <v>45969</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34923-2022</t>
        </is>
      </c>
      <c r="B184" s="1" t="n">
        <v>44796</v>
      </c>
      <c r="C184" s="1" t="n">
        <v>45969</v>
      </c>
      <c r="D184" t="inlineStr">
        <is>
          <t>DALARNAS LÄN</t>
        </is>
      </c>
      <c r="E184" t="inlineStr">
        <is>
          <t>MORA</t>
        </is>
      </c>
      <c r="G184" t="n">
        <v>5</v>
      </c>
      <c r="H184" t="n">
        <v>0</v>
      </c>
      <c r="I184" t="n">
        <v>0</v>
      </c>
      <c r="J184" t="n">
        <v>0</v>
      </c>
      <c r="K184" t="n">
        <v>0</v>
      </c>
      <c r="L184" t="n">
        <v>0</v>
      </c>
      <c r="M184" t="n">
        <v>0</v>
      </c>
      <c r="N184" t="n">
        <v>0</v>
      </c>
      <c r="O184" t="n">
        <v>0</v>
      </c>
      <c r="P184" t="n">
        <v>0</v>
      </c>
      <c r="Q184" t="n">
        <v>0</v>
      </c>
      <c r="R184" s="2" t="inlineStr"/>
    </row>
    <row r="185" ht="15" customHeight="1">
      <c r="A185" t="inlineStr">
        <is>
          <t>A 59174-2023</t>
        </is>
      </c>
      <c r="B185" s="1" t="n">
        <v>45253.43202546296</v>
      </c>
      <c r="C185" s="1" t="n">
        <v>45969</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60051-2022</t>
        </is>
      </c>
      <c r="B186" s="1" t="n">
        <v>44909.52385416667</v>
      </c>
      <c r="C186" s="1" t="n">
        <v>45969</v>
      </c>
      <c r="D186" t="inlineStr">
        <is>
          <t>DALARNAS LÄN</t>
        </is>
      </c>
      <c r="E186" t="inlineStr">
        <is>
          <t>MORA</t>
        </is>
      </c>
      <c r="G186" t="n">
        <v>0.9</v>
      </c>
      <c r="H186" t="n">
        <v>0</v>
      </c>
      <c r="I186" t="n">
        <v>0</v>
      </c>
      <c r="J186" t="n">
        <v>0</v>
      </c>
      <c r="K186" t="n">
        <v>0</v>
      </c>
      <c r="L186" t="n">
        <v>0</v>
      </c>
      <c r="M186" t="n">
        <v>0</v>
      </c>
      <c r="N186" t="n">
        <v>0</v>
      </c>
      <c r="O186" t="n">
        <v>0</v>
      </c>
      <c r="P186" t="n">
        <v>0</v>
      </c>
      <c r="Q186" t="n">
        <v>0</v>
      </c>
      <c r="R186" s="2" t="inlineStr"/>
    </row>
    <row r="187" ht="15" customHeight="1">
      <c r="A187" t="inlineStr">
        <is>
          <t>A 36184-2021</t>
        </is>
      </c>
      <c r="B187" s="1" t="n">
        <v>44389</v>
      </c>
      <c r="C187" s="1" t="n">
        <v>45969</v>
      </c>
      <c r="D187" t="inlineStr">
        <is>
          <t>DALARNAS LÄN</t>
        </is>
      </c>
      <c r="E187" t="inlineStr">
        <is>
          <t>MORA</t>
        </is>
      </c>
      <c r="G187" t="n">
        <v>0.5</v>
      </c>
      <c r="H187" t="n">
        <v>0</v>
      </c>
      <c r="I187" t="n">
        <v>0</v>
      </c>
      <c r="J187" t="n">
        <v>0</v>
      </c>
      <c r="K187" t="n">
        <v>0</v>
      </c>
      <c r="L187" t="n">
        <v>0</v>
      </c>
      <c r="M187" t="n">
        <v>0</v>
      </c>
      <c r="N187" t="n">
        <v>0</v>
      </c>
      <c r="O187" t="n">
        <v>0</v>
      </c>
      <c r="P187" t="n">
        <v>0</v>
      </c>
      <c r="Q187" t="n">
        <v>0</v>
      </c>
      <c r="R187" s="2" t="inlineStr"/>
    </row>
    <row r="188" ht="15" customHeight="1">
      <c r="A188" t="inlineStr">
        <is>
          <t>A 48390-2024</t>
        </is>
      </c>
      <c r="B188" s="1" t="n">
        <v>45590.60216435185</v>
      </c>
      <c r="C188" s="1" t="n">
        <v>45969</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55671-2024</t>
        </is>
      </c>
      <c r="B189" s="1" t="n">
        <v>45622.65269675926</v>
      </c>
      <c r="C189" s="1" t="n">
        <v>45969</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17164-2025</t>
        </is>
      </c>
      <c r="B190" s="1" t="n">
        <v>45756.36403935185</v>
      </c>
      <c r="C190" s="1" t="n">
        <v>45969</v>
      </c>
      <c r="D190" t="inlineStr">
        <is>
          <t>DALARNAS LÄN</t>
        </is>
      </c>
      <c r="E190" t="inlineStr">
        <is>
          <t>MORA</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18202-2024</t>
        </is>
      </c>
      <c r="B191" s="1" t="n">
        <v>45420.68172453704</v>
      </c>
      <c r="C191" s="1" t="n">
        <v>45969</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23057-2024</t>
        </is>
      </c>
      <c r="B192" s="1" t="n">
        <v>45450</v>
      </c>
      <c r="C192" s="1" t="n">
        <v>45969</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45969</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25494-2024</t>
        </is>
      </c>
      <c r="B194" s="1" t="n">
        <v>45463</v>
      </c>
      <c r="C194" s="1" t="n">
        <v>45969</v>
      </c>
      <c r="D194" t="inlineStr">
        <is>
          <t>DALARNAS LÄN</t>
        </is>
      </c>
      <c r="E194" t="inlineStr">
        <is>
          <t>MORA</t>
        </is>
      </c>
      <c r="G194" t="n">
        <v>4.9</v>
      </c>
      <c r="H194" t="n">
        <v>0</v>
      </c>
      <c r="I194" t="n">
        <v>0</v>
      </c>
      <c r="J194" t="n">
        <v>0</v>
      </c>
      <c r="K194" t="n">
        <v>0</v>
      </c>
      <c r="L194" t="n">
        <v>0</v>
      </c>
      <c r="M194" t="n">
        <v>0</v>
      </c>
      <c r="N194" t="n">
        <v>0</v>
      </c>
      <c r="O194" t="n">
        <v>0</v>
      </c>
      <c r="P194" t="n">
        <v>0</v>
      </c>
      <c r="Q194" t="n">
        <v>0</v>
      </c>
      <c r="R194" s="2" t="inlineStr"/>
    </row>
    <row r="195" ht="15" customHeight="1">
      <c r="A195" t="inlineStr">
        <is>
          <t>A 4208-2023</t>
        </is>
      </c>
      <c r="B195" s="1" t="n">
        <v>44953</v>
      </c>
      <c r="C195" s="1" t="n">
        <v>45969</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4210-2023</t>
        </is>
      </c>
      <c r="B196" s="1" t="n">
        <v>44953.44965277778</v>
      </c>
      <c r="C196" s="1" t="n">
        <v>45969</v>
      </c>
      <c r="D196" t="inlineStr">
        <is>
          <t>DALARNAS LÄN</t>
        </is>
      </c>
      <c r="E196" t="inlineStr">
        <is>
          <t>MORA</t>
        </is>
      </c>
      <c r="G196" t="n">
        <v>0.9</v>
      </c>
      <c r="H196" t="n">
        <v>0</v>
      </c>
      <c r="I196" t="n">
        <v>0</v>
      </c>
      <c r="J196" t="n">
        <v>0</v>
      </c>
      <c r="K196" t="n">
        <v>0</v>
      </c>
      <c r="L196" t="n">
        <v>0</v>
      </c>
      <c r="M196" t="n">
        <v>0</v>
      </c>
      <c r="N196" t="n">
        <v>0</v>
      </c>
      <c r="O196" t="n">
        <v>0</v>
      </c>
      <c r="P196" t="n">
        <v>0</v>
      </c>
      <c r="Q196" t="n">
        <v>0</v>
      </c>
      <c r="R196" s="2" t="inlineStr"/>
    </row>
    <row r="197" ht="15" customHeight="1">
      <c r="A197" t="inlineStr">
        <is>
          <t>A 5491-2023</t>
        </is>
      </c>
      <c r="B197" s="1" t="n">
        <v>44957</v>
      </c>
      <c r="C197" s="1" t="n">
        <v>45969</v>
      </c>
      <c r="D197" t="inlineStr">
        <is>
          <t>DALARNAS LÄN</t>
        </is>
      </c>
      <c r="E197" t="inlineStr">
        <is>
          <t>MORA</t>
        </is>
      </c>
      <c r="G197" t="n">
        <v>3.5</v>
      </c>
      <c r="H197" t="n">
        <v>0</v>
      </c>
      <c r="I197" t="n">
        <v>0</v>
      </c>
      <c r="J197" t="n">
        <v>0</v>
      </c>
      <c r="K197" t="n">
        <v>0</v>
      </c>
      <c r="L197" t="n">
        <v>0</v>
      </c>
      <c r="M197" t="n">
        <v>0</v>
      </c>
      <c r="N197" t="n">
        <v>0</v>
      </c>
      <c r="O197" t="n">
        <v>0</v>
      </c>
      <c r="P197" t="n">
        <v>0</v>
      </c>
      <c r="Q197" t="n">
        <v>0</v>
      </c>
      <c r="R197" s="2" t="inlineStr"/>
    </row>
    <row r="198" ht="15" customHeight="1">
      <c r="A198" t="inlineStr">
        <is>
          <t>A 5493-2023</t>
        </is>
      </c>
      <c r="B198" s="1" t="n">
        <v>44957</v>
      </c>
      <c r="C198" s="1" t="n">
        <v>45969</v>
      </c>
      <c r="D198" t="inlineStr">
        <is>
          <t>DALARNAS LÄN</t>
        </is>
      </c>
      <c r="E198" t="inlineStr">
        <is>
          <t>MORA</t>
        </is>
      </c>
      <c r="F198" t="inlineStr">
        <is>
          <t>Allmännings- och besparingsskogar</t>
        </is>
      </c>
      <c r="G198" t="n">
        <v>14.9</v>
      </c>
      <c r="H198" t="n">
        <v>0</v>
      </c>
      <c r="I198" t="n">
        <v>0</v>
      </c>
      <c r="J198" t="n">
        <v>0</v>
      </c>
      <c r="K198" t="n">
        <v>0</v>
      </c>
      <c r="L198" t="n">
        <v>0</v>
      </c>
      <c r="M198" t="n">
        <v>0</v>
      </c>
      <c r="N198" t="n">
        <v>0</v>
      </c>
      <c r="O198" t="n">
        <v>0</v>
      </c>
      <c r="P198" t="n">
        <v>0</v>
      </c>
      <c r="Q198" t="n">
        <v>0</v>
      </c>
      <c r="R198" s="2" t="inlineStr"/>
    </row>
    <row r="199" ht="15" customHeight="1">
      <c r="A199" t="inlineStr">
        <is>
          <t>A 49159-2023</t>
        </is>
      </c>
      <c r="B199" s="1" t="n">
        <v>45210</v>
      </c>
      <c r="C199" s="1" t="n">
        <v>45969</v>
      </c>
      <c r="D199" t="inlineStr">
        <is>
          <t>DALARNAS LÄN</t>
        </is>
      </c>
      <c r="E199" t="inlineStr">
        <is>
          <t>MORA</t>
        </is>
      </c>
      <c r="G199" t="n">
        <v>1.6</v>
      </c>
      <c r="H199" t="n">
        <v>0</v>
      </c>
      <c r="I199" t="n">
        <v>0</v>
      </c>
      <c r="J199" t="n">
        <v>0</v>
      </c>
      <c r="K199" t="n">
        <v>0</v>
      </c>
      <c r="L199" t="n">
        <v>0</v>
      </c>
      <c r="M199" t="n">
        <v>0</v>
      </c>
      <c r="N199" t="n">
        <v>0</v>
      </c>
      <c r="O199" t="n">
        <v>0</v>
      </c>
      <c r="P199" t="n">
        <v>0</v>
      </c>
      <c r="Q199" t="n">
        <v>0</v>
      </c>
      <c r="R199" s="2" t="inlineStr"/>
    </row>
    <row r="200" ht="15" customHeight="1">
      <c r="A200" t="inlineStr">
        <is>
          <t>A 16967-2025</t>
        </is>
      </c>
      <c r="B200" s="1" t="n">
        <v>45755.46106481482</v>
      </c>
      <c r="C200" s="1" t="n">
        <v>45969</v>
      </c>
      <c r="D200" t="inlineStr">
        <is>
          <t>DALARNAS LÄN</t>
        </is>
      </c>
      <c r="E200" t="inlineStr">
        <is>
          <t>MORA</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18444-2024</t>
        </is>
      </c>
      <c r="B201" s="1" t="n">
        <v>45425.45568287037</v>
      </c>
      <c r="C201" s="1" t="n">
        <v>45969</v>
      </c>
      <c r="D201" t="inlineStr">
        <is>
          <t>DALARNAS LÄN</t>
        </is>
      </c>
      <c r="E201" t="inlineStr">
        <is>
          <t>MORA</t>
        </is>
      </c>
      <c r="G201" t="n">
        <v>5</v>
      </c>
      <c r="H201" t="n">
        <v>0</v>
      </c>
      <c r="I201" t="n">
        <v>0</v>
      </c>
      <c r="J201" t="n">
        <v>0</v>
      </c>
      <c r="K201" t="n">
        <v>0</v>
      </c>
      <c r="L201" t="n">
        <v>0</v>
      </c>
      <c r="M201" t="n">
        <v>0</v>
      </c>
      <c r="N201" t="n">
        <v>0</v>
      </c>
      <c r="O201" t="n">
        <v>0</v>
      </c>
      <c r="P201" t="n">
        <v>0</v>
      </c>
      <c r="Q201" t="n">
        <v>0</v>
      </c>
      <c r="R201" s="2" t="inlineStr"/>
    </row>
    <row r="202" ht="15" customHeight="1">
      <c r="A202" t="inlineStr">
        <is>
          <t>A 18992-2024</t>
        </is>
      </c>
      <c r="B202" s="1" t="n">
        <v>45427.61516203704</v>
      </c>
      <c r="C202" s="1" t="n">
        <v>45969</v>
      </c>
      <c r="D202" t="inlineStr">
        <is>
          <t>DALARNAS LÄN</t>
        </is>
      </c>
      <c r="E202" t="inlineStr">
        <is>
          <t>MORA</t>
        </is>
      </c>
      <c r="G202" t="n">
        <v>9.9</v>
      </c>
      <c r="H202" t="n">
        <v>0</v>
      </c>
      <c r="I202" t="n">
        <v>0</v>
      </c>
      <c r="J202" t="n">
        <v>0</v>
      </c>
      <c r="K202" t="n">
        <v>0</v>
      </c>
      <c r="L202" t="n">
        <v>0</v>
      </c>
      <c r="M202" t="n">
        <v>0</v>
      </c>
      <c r="N202" t="n">
        <v>0</v>
      </c>
      <c r="O202" t="n">
        <v>0</v>
      </c>
      <c r="P202" t="n">
        <v>0</v>
      </c>
      <c r="Q202" t="n">
        <v>0</v>
      </c>
      <c r="R202" s="2" t="inlineStr"/>
    </row>
    <row r="203" ht="15" customHeight="1">
      <c r="A203" t="inlineStr">
        <is>
          <t>A 60673-2023</t>
        </is>
      </c>
      <c r="B203" s="1" t="n">
        <v>45260.46438657407</v>
      </c>
      <c r="C203" s="1" t="n">
        <v>45969</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9554-2025</t>
        </is>
      </c>
      <c r="B204" s="1" t="n">
        <v>45715.59936342593</v>
      </c>
      <c r="C204" s="1" t="n">
        <v>45969</v>
      </c>
      <c r="D204" t="inlineStr">
        <is>
          <t>DALARNAS LÄN</t>
        </is>
      </c>
      <c r="E204" t="inlineStr">
        <is>
          <t>MORA</t>
        </is>
      </c>
      <c r="G204" t="n">
        <v>0.9</v>
      </c>
      <c r="H204" t="n">
        <v>0</v>
      </c>
      <c r="I204" t="n">
        <v>0</v>
      </c>
      <c r="J204" t="n">
        <v>0</v>
      </c>
      <c r="K204" t="n">
        <v>0</v>
      </c>
      <c r="L204" t="n">
        <v>0</v>
      </c>
      <c r="M204" t="n">
        <v>0</v>
      </c>
      <c r="N204" t="n">
        <v>0</v>
      </c>
      <c r="O204" t="n">
        <v>0</v>
      </c>
      <c r="P204" t="n">
        <v>0</v>
      </c>
      <c r="Q204" t="n">
        <v>0</v>
      </c>
      <c r="R204" s="2" t="inlineStr"/>
    </row>
    <row r="205" ht="15" customHeight="1">
      <c r="A205" t="inlineStr">
        <is>
          <t>A 47414-2025</t>
        </is>
      </c>
      <c r="B205" s="1" t="n">
        <v>45930.61896990741</v>
      </c>
      <c r="C205" s="1" t="n">
        <v>45969</v>
      </c>
      <c r="D205" t="inlineStr">
        <is>
          <t>DALARNAS LÄN</t>
        </is>
      </c>
      <c r="E205" t="inlineStr">
        <is>
          <t>MORA</t>
        </is>
      </c>
      <c r="G205" t="n">
        <v>6.1</v>
      </c>
      <c r="H205" t="n">
        <v>0</v>
      </c>
      <c r="I205" t="n">
        <v>0</v>
      </c>
      <c r="J205" t="n">
        <v>0</v>
      </c>
      <c r="K205" t="n">
        <v>0</v>
      </c>
      <c r="L205" t="n">
        <v>0</v>
      </c>
      <c r="M205" t="n">
        <v>0</v>
      </c>
      <c r="N205" t="n">
        <v>0</v>
      </c>
      <c r="O205" t="n">
        <v>0</v>
      </c>
      <c r="P205" t="n">
        <v>0</v>
      </c>
      <c r="Q205" t="n">
        <v>0</v>
      </c>
      <c r="R205" s="2" t="inlineStr"/>
    </row>
    <row r="206" ht="15" customHeight="1">
      <c r="A206" t="inlineStr">
        <is>
          <t>A 11463-2024</t>
        </is>
      </c>
      <c r="B206" s="1" t="n">
        <v>45372.58969907407</v>
      </c>
      <c r="C206" s="1" t="n">
        <v>45969</v>
      </c>
      <c r="D206" t="inlineStr">
        <is>
          <t>DALARNAS LÄN</t>
        </is>
      </c>
      <c r="E206" t="inlineStr">
        <is>
          <t>MORA</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47055-2025</t>
        </is>
      </c>
      <c r="B207" s="1" t="n">
        <v>45929.61931712963</v>
      </c>
      <c r="C207" s="1" t="n">
        <v>45969</v>
      </c>
      <c r="D207" t="inlineStr">
        <is>
          <t>DALARNAS LÄN</t>
        </is>
      </c>
      <c r="E207" t="inlineStr">
        <is>
          <t>MORA</t>
        </is>
      </c>
      <c r="G207" t="n">
        <v>28.1</v>
      </c>
      <c r="H207" t="n">
        <v>0</v>
      </c>
      <c r="I207" t="n">
        <v>0</v>
      </c>
      <c r="J207" t="n">
        <v>0</v>
      </c>
      <c r="K207" t="n">
        <v>0</v>
      </c>
      <c r="L207" t="n">
        <v>0</v>
      </c>
      <c r="M207" t="n">
        <v>0</v>
      </c>
      <c r="N207" t="n">
        <v>0</v>
      </c>
      <c r="O207" t="n">
        <v>0</v>
      </c>
      <c r="P207" t="n">
        <v>0</v>
      </c>
      <c r="Q207" t="n">
        <v>0</v>
      </c>
      <c r="R207" s="2" t="inlineStr"/>
    </row>
    <row r="208" ht="15" customHeight="1">
      <c r="A208" t="inlineStr">
        <is>
          <t>A 47072-2025</t>
        </is>
      </c>
      <c r="B208" s="1" t="n">
        <v>45929.6365162037</v>
      </c>
      <c r="C208" s="1" t="n">
        <v>45969</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60847-2021</t>
        </is>
      </c>
      <c r="B209" s="1" t="n">
        <v>44497</v>
      </c>
      <c r="C209" s="1" t="n">
        <v>45969</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27975-2023</t>
        </is>
      </c>
      <c r="B210" s="1" t="n">
        <v>45098</v>
      </c>
      <c r="C210" s="1" t="n">
        <v>45969</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56532-2024</t>
        </is>
      </c>
      <c r="B211" s="1" t="n">
        <v>45625.55440972222</v>
      </c>
      <c r="C211" s="1" t="n">
        <v>45969</v>
      </c>
      <c r="D211" t="inlineStr">
        <is>
          <t>DALARNAS LÄN</t>
        </is>
      </c>
      <c r="E211" t="inlineStr">
        <is>
          <t>MORA</t>
        </is>
      </c>
      <c r="G211" t="n">
        <v>6.9</v>
      </c>
      <c r="H211" t="n">
        <v>0</v>
      </c>
      <c r="I211" t="n">
        <v>0</v>
      </c>
      <c r="J211" t="n">
        <v>0</v>
      </c>
      <c r="K211" t="n">
        <v>0</v>
      </c>
      <c r="L211" t="n">
        <v>0</v>
      </c>
      <c r="M211" t="n">
        <v>0</v>
      </c>
      <c r="N211" t="n">
        <v>0</v>
      </c>
      <c r="O211" t="n">
        <v>0</v>
      </c>
      <c r="P211" t="n">
        <v>0</v>
      </c>
      <c r="Q211" t="n">
        <v>0</v>
      </c>
      <c r="R211" s="2" t="inlineStr"/>
    </row>
    <row r="212" ht="15" customHeight="1">
      <c r="A212" t="inlineStr">
        <is>
          <t>A 5769-2025</t>
        </is>
      </c>
      <c r="B212" s="1" t="n">
        <v>45694.59288194445</v>
      </c>
      <c r="C212" s="1" t="n">
        <v>45969</v>
      </c>
      <c r="D212" t="inlineStr">
        <is>
          <t>DALARNAS LÄN</t>
        </is>
      </c>
      <c r="E212" t="inlineStr">
        <is>
          <t>MORA</t>
        </is>
      </c>
      <c r="G212" t="n">
        <v>15.7</v>
      </c>
      <c r="H212" t="n">
        <v>0</v>
      </c>
      <c r="I212" t="n">
        <v>0</v>
      </c>
      <c r="J212" t="n">
        <v>0</v>
      </c>
      <c r="K212" t="n">
        <v>0</v>
      </c>
      <c r="L212" t="n">
        <v>0</v>
      </c>
      <c r="M212" t="n">
        <v>0</v>
      </c>
      <c r="N212" t="n">
        <v>0</v>
      </c>
      <c r="O212" t="n">
        <v>0</v>
      </c>
      <c r="P212" t="n">
        <v>0</v>
      </c>
      <c r="Q212" t="n">
        <v>0</v>
      </c>
      <c r="R212" s="2" t="inlineStr"/>
    </row>
    <row r="213" ht="15" customHeight="1">
      <c r="A213" t="inlineStr">
        <is>
          <t>A 59101-2024</t>
        </is>
      </c>
      <c r="B213" s="1" t="n">
        <v>45637.34074074074</v>
      </c>
      <c r="C213" s="1" t="n">
        <v>45969</v>
      </c>
      <c r="D213" t="inlineStr">
        <is>
          <t>DALARNAS LÄN</t>
        </is>
      </c>
      <c r="E213" t="inlineStr">
        <is>
          <t>MORA</t>
        </is>
      </c>
      <c r="F213" t="inlineStr">
        <is>
          <t>Allmännings- och besparingsskogar</t>
        </is>
      </c>
      <c r="G213" t="n">
        <v>1.2</v>
      </c>
      <c r="H213" t="n">
        <v>0</v>
      </c>
      <c r="I213" t="n">
        <v>0</v>
      </c>
      <c r="J213" t="n">
        <v>0</v>
      </c>
      <c r="K213" t="n">
        <v>0</v>
      </c>
      <c r="L213" t="n">
        <v>0</v>
      </c>
      <c r="M213" t="n">
        <v>0</v>
      </c>
      <c r="N213" t="n">
        <v>0</v>
      </c>
      <c r="O213" t="n">
        <v>0</v>
      </c>
      <c r="P213" t="n">
        <v>0</v>
      </c>
      <c r="Q213" t="n">
        <v>0</v>
      </c>
      <c r="R213" s="2" t="inlineStr"/>
    </row>
    <row r="214" ht="15" customHeight="1">
      <c r="A214" t="inlineStr">
        <is>
          <t>A 32410-2024</t>
        </is>
      </c>
      <c r="B214" s="1" t="n">
        <v>45512.70077546296</v>
      </c>
      <c r="C214" s="1" t="n">
        <v>45969</v>
      </c>
      <c r="D214" t="inlineStr">
        <is>
          <t>DALARNAS LÄN</t>
        </is>
      </c>
      <c r="E214" t="inlineStr">
        <is>
          <t>MORA</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24465-2021</t>
        </is>
      </c>
      <c r="B215" s="1" t="n">
        <v>44337</v>
      </c>
      <c r="C215" s="1" t="n">
        <v>45969</v>
      </c>
      <c r="D215" t="inlineStr">
        <is>
          <t>DALARNAS LÄN</t>
        </is>
      </c>
      <c r="E215" t="inlineStr">
        <is>
          <t>MORA</t>
        </is>
      </c>
      <c r="G215" t="n">
        <v>2.6</v>
      </c>
      <c r="H215" t="n">
        <v>0</v>
      </c>
      <c r="I215" t="n">
        <v>0</v>
      </c>
      <c r="J215" t="n">
        <v>0</v>
      </c>
      <c r="K215" t="n">
        <v>0</v>
      </c>
      <c r="L215" t="n">
        <v>0</v>
      </c>
      <c r="M215" t="n">
        <v>0</v>
      </c>
      <c r="N215" t="n">
        <v>0</v>
      </c>
      <c r="O215" t="n">
        <v>0</v>
      </c>
      <c r="P215" t="n">
        <v>0</v>
      </c>
      <c r="Q215" t="n">
        <v>0</v>
      </c>
      <c r="R215" s="2" t="inlineStr"/>
    </row>
    <row r="216" ht="15" customHeight="1">
      <c r="A216" t="inlineStr">
        <is>
          <t>A 43874-2024</t>
        </is>
      </c>
      <c r="B216" s="1" t="n">
        <v>45572.38476851852</v>
      </c>
      <c r="C216" s="1" t="n">
        <v>45969</v>
      </c>
      <c r="D216" t="inlineStr">
        <is>
          <t>DALARNAS LÄN</t>
        </is>
      </c>
      <c r="E216" t="inlineStr">
        <is>
          <t>MORA</t>
        </is>
      </c>
      <c r="G216" t="n">
        <v>3.6</v>
      </c>
      <c r="H216" t="n">
        <v>0</v>
      </c>
      <c r="I216" t="n">
        <v>0</v>
      </c>
      <c r="J216" t="n">
        <v>0</v>
      </c>
      <c r="K216" t="n">
        <v>0</v>
      </c>
      <c r="L216" t="n">
        <v>0</v>
      </c>
      <c r="M216" t="n">
        <v>0</v>
      </c>
      <c r="N216" t="n">
        <v>0</v>
      </c>
      <c r="O216" t="n">
        <v>0</v>
      </c>
      <c r="P216" t="n">
        <v>0</v>
      </c>
      <c r="Q216" t="n">
        <v>0</v>
      </c>
      <c r="R216" s="2" t="inlineStr"/>
    </row>
    <row r="217" ht="15" customHeight="1">
      <c r="A217" t="inlineStr">
        <is>
          <t>A 5298-2023</t>
        </is>
      </c>
      <c r="B217" s="1" t="n">
        <v>44959.54355324074</v>
      </c>
      <c r="C217" s="1" t="n">
        <v>45969</v>
      </c>
      <c r="D217" t="inlineStr">
        <is>
          <t>DALARNAS LÄN</t>
        </is>
      </c>
      <c r="E217" t="inlineStr">
        <is>
          <t>MORA</t>
        </is>
      </c>
      <c r="F217" t="inlineStr">
        <is>
          <t>Bergvik skog väst AB</t>
        </is>
      </c>
      <c r="G217" t="n">
        <v>6.2</v>
      </c>
      <c r="H217" t="n">
        <v>0</v>
      </c>
      <c r="I217" t="n">
        <v>0</v>
      </c>
      <c r="J217" t="n">
        <v>0</v>
      </c>
      <c r="K217" t="n">
        <v>0</v>
      </c>
      <c r="L217" t="n">
        <v>0</v>
      </c>
      <c r="M217" t="n">
        <v>0</v>
      </c>
      <c r="N217" t="n">
        <v>0</v>
      </c>
      <c r="O217" t="n">
        <v>0</v>
      </c>
      <c r="P217" t="n">
        <v>0</v>
      </c>
      <c r="Q217" t="n">
        <v>0</v>
      </c>
      <c r="R217" s="2" t="inlineStr"/>
    </row>
    <row r="218" ht="15" customHeight="1">
      <c r="A218" t="inlineStr">
        <is>
          <t>A 59002-2024</t>
        </is>
      </c>
      <c r="B218" s="1" t="n">
        <v>45636</v>
      </c>
      <c r="C218" s="1" t="n">
        <v>45969</v>
      </c>
      <c r="D218" t="inlineStr">
        <is>
          <t>DALARNAS LÄN</t>
        </is>
      </c>
      <c r="E218" t="inlineStr">
        <is>
          <t>MORA</t>
        </is>
      </c>
      <c r="F218" t="inlineStr">
        <is>
          <t>Bergvik skog väst AB</t>
        </is>
      </c>
      <c r="G218" t="n">
        <v>24.8</v>
      </c>
      <c r="H218" t="n">
        <v>0</v>
      </c>
      <c r="I218" t="n">
        <v>0</v>
      </c>
      <c r="J218" t="n">
        <v>0</v>
      </c>
      <c r="K218" t="n">
        <v>0</v>
      </c>
      <c r="L218" t="n">
        <v>0</v>
      </c>
      <c r="M218" t="n">
        <v>0</v>
      </c>
      <c r="N218" t="n">
        <v>0</v>
      </c>
      <c r="O218" t="n">
        <v>0</v>
      </c>
      <c r="P218" t="n">
        <v>0</v>
      </c>
      <c r="Q218" t="n">
        <v>0</v>
      </c>
      <c r="R218" s="2" t="inlineStr"/>
    </row>
    <row r="219" ht="15" customHeight="1">
      <c r="A219" t="inlineStr">
        <is>
          <t>A 32721-2024</t>
        </is>
      </c>
      <c r="B219" s="1" t="n">
        <v>45516.40261574074</v>
      </c>
      <c r="C219" s="1" t="n">
        <v>45969</v>
      </c>
      <c r="D219" t="inlineStr">
        <is>
          <t>DALARNAS LÄN</t>
        </is>
      </c>
      <c r="E219" t="inlineStr">
        <is>
          <t>MORA</t>
        </is>
      </c>
      <c r="G219" t="n">
        <v>4.2</v>
      </c>
      <c r="H219" t="n">
        <v>0</v>
      </c>
      <c r="I219" t="n">
        <v>0</v>
      </c>
      <c r="J219" t="n">
        <v>0</v>
      </c>
      <c r="K219" t="n">
        <v>0</v>
      </c>
      <c r="L219" t="n">
        <v>0</v>
      </c>
      <c r="M219" t="n">
        <v>0</v>
      </c>
      <c r="N219" t="n">
        <v>0</v>
      </c>
      <c r="O219" t="n">
        <v>0</v>
      </c>
      <c r="P219" t="n">
        <v>0</v>
      </c>
      <c r="Q219" t="n">
        <v>0</v>
      </c>
      <c r="R219" s="2" t="inlineStr"/>
    </row>
    <row r="220" ht="15" customHeight="1">
      <c r="A220" t="inlineStr">
        <is>
          <t>A 36038-2024</t>
        </is>
      </c>
      <c r="B220" s="1" t="n">
        <v>45533</v>
      </c>
      <c r="C220" s="1" t="n">
        <v>45969</v>
      </c>
      <c r="D220" t="inlineStr">
        <is>
          <t>DALARNAS LÄN</t>
        </is>
      </c>
      <c r="E220" t="inlineStr">
        <is>
          <t>MORA</t>
        </is>
      </c>
      <c r="G220" t="n">
        <v>5.1</v>
      </c>
      <c r="H220" t="n">
        <v>0</v>
      </c>
      <c r="I220" t="n">
        <v>0</v>
      </c>
      <c r="J220" t="n">
        <v>0</v>
      </c>
      <c r="K220" t="n">
        <v>0</v>
      </c>
      <c r="L220" t="n">
        <v>0</v>
      </c>
      <c r="M220" t="n">
        <v>0</v>
      </c>
      <c r="N220" t="n">
        <v>0</v>
      </c>
      <c r="O220" t="n">
        <v>0</v>
      </c>
      <c r="P220" t="n">
        <v>0</v>
      </c>
      <c r="Q220" t="n">
        <v>0</v>
      </c>
      <c r="R220" s="2" t="inlineStr"/>
    </row>
    <row r="221" ht="15" customHeight="1">
      <c r="A221" t="inlineStr">
        <is>
          <t>A 57903-2022</t>
        </is>
      </c>
      <c r="B221" s="1" t="n">
        <v>44900.3521412037</v>
      </c>
      <c r="C221" s="1" t="n">
        <v>45969</v>
      </c>
      <c r="D221" t="inlineStr">
        <is>
          <t>DALARNAS LÄN</t>
        </is>
      </c>
      <c r="E221" t="inlineStr">
        <is>
          <t>MORA</t>
        </is>
      </c>
      <c r="G221" t="n">
        <v>4.3</v>
      </c>
      <c r="H221" t="n">
        <v>0</v>
      </c>
      <c r="I221" t="n">
        <v>0</v>
      </c>
      <c r="J221" t="n">
        <v>0</v>
      </c>
      <c r="K221" t="n">
        <v>0</v>
      </c>
      <c r="L221" t="n">
        <v>0</v>
      </c>
      <c r="M221" t="n">
        <v>0</v>
      </c>
      <c r="N221" t="n">
        <v>0</v>
      </c>
      <c r="O221" t="n">
        <v>0</v>
      </c>
      <c r="P221" t="n">
        <v>0</v>
      </c>
      <c r="Q221" t="n">
        <v>0</v>
      </c>
      <c r="R221" s="2" t="inlineStr"/>
    </row>
    <row r="222" ht="15" customHeight="1">
      <c r="A222" t="inlineStr">
        <is>
          <t>A 24169-2022</t>
        </is>
      </c>
      <c r="B222" s="1" t="n">
        <v>44725.50280092593</v>
      </c>
      <c r="C222" s="1" t="n">
        <v>45969</v>
      </c>
      <c r="D222" t="inlineStr">
        <is>
          <t>DALARNAS LÄN</t>
        </is>
      </c>
      <c r="E222" t="inlineStr">
        <is>
          <t>MORA</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65186-2021</t>
        </is>
      </c>
      <c r="B223" s="1" t="n">
        <v>44515</v>
      </c>
      <c r="C223" s="1" t="n">
        <v>45969</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44106-2023</t>
        </is>
      </c>
      <c r="B224" s="1" t="n">
        <v>45188</v>
      </c>
      <c r="C224" s="1" t="n">
        <v>45969</v>
      </c>
      <c r="D224" t="inlineStr">
        <is>
          <t>DALARNAS LÄN</t>
        </is>
      </c>
      <c r="E224" t="inlineStr">
        <is>
          <t>MORA</t>
        </is>
      </c>
      <c r="G224" t="n">
        <v>10.1</v>
      </c>
      <c r="H224" t="n">
        <v>0</v>
      </c>
      <c r="I224" t="n">
        <v>0</v>
      </c>
      <c r="J224" t="n">
        <v>0</v>
      </c>
      <c r="K224" t="n">
        <v>0</v>
      </c>
      <c r="L224" t="n">
        <v>0</v>
      </c>
      <c r="M224" t="n">
        <v>0</v>
      </c>
      <c r="N224" t="n">
        <v>0</v>
      </c>
      <c r="O224" t="n">
        <v>0</v>
      </c>
      <c r="P224" t="n">
        <v>0</v>
      </c>
      <c r="Q224" t="n">
        <v>0</v>
      </c>
      <c r="R224" s="2" t="inlineStr"/>
    </row>
    <row r="225" ht="15" customHeight="1">
      <c r="A225" t="inlineStr">
        <is>
          <t>A 58892-2023</t>
        </is>
      </c>
      <c r="B225" s="1" t="n">
        <v>45252.48592592592</v>
      </c>
      <c r="C225" s="1" t="n">
        <v>45969</v>
      </c>
      <c r="D225" t="inlineStr">
        <is>
          <t>DALARNAS LÄN</t>
        </is>
      </c>
      <c r="E225" t="inlineStr">
        <is>
          <t>MORA</t>
        </is>
      </c>
      <c r="G225" t="n">
        <v>2.2</v>
      </c>
      <c r="H225" t="n">
        <v>0</v>
      </c>
      <c r="I225" t="n">
        <v>0</v>
      </c>
      <c r="J225" t="n">
        <v>0</v>
      </c>
      <c r="K225" t="n">
        <v>0</v>
      </c>
      <c r="L225" t="n">
        <v>0</v>
      </c>
      <c r="M225" t="n">
        <v>0</v>
      </c>
      <c r="N225" t="n">
        <v>0</v>
      </c>
      <c r="O225" t="n">
        <v>0</v>
      </c>
      <c r="P225" t="n">
        <v>0</v>
      </c>
      <c r="Q225" t="n">
        <v>0</v>
      </c>
      <c r="R225" s="2" t="inlineStr"/>
    </row>
    <row r="226" ht="15" customHeight="1">
      <c r="A226" t="inlineStr">
        <is>
          <t>A 57091-2021</t>
        </is>
      </c>
      <c r="B226" s="1" t="n">
        <v>44482</v>
      </c>
      <c r="C226" s="1" t="n">
        <v>45969</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11442-2022</t>
        </is>
      </c>
      <c r="B227" s="1" t="n">
        <v>44630.62788194444</v>
      </c>
      <c r="C227" s="1" t="n">
        <v>45969</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6183-2024</t>
        </is>
      </c>
      <c r="B228" s="1" t="n">
        <v>45337.54135416666</v>
      </c>
      <c r="C228" s="1" t="n">
        <v>45969</v>
      </c>
      <c r="D228" t="inlineStr">
        <is>
          <t>DALARNAS LÄN</t>
        </is>
      </c>
      <c r="E228" t="inlineStr">
        <is>
          <t>MORA</t>
        </is>
      </c>
      <c r="G228" t="n">
        <v>7.9</v>
      </c>
      <c r="H228" t="n">
        <v>0</v>
      </c>
      <c r="I228" t="n">
        <v>0</v>
      </c>
      <c r="J228" t="n">
        <v>0</v>
      </c>
      <c r="K228" t="n">
        <v>0</v>
      </c>
      <c r="L228" t="n">
        <v>0</v>
      </c>
      <c r="M228" t="n">
        <v>0</v>
      </c>
      <c r="N228" t="n">
        <v>0</v>
      </c>
      <c r="O228" t="n">
        <v>0</v>
      </c>
      <c r="P228" t="n">
        <v>0</v>
      </c>
      <c r="Q228" t="n">
        <v>0</v>
      </c>
      <c r="R228" s="2" t="inlineStr"/>
    </row>
    <row r="229" ht="15" customHeight="1">
      <c r="A229" t="inlineStr">
        <is>
          <t>A 30194-2024</t>
        </is>
      </c>
      <c r="B229" s="1" t="n">
        <v>45490.33387731481</v>
      </c>
      <c r="C229" s="1" t="n">
        <v>45969</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4994-2025</t>
        </is>
      </c>
      <c r="B230" s="1" t="n">
        <v>45691.35427083333</v>
      </c>
      <c r="C230" s="1" t="n">
        <v>45969</v>
      </c>
      <c r="D230" t="inlineStr">
        <is>
          <t>DALARNAS LÄN</t>
        </is>
      </c>
      <c r="E230" t="inlineStr">
        <is>
          <t>MORA</t>
        </is>
      </c>
      <c r="G230" t="n">
        <v>4.6</v>
      </c>
      <c r="H230" t="n">
        <v>0</v>
      </c>
      <c r="I230" t="n">
        <v>0</v>
      </c>
      <c r="J230" t="n">
        <v>0</v>
      </c>
      <c r="K230" t="n">
        <v>0</v>
      </c>
      <c r="L230" t="n">
        <v>0</v>
      </c>
      <c r="M230" t="n">
        <v>0</v>
      </c>
      <c r="N230" t="n">
        <v>0</v>
      </c>
      <c r="O230" t="n">
        <v>0</v>
      </c>
      <c r="P230" t="n">
        <v>0</v>
      </c>
      <c r="Q230" t="n">
        <v>0</v>
      </c>
      <c r="R230" s="2" t="inlineStr"/>
    </row>
    <row r="231" ht="15" customHeight="1">
      <c r="A231" t="inlineStr">
        <is>
          <t>A 45562-2023</t>
        </is>
      </c>
      <c r="B231" s="1" t="n">
        <v>45194.59378472222</v>
      </c>
      <c r="C231" s="1" t="n">
        <v>45969</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47143-2022</t>
        </is>
      </c>
      <c r="B232" s="1" t="n">
        <v>44852</v>
      </c>
      <c r="C232" s="1" t="n">
        <v>45969</v>
      </c>
      <c r="D232" t="inlineStr">
        <is>
          <t>DALARNAS LÄN</t>
        </is>
      </c>
      <c r="E232" t="inlineStr">
        <is>
          <t>MORA</t>
        </is>
      </c>
      <c r="G232" t="n">
        <v>3.9</v>
      </c>
      <c r="H232" t="n">
        <v>0</v>
      </c>
      <c r="I232" t="n">
        <v>0</v>
      </c>
      <c r="J232" t="n">
        <v>0</v>
      </c>
      <c r="K232" t="n">
        <v>0</v>
      </c>
      <c r="L232" t="n">
        <v>0</v>
      </c>
      <c r="M232" t="n">
        <v>0</v>
      </c>
      <c r="N232" t="n">
        <v>0</v>
      </c>
      <c r="O232" t="n">
        <v>0</v>
      </c>
      <c r="P232" t="n">
        <v>0</v>
      </c>
      <c r="Q232" t="n">
        <v>0</v>
      </c>
      <c r="R232" s="2" t="inlineStr"/>
    </row>
    <row r="233" ht="15" customHeight="1">
      <c r="A233" t="inlineStr">
        <is>
          <t>A 3430-2023</t>
        </is>
      </c>
      <c r="B233" s="1" t="n">
        <v>44949.57856481482</v>
      </c>
      <c r="C233" s="1" t="n">
        <v>45969</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35551-2023</t>
        </is>
      </c>
      <c r="B234" s="1" t="n">
        <v>45147.3934837963</v>
      </c>
      <c r="C234" s="1" t="n">
        <v>45969</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35287-2024</t>
        </is>
      </c>
      <c r="B235" s="1" t="n">
        <v>45530</v>
      </c>
      <c r="C235" s="1" t="n">
        <v>45969</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18702-2025</t>
        </is>
      </c>
      <c r="B236" s="1" t="n">
        <v>45763.63166666667</v>
      </c>
      <c r="C236" s="1" t="n">
        <v>45969</v>
      </c>
      <c r="D236" t="inlineStr">
        <is>
          <t>DALARNAS LÄN</t>
        </is>
      </c>
      <c r="E236" t="inlineStr">
        <is>
          <t>MORA</t>
        </is>
      </c>
      <c r="G236" t="n">
        <v>3.6</v>
      </c>
      <c r="H236" t="n">
        <v>0</v>
      </c>
      <c r="I236" t="n">
        <v>0</v>
      </c>
      <c r="J236" t="n">
        <v>0</v>
      </c>
      <c r="K236" t="n">
        <v>0</v>
      </c>
      <c r="L236" t="n">
        <v>0</v>
      </c>
      <c r="M236" t="n">
        <v>0</v>
      </c>
      <c r="N236" t="n">
        <v>0</v>
      </c>
      <c r="O236" t="n">
        <v>0</v>
      </c>
      <c r="P236" t="n">
        <v>0</v>
      </c>
      <c r="Q236" t="n">
        <v>0</v>
      </c>
      <c r="R236" s="2" t="inlineStr"/>
    </row>
    <row r="237" ht="15" customHeight="1">
      <c r="A237" t="inlineStr">
        <is>
          <t>A 23300-2024</t>
        </is>
      </c>
      <c r="B237" s="1" t="n">
        <v>45453.43695601852</v>
      </c>
      <c r="C237" s="1" t="n">
        <v>45969</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12478-2025</t>
        </is>
      </c>
      <c r="B238" s="1" t="n">
        <v>45730.57429398148</v>
      </c>
      <c r="C238" s="1" t="n">
        <v>45969</v>
      </c>
      <c r="D238" t="inlineStr">
        <is>
          <t>DALARNAS LÄN</t>
        </is>
      </c>
      <c r="E238" t="inlineStr">
        <is>
          <t>MORA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34282-2024</t>
        </is>
      </c>
      <c r="B239" s="1" t="n">
        <v>45524.62600694445</v>
      </c>
      <c r="C239" s="1" t="n">
        <v>45969</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56268-2024</t>
        </is>
      </c>
      <c r="B240" s="1" t="n">
        <v>45624.65785879629</v>
      </c>
      <c r="C240" s="1" t="n">
        <v>45969</v>
      </c>
      <c r="D240" t="inlineStr">
        <is>
          <t>DALARNAS LÄN</t>
        </is>
      </c>
      <c r="E240" t="inlineStr">
        <is>
          <t>MORA</t>
        </is>
      </c>
      <c r="G240" t="n">
        <v>2.7</v>
      </c>
      <c r="H240" t="n">
        <v>0</v>
      </c>
      <c r="I240" t="n">
        <v>0</v>
      </c>
      <c r="J240" t="n">
        <v>0</v>
      </c>
      <c r="K240" t="n">
        <v>0</v>
      </c>
      <c r="L240" t="n">
        <v>0</v>
      </c>
      <c r="M240" t="n">
        <v>0</v>
      </c>
      <c r="N240" t="n">
        <v>0</v>
      </c>
      <c r="O240" t="n">
        <v>0</v>
      </c>
      <c r="P240" t="n">
        <v>0</v>
      </c>
      <c r="Q240" t="n">
        <v>0</v>
      </c>
      <c r="R240" s="2" t="inlineStr"/>
    </row>
    <row r="241" ht="15" customHeight="1">
      <c r="A241" t="inlineStr">
        <is>
          <t>A 30030-2021</t>
        </is>
      </c>
      <c r="B241" s="1" t="n">
        <v>44363</v>
      </c>
      <c r="C241" s="1" t="n">
        <v>45969</v>
      </c>
      <c r="D241" t="inlineStr">
        <is>
          <t>DALARNAS LÄN</t>
        </is>
      </c>
      <c r="E241" t="inlineStr">
        <is>
          <t>MORA</t>
        </is>
      </c>
      <c r="G241" t="n">
        <v>7.1</v>
      </c>
      <c r="H241" t="n">
        <v>0</v>
      </c>
      <c r="I241" t="n">
        <v>0</v>
      </c>
      <c r="J241" t="n">
        <v>0</v>
      </c>
      <c r="K241" t="n">
        <v>0</v>
      </c>
      <c r="L241" t="n">
        <v>0</v>
      </c>
      <c r="M241" t="n">
        <v>0</v>
      </c>
      <c r="N241" t="n">
        <v>0</v>
      </c>
      <c r="O241" t="n">
        <v>0</v>
      </c>
      <c r="P241" t="n">
        <v>0</v>
      </c>
      <c r="Q241" t="n">
        <v>0</v>
      </c>
      <c r="R241" s="2" t="inlineStr"/>
    </row>
    <row r="242" ht="15" customHeight="1">
      <c r="A242" t="inlineStr">
        <is>
          <t>A 31085-2024</t>
        </is>
      </c>
      <c r="B242" s="1" t="n">
        <v>45502.48047453703</v>
      </c>
      <c r="C242" s="1" t="n">
        <v>45969</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52525-2022</t>
        </is>
      </c>
      <c r="B243" s="1" t="n">
        <v>44874</v>
      </c>
      <c r="C243" s="1" t="n">
        <v>45969</v>
      </c>
      <c r="D243" t="inlineStr">
        <is>
          <t>DALARNAS LÄN</t>
        </is>
      </c>
      <c r="E243" t="inlineStr">
        <is>
          <t>MORA</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571-2024</t>
        </is>
      </c>
      <c r="B244" s="1" t="n">
        <v>45299</v>
      </c>
      <c r="C244" s="1" t="n">
        <v>45969</v>
      </c>
      <c r="D244" t="inlineStr">
        <is>
          <t>DALARNAS LÄN</t>
        </is>
      </c>
      <c r="E244" t="inlineStr">
        <is>
          <t>MORA</t>
        </is>
      </c>
      <c r="G244" t="n">
        <v>3.3</v>
      </c>
      <c r="H244" t="n">
        <v>0</v>
      </c>
      <c r="I244" t="n">
        <v>0</v>
      </c>
      <c r="J244" t="n">
        <v>0</v>
      </c>
      <c r="K244" t="n">
        <v>0</v>
      </c>
      <c r="L244" t="n">
        <v>0</v>
      </c>
      <c r="M244" t="n">
        <v>0</v>
      </c>
      <c r="N244" t="n">
        <v>0</v>
      </c>
      <c r="O244" t="n">
        <v>0</v>
      </c>
      <c r="P244" t="n">
        <v>0</v>
      </c>
      <c r="Q244" t="n">
        <v>0</v>
      </c>
      <c r="R244" s="2" t="inlineStr"/>
    </row>
    <row r="245" ht="15" customHeight="1">
      <c r="A245" t="inlineStr">
        <is>
          <t>A 44071-2024</t>
        </is>
      </c>
      <c r="B245" s="1" t="n">
        <v>45572.60915509259</v>
      </c>
      <c r="C245" s="1" t="n">
        <v>45969</v>
      </c>
      <c r="D245" t="inlineStr">
        <is>
          <t>DALARNAS LÄN</t>
        </is>
      </c>
      <c r="E245" t="inlineStr">
        <is>
          <t>MORA</t>
        </is>
      </c>
      <c r="G245" t="n">
        <v>4.5</v>
      </c>
      <c r="H245" t="n">
        <v>0</v>
      </c>
      <c r="I245" t="n">
        <v>0</v>
      </c>
      <c r="J245" t="n">
        <v>0</v>
      </c>
      <c r="K245" t="n">
        <v>0</v>
      </c>
      <c r="L245" t="n">
        <v>0</v>
      </c>
      <c r="M245" t="n">
        <v>0</v>
      </c>
      <c r="N245" t="n">
        <v>0</v>
      </c>
      <c r="O245" t="n">
        <v>0</v>
      </c>
      <c r="P245" t="n">
        <v>0</v>
      </c>
      <c r="Q245" t="n">
        <v>0</v>
      </c>
      <c r="R245" s="2" t="inlineStr"/>
    </row>
    <row r="246" ht="15" customHeight="1">
      <c r="A246" t="inlineStr">
        <is>
          <t>A 12490-2025</t>
        </is>
      </c>
      <c r="B246" s="1" t="n">
        <v>45730.59239583334</v>
      </c>
      <c r="C246" s="1" t="n">
        <v>45969</v>
      </c>
      <c r="D246" t="inlineStr">
        <is>
          <t>DALARNAS LÄN</t>
        </is>
      </c>
      <c r="E246" t="inlineStr">
        <is>
          <t>MORA</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41169-2023</t>
        </is>
      </c>
      <c r="B247" s="1" t="n">
        <v>45174.34662037037</v>
      </c>
      <c r="C247" s="1" t="n">
        <v>45969</v>
      </c>
      <c r="D247" t="inlineStr">
        <is>
          <t>DALARNAS LÄN</t>
        </is>
      </c>
      <c r="E247" t="inlineStr">
        <is>
          <t>MORA</t>
        </is>
      </c>
      <c r="G247" t="n">
        <v>3</v>
      </c>
      <c r="H247" t="n">
        <v>0</v>
      </c>
      <c r="I247" t="n">
        <v>0</v>
      </c>
      <c r="J247" t="n">
        <v>0</v>
      </c>
      <c r="K247" t="n">
        <v>0</v>
      </c>
      <c r="L247" t="n">
        <v>0</v>
      </c>
      <c r="M247" t="n">
        <v>0</v>
      </c>
      <c r="N247" t="n">
        <v>0</v>
      </c>
      <c r="O247" t="n">
        <v>0</v>
      </c>
      <c r="P247" t="n">
        <v>0</v>
      </c>
      <c r="Q247" t="n">
        <v>0</v>
      </c>
      <c r="R247" s="2" t="inlineStr"/>
    </row>
    <row r="248" ht="15" customHeight="1">
      <c r="A248" t="inlineStr">
        <is>
          <t>A 50056-2022</t>
        </is>
      </c>
      <c r="B248" s="1" t="n">
        <v>44865</v>
      </c>
      <c r="C248" s="1" t="n">
        <v>45969</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69483-2021</t>
        </is>
      </c>
      <c r="B249" s="1" t="n">
        <v>44531</v>
      </c>
      <c r="C249" s="1" t="n">
        <v>45969</v>
      </c>
      <c r="D249" t="inlineStr">
        <is>
          <t>DALARNAS LÄN</t>
        </is>
      </c>
      <c r="E249" t="inlineStr">
        <is>
          <t>MORA</t>
        </is>
      </c>
      <c r="G249" t="n">
        <v>1.5</v>
      </c>
      <c r="H249" t="n">
        <v>0</v>
      </c>
      <c r="I249" t="n">
        <v>0</v>
      </c>
      <c r="J249" t="n">
        <v>0</v>
      </c>
      <c r="K249" t="n">
        <v>0</v>
      </c>
      <c r="L249" t="n">
        <v>0</v>
      </c>
      <c r="M249" t="n">
        <v>0</v>
      </c>
      <c r="N249" t="n">
        <v>0</v>
      </c>
      <c r="O249" t="n">
        <v>0</v>
      </c>
      <c r="P249" t="n">
        <v>0</v>
      </c>
      <c r="Q249" t="n">
        <v>0</v>
      </c>
      <c r="R249" s="2" t="inlineStr"/>
    </row>
    <row r="250" ht="15" customHeight="1">
      <c r="A250" t="inlineStr">
        <is>
          <t>A 56460-2022</t>
        </is>
      </c>
      <c r="B250" s="1" t="n">
        <v>44893</v>
      </c>
      <c r="C250" s="1" t="n">
        <v>45969</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57110-2021</t>
        </is>
      </c>
      <c r="B251" s="1" t="n">
        <v>44482</v>
      </c>
      <c r="C251" s="1" t="n">
        <v>45969</v>
      </c>
      <c r="D251" t="inlineStr">
        <is>
          <t>DALARNAS LÄN</t>
        </is>
      </c>
      <c r="E251" t="inlineStr">
        <is>
          <t>MORA</t>
        </is>
      </c>
      <c r="G251" t="n">
        <v>5.4</v>
      </c>
      <c r="H251" t="n">
        <v>0</v>
      </c>
      <c r="I251" t="n">
        <v>0</v>
      </c>
      <c r="J251" t="n">
        <v>0</v>
      </c>
      <c r="K251" t="n">
        <v>0</v>
      </c>
      <c r="L251" t="n">
        <v>0</v>
      </c>
      <c r="M251" t="n">
        <v>0</v>
      </c>
      <c r="N251" t="n">
        <v>0</v>
      </c>
      <c r="O251" t="n">
        <v>0</v>
      </c>
      <c r="P251" t="n">
        <v>0</v>
      </c>
      <c r="Q251" t="n">
        <v>0</v>
      </c>
      <c r="R251" s="2" t="inlineStr"/>
    </row>
    <row r="252" ht="15" customHeight="1">
      <c r="A252" t="inlineStr">
        <is>
          <t>A 21410-2023</t>
        </is>
      </c>
      <c r="B252" s="1" t="n">
        <v>45063</v>
      </c>
      <c r="C252" s="1" t="n">
        <v>45969</v>
      </c>
      <c r="D252" t="inlineStr">
        <is>
          <t>DALARNAS LÄN</t>
        </is>
      </c>
      <c r="E252" t="inlineStr">
        <is>
          <t>MORA</t>
        </is>
      </c>
      <c r="G252" t="n">
        <v>7</v>
      </c>
      <c r="H252" t="n">
        <v>0</v>
      </c>
      <c r="I252" t="n">
        <v>0</v>
      </c>
      <c r="J252" t="n">
        <v>0</v>
      </c>
      <c r="K252" t="n">
        <v>0</v>
      </c>
      <c r="L252" t="n">
        <v>0</v>
      </c>
      <c r="M252" t="n">
        <v>0</v>
      </c>
      <c r="N252" t="n">
        <v>0</v>
      </c>
      <c r="O252" t="n">
        <v>0</v>
      </c>
      <c r="P252" t="n">
        <v>0</v>
      </c>
      <c r="Q252" t="n">
        <v>0</v>
      </c>
      <c r="R252" s="2" t="inlineStr"/>
    </row>
    <row r="253" ht="15" customHeight="1">
      <c r="A253" t="inlineStr">
        <is>
          <t>A 15499-2024</t>
        </is>
      </c>
      <c r="B253" s="1" t="n">
        <v>45401.53798611111</v>
      </c>
      <c r="C253" s="1" t="n">
        <v>45969</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39882-2024</t>
        </is>
      </c>
      <c r="B254" s="1" t="n">
        <v>45553</v>
      </c>
      <c r="C254" s="1" t="n">
        <v>45969</v>
      </c>
      <c r="D254" t="inlineStr">
        <is>
          <t>DALARNAS LÄN</t>
        </is>
      </c>
      <c r="E254" t="inlineStr">
        <is>
          <t>MORA</t>
        </is>
      </c>
      <c r="G254" t="n">
        <v>14.6</v>
      </c>
      <c r="H254" t="n">
        <v>0</v>
      </c>
      <c r="I254" t="n">
        <v>0</v>
      </c>
      <c r="J254" t="n">
        <v>0</v>
      </c>
      <c r="K254" t="n">
        <v>0</v>
      </c>
      <c r="L254" t="n">
        <v>0</v>
      </c>
      <c r="M254" t="n">
        <v>0</v>
      </c>
      <c r="N254" t="n">
        <v>0</v>
      </c>
      <c r="O254" t="n">
        <v>0</v>
      </c>
      <c r="P254" t="n">
        <v>0</v>
      </c>
      <c r="Q254" t="n">
        <v>0</v>
      </c>
      <c r="R254" s="2" t="inlineStr"/>
    </row>
    <row r="255" ht="15" customHeight="1">
      <c r="A255" t="inlineStr">
        <is>
          <t>A 46801-2022</t>
        </is>
      </c>
      <c r="B255" s="1" t="n">
        <v>44851</v>
      </c>
      <c r="C255" s="1" t="n">
        <v>45969</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43879-2022</t>
        </is>
      </c>
      <c r="B256" s="1" t="n">
        <v>44838.46721064814</v>
      </c>
      <c r="C256" s="1" t="n">
        <v>45969</v>
      </c>
      <c r="D256" t="inlineStr">
        <is>
          <t>DALARNAS LÄN</t>
        </is>
      </c>
      <c r="E256" t="inlineStr">
        <is>
          <t>MORA</t>
        </is>
      </c>
      <c r="G256" t="n">
        <v>3.4</v>
      </c>
      <c r="H256" t="n">
        <v>0</v>
      </c>
      <c r="I256" t="n">
        <v>0</v>
      </c>
      <c r="J256" t="n">
        <v>0</v>
      </c>
      <c r="K256" t="n">
        <v>0</v>
      </c>
      <c r="L256" t="n">
        <v>0</v>
      </c>
      <c r="M256" t="n">
        <v>0</v>
      </c>
      <c r="N256" t="n">
        <v>0</v>
      </c>
      <c r="O256" t="n">
        <v>0</v>
      </c>
      <c r="P256" t="n">
        <v>0</v>
      </c>
      <c r="Q256" t="n">
        <v>0</v>
      </c>
      <c r="R256" s="2" t="inlineStr"/>
    </row>
    <row r="257" ht="15" customHeight="1">
      <c r="A257" t="inlineStr">
        <is>
          <t>A 70141-2021</t>
        </is>
      </c>
      <c r="B257" s="1" t="n">
        <v>44533</v>
      </c>
      <c r="C257" s="1" t="n">
        <v>45969</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39888-2024</t>
        </is>
      </c>
      <c r="B258" s="1" t="n">
        <v>45553.47538194444</v>
      </c>
      <c r="C258" s="1" t="n">
        <v>45969</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56767-2023</t>
        </is>
      </c>
      <c r="B259" s="1" t="n">
        <v>45244</v>
      </c>
      <c r="C259" s="1" t="n">
        <v>45969</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40949-2023</t>
        </is>
      </c>
      <c r="B260" s="1" t="n">
        <v>45173</v>
      </c>
      <c r="C260" s="1" t="n">
        <v>45969</v>
      </c>
      <c r="D260" t="inlineStr">
        <is>
          <t>DALARNAS LÄN</t>
        </is>
      </c>
      <c r="E260" t="inlineStr">
        <is>
          <t>MORA</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66232-2021</t>
        </is>
      </c>
      <c r="B261" s="1" t="n">
        <v>44518.39234953704</v>
      </c>
      <c r="C261" s="1" t="n">
        <v>45969</v>
      </c>
      <c r="D261" t="inlineStr">
        <is>
          <t>DALARNAS LÄN</t>
        </is>
      </c>
      <c r="E261" t="inlineStr">
        <is>
          <t>MORA</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39897-2022</t>
        </is>
      </c>
      <c r="B262" s="1" t="n">
        <v>44819.66083333334</v>
      </c>
      <c r="C262" s="1" t="n">
        <v>45969</v>
      </c>
      <c r="D262" t="inlineStr">
        <is>
          <t>DALARNAS LÄN</t>
        </is>
      </c>
      <c r="E262" t="inlineStr">
        <is>
          <t>MORA</t>
        </is>
      </c>
      <c r="G262" t="n">
        <v>15.8</v>
      </c>
      <c r="H262" t="n">
        <v>0</v>
      </c>
      <c r="I262" t="n">
        <v>0</v>
      </c>
      <c r="J262" t="n">
        <v>0</v>
      </c>
      <c r="K262" t="n">
        <v>0</v>
      </c>
      <c r="L262" t="n">
        <v>0</v>
      </c>
      <c r="M262" t="n">
        <v>0</v>
      </c>
      <c r="N262" t="n">
        <v>0</v>
      </c>
      <c r="O262" t="n">
        <v>0</v>
      </c>
      <c r="P262" t="n">
        <v>0</v>
      </c>
      <c r="Q262" t="n">
        <v>0</v>
      </c>
      <c r="R262" s="2" t="inlineStr"/>
    </row>
    <row r="263" ht="15" customHeight="1">
      <c r="A263" t="inlineStr">
        <is>
          <t>A 12828-2023</t>
        </is>
      </c>
      <c r="B263" s="1" t="n">
        <v>45001</v>
      </c>
      <c r="C263" s="1" t="n">
        <v>45969</v>
      </c>
      <c r="D263" t="inlineStr">
        <is>
          <t>DALARNAS LÄN</t>
        </is>
      </c>
      <c r="E263" t="inlineStr">
        <is>
          <t>MORA</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60099-2024</t>
        </is>
      </c>
      <c r="B264" s="1" t="n">
        <v>45642.55645833333</v>
      </c>
      <c r="C264" s="1" t="n">
        <v>45969</v>
      </c>
      <c r="D264" t="inlineStr">
        <is>
          <t>DALARNAS LÄN</t>
        </is>
      </c>
      <c r="E264" t="inlineStr">
        <is>
          <t>MORA</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53750-2024</t>
        </is>
      </c>
      <c r="B265" s="1" t="n">
        <v>45615.48465277778</v>
      </c>
      <c r="C265" s="1" t="n">
        <v>45969</v>
      </c>
      <c r="D265" t="inlineStr">
        <is>
          <t>DALARNAS LÄN</t>
        </is>
      </c>
      <c r="E265" t="inlineStr">
        <is>
          <t>MORA</t>
        </is>
      </c>
      <c r="G265" t="n">
        <v>2.3</v>
      </c>
      <c r="H265" t="n">
        <v>0</v>
      </c>
      <c r="I265" t="n">
        <v>0</v>
      </c>
      <c r="J265" t="n">
        <v>0</v>
      </c>
      <c r="K265" t="n">
        <v>0</v>
      </c>
      <c r="L265" t="n">
        <v>0</v>
      </c>
      <c r="M265" t="n">
        <v>0</v>
      </c>
      <c r="N265" t="n">
        <v>0</v>
      </c>
      <c r="O265" t="n">
        <v>0</v>
      </c>
      <c r="P265" t="n">
        <v>0</v>
      </c>
      <c r="Q265" t="n">
        <v>0</v>
      </c>
      <c r="R265" s="2" t="inlineStr"/>
    </row>
    <row r="266" ht="15" customHeight="1">
      <c r="A266" t="inlineStr">
        <is>
          <t>A 37971-2024</t>
        </is>
      </c>
      <c r="B266" s="1" t="n">
        <v>45544</v>
      </c>
      <c r="C266" s="1" t="n">
        <v>45969</v>
      </c>
      <c r="D266" t="inlineStr">
        <is>
          <t>DALARNAS LÄN</t>
        </is>
      </c>
      <c r="E266" t="inlineStr">
        <is>
          <t>MORA</t>
        </is>
      </c>
      <c r="G266" t="n">
        <v>2.3</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45969</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23302-2024</t>
        </is>
      </c>
      <c r="B268" s="1" t="n">
        <v>45453.44091435185</v>
      </c>
      <c r="C268" s="1" t="n">
        <v>45969</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30985-2024</t>
        </is>
      </c>
      <c r="B269" s="1" t="n">
        <v>45499.51721064815</v>
      </c>
      <c r="C269" s="1" t="n">
        <v>45969</v>
      </c>
      <c r="D269" t="inlineStr">
        <is>
          <t>DALARNAS LÄN</t>
        </is>
      </c>
      <c r="E269" t="inlineStr">
        <is>
          <t>MORA</t>
        </is>
      </c>
      <c r="G269" t="n">
        <v>0.7</v>
      </c>
      <c r="H269" t="n">
        <v>0</v>
      </c>
      <c r="I269" t="n">
        <v>0</v>
      </c>
      <c r="J269" t="n">
        <v>0</v>
      </c>
      <c r="K269" t="n">
        <v>0</v>
      </c>
      <c r="L269" t="n">
        <v>0</v>
      </c>
      <c r="M269" t="n">
        <v>0</v>
      </c>
      <c r="N269" t="n">
        <v>0</v>
      </c>
      <c r="O269" t="n">
        <v>0</v>
      </c>
      <c r="P269" t="n">
        <v>0</v>
      </c>
      <c r="Q269" t="n">
        <v>0</v>
      </c>
      <c r="R269" s="2" t="inlineStr"/>
    </row>
    <row r="270" ht="15" customHeight="1">
      <c r="A270" t="inlineStr">
        <is>
          <t>A 34272-2024</t>
        </is>
      </c>
      <c r="B270" s="1" t="n">
        <v>45524.61752314815</v>
      </c>
      <c r="C270" s="1" t="n">
        <v>45969</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57859-2022</t>
        </is>
      </c>
      <c r="B271" s="1" t="n">
        <v>44898</v>
      </c>
      <c r="C271" s="1" t="n">
        <v>45969</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18122-2025</t>
        </is>
      </c>
      <c r="B272" s="1" t="n">
        <v>45761.59221064814</v>
      </c>
      <c r="C272" s="1" t="n">
        <v>45969</v>
      </c>
      <c r="D272" t="inlineStr">
        <is>
          <t>DALARNAS LÄN</t>
        </is>
      </c>
      <c r="E272" t="inlineStr">
        <is>
          <t>MORA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28131-2024</t>
        </is>
      </c>
      <c r="B273" s="1" t="n">
        <v>45476.68435185185</v>
      </c>
      <c r="C273" s="1" t="n">
        <v>45969</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28132-2024</t>
        </is>
      </c>
      <c r="B274" s="1" t="n">
        <v>45476.68616898148</v>
      </c>
      <c r="C274" s="1" t="n">
        <v>45969</v>
      </c>
      <c r="D274" t="inlineStr">
        <is>
          <t>DALARNAS LÄN</t>
        </is>
      </c>
      <c r="E274" t="inlineStr">
        <is>
          <t>MORA</t>
        </is>
      </c>
      <c r="G274" t="n">
        <v>0.2</v>
      </c>
      <c r="H274" t="n">
        <v>0</v>
      </c>
      <c r="I274" t="n">
        <v>0</v>
      </c>
      <c r="J274" t="n">
        <v>0</v>
      </c>
      <c r="K274" t="n">
        <v>0</v>
      </c>
      <c r="L274" t="n">
        <v>0</v>
      </c>
      <c r="M274" t="n">
        <v>0</v>
      </c>
      <c r="N274" t="n">
        <v>0</v>
      </c>
      <c r="O274" t="n">
        <v>0</v>
      </c>
      <c r="P274" t="n">
        <v>0</v>
      </c>
      <c r="Q274" t="n">
        <v>0</v>
      </c>
      <c r="R274" s="2" t="inlineStr"/>
    </row>
    <row r="275" ht="15" customHeight="1">
      <c r="A275" t="inlineStr">
        <is>
          <t>A 60647-2022</t>
        </is>
      </c>
      <c r="B275" s="1" t="n">
        <v>44911</v>
      </c>
      <c r="C275" s="1" t="n">
        <v>45969</v>
      </c>
      <c r="D275" t="inlineStr">
        <is>
          <t>DALARNAS LÄN</t>
        </is>
      </c>
      <c r="E275" t="inlineStr">
        <is>
          <t>MORA</t>
        </is>
      </c>
      <c r="G275" t="n">
        <v>4.8</v>
      </c>
      <c r="H275" t="n">
        <v>0</v>
      </c>
      <c r="I275" t="n">
        <v>0</v>
      </c>
      <c r="J275" t="n">
        <v>0</v>
      </c>
      <c r="K275" t="n">
        <v>0</v>
      </c>
      <c r="L275" t="n">
        <v>0</v>
      </c>
      <c r="M275" t="n">
        <v>0</v>
      </c>
      <c r="N275" t="n">
        <v>0</v>
      </c>
      <c r="O275" t="n">
        <v>0</v>
      </c>
      <c r="P275" t="n">
        <v>0</v>
      </c>
      <c r="Q275" t="n">
        <v>0</v>
      </c>
      <c r="R275" s="2" t="inlineStr"/>
    </row>
    <row r="276" ht="15" customHeight="1">
      <c r="A276" t="inlineStr">
        <is>
          <t>A 46923-2024</t>
        </is>
      </c>
      <c r="B276" s="1" t="n">
        <v>45584.42887731481</v>
      </c>
      <c r="C276" s="1" t="n">
        <v>45969</v>
      </c>
      <c r="D276" t="inlineStr">
        <is>
          <t>DALARNAS LÄN</t>
        </is>
      </c>
      <c r="E276" t="inlineStr">
        <is>
          <t>MORA</t>
        </is>
      </c>
      <c r="G276" t="n">
        <v>3.4</v>
      </c>
      <c r="H276" t="n">
        <v>0</v>
      </c>
      <c r="I276" t="n">
        <v>0</v>
      </c>
      <c r="J276" t="n">
        <v>0</v>
      </c>
      <c r="K276" t="n">
        <v>0</v>
      </c>
      <c r="L276" t="n">
        <v>0</v>
      </c>
      <c r="M276" t="n">
        <v>0</v>
      </c>
      <c r="N276" t="n">
        <v>0</v>
      </c>
      <c r="O276" t="n">
        <v>0</v>
      </c>
      <c r="P276" t="n">
        <v>0</v>
      </c>
      <c r="Q276" t="n">
        <v>0</v>
      </c>
      <c r="R276" s="2" t="inlineStr"/>
    </row>
    <row r="277" ht="15" customHeight="1">
      <c r="A277" t="inlineStr">
        <is>
          <t>A 47140-2025</t>
        </is>
      </c>
      <c r="B277" s="1" t="n">
        <v>45929</v>
      </c>
      <c r="C277" s="1" t="n">
        <v>45969</v>
      </c>
      <c r="D277" t="inlineStr">
        <is>
          <t>DALARNAS LÄN</t>
        </is>
      </c>
      <c r="E277" t="inlineStr">
        <is>
          <t>MORA</t>
        </is>
      </c>
      <c r="G277" t="n">
        <v>6.7</v>
      </c>
      <c r="H277" t="n">
        <v>0</v>
      </c>
      <c r="I277" t="n">
        <v>0</v>
      </c>
      <c r="J277" t="n">
        <v>0</v>
      </c>
      <c r="K277" t="n">
        <v>0</v>
      </c>
      <c r="L277" t="n">
        <v>0</v>
      </c>
      <c r="M277" t="n">
        <v>0</v>
      </c>
      <c r="N277" t="n">
        <v>0</v>
      </c>
      <c r="O277" t="n">
        <v>0</v>
      </c>
      <c r="P277" t="n">
        <v>0</v>
      </c>
      <c r="Q277" t="n">
        <v>0</v>
      </c>
      <c r="R277" s="2" t="inlineStr"/>
    </row>
    <row r="278" ht="15" customHeight="1">
      <c r="A278" t="inlineStr">
        <is>
          <t>A 13262-2022</t>
        </is>
      </c>
      <c r="B278" s="1" t="n">
        <v>44644.70184027778</v>
      </c>
      <c r="C278" s="1" t="n">
        <v>45969</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57608-2021</t>
        </is>
      </c>
      <c r="B279" s="1" t="n">
        <v>44484</v>
      </c>
      <c r="C279" s="1" t="n">
        <v>45969</v>
      </c>
      <c r="D279" t="inlineStr">
        <is>
          <t>DALARNAS LÄN</t>
        </is>
      </c>
      <c r="E279" t="inlineStr">
        <is>
          <t>MORA</t>
        </is>
      </c>
      <c r="G279" t="n">
        <v>6.3</v>
      </c>
      <c r="H279" t="n">
        <v>0</v>
      </c>
      <c r="I279" t="n">
        <v>0</v>
      </c>
      <c r="J279" t="n">
        <v>0</v>
      </c>
      <c r="K279" t="n">
        <v>0</v>
      </c>
      <c r="L279" t="n">
        <v>0</v>
      </c>
      <c r="M279" t="n">
        <v>0</v>
      </c>
      <c r="N279" t="n">
        <v>0</v>
      </c>
      <c r="O279" t="n">
        <v>0</v>
      </c>
      <c r="P279" t="n">
        <v>0</v>
      </c>
      <c r="Q279" t="n">
        <v>0</v>
      </c>
      <c r="R279" s="2" t="inlineStr"/>
    </row>
    <row r="280" ht="15" customHeight="1">
      <c r="A280" t="inlineStr">
        <is>
          <t>A 24590-2024</t>
        </is>
      </c>
      <c r="B280" s="1" t="n">
        <v>45460</v>
      </c>
      <c r="C280" s="1" t="n">
        <v>45969</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23586-2023</t>
        </is>
      </c>
      <c r="B281" s="1" t="n">
        <v>45077</v>
      </c>
      <c r="C281" s="1" t="n">
        <v>45969</v>
      </c>
      <c r="D281" t="inlineStr">
        <is>
          <t>DALARNAS LÄN</t>
        </is>
      </c>
      <c r="E281" t="inlineStr">
        <is>
          <t>MORA</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47036-2023</t>
        </is>
      </c>
      <c r="B282" s="1" t="n">
        <v>45196</v>
      </c>
      <c r="C282" s="1" t="n">
        <v>45969</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47769-2025</t>
        </is>
      </c>
      <c r="B283" s="1" t="n">
        <v>45931.70715277778</v>
      </c>
      <c r="C283" s="1" t="n">
        <v>45969</v>
      </c>
      <c r="D283" t="inlineStr">
        <is>
          <t>DALARNAS LÄN</t>
        </is>
      </c>
      <c r="E283" t="inlineStr">
        <is>
          <t>MORA</t>
        </is>
      </c>
      <c r="G283" t="n">
        <v>6.7</v>
      </c>
      <c r="H283" t="n">
        <v>0</v>
      </c>
      <c r="I283" t="n">
        <v>0</v>
      </c>
      <c r="J283" t="n">
        <v>0</v>
      </c>
      <c r="K283" t="n">
        <v>0</v>
      </c>
      <c r="L283" t="n">
        <v>0</v>
      </c>
      <c r="M283" t="n">
        <v>0</v>
      </c>
      <c r="N283" t="n">
        <v>0</v>
      </c>
      <c r="O283" t="n">
        <v>0</v>
      </c>
      <c r="P283" t="n">
        <v>0</v>
      </c>
      <c r="Q283" t="n">
        <v>0</v>
      </c>
      <c r="R283" s="2" t="inlineStr"/>
    </row>
    <row r="284" ht="15" customHeight="1">
      <c r="A284" t="inlineStr">
        <is>
          <t>A 1897-2023</t>
        </is>
      </c>
      <c r="B284" s="1" t="n">
        <v>44937</v>
      </c>
      <c r="C284" s="1" t="n">
        <v>45969</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20549-2025</t>
        </is>
      </c>
      <c r="B285" s="1" t="n">
        <v>45775.63459490741</v>
      </c>
      <c r="C285" s="1" t="n">
        <v>45969</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19193-2025</t>
        </is>
      </c>
      <c r="B286" s="1" t="n">
        <v>45769.42203703704</v>
      </c>
      <c r="C286" s="1" t="n">
        <v>45969</v>
      </c>
      <c r="D286" t="inlineStr">
        <is>
          <t>DALARNAS LÄN</t>
        </is>
      </c>
      <c r="E286" t="inlineStr">
        <is>
          <t>MORA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5644-2024</t>
        </is>
      </c>
      <c r="B287" s="1" t="n">
        <v>45334</v>
      </c>
      <c r="C287" s="1" t="n">
        <v>45969</v>
      </c>
      <c r="D287" t="inlineStr">
        <is>
          <t>DALARNAS LÄN</t>
        </is>
      </c>
      <c r="E287" t="inlineStr">
        <is>
          <t>MORA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42934-2024</t>
        </is>
      </c>
      <c r="B288" s="1" t="n">
        <v>45567.33655092592</v>
      </c>
      <c r="C288" s="1" t="n">
        <v>45969</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61654-2024</t>
        </is>
      </c>
      <c r="B289" s="1" t="n">
        <v>45646.74988425926</v>
      </c>
      <c r="C289" s="1" t="n">
        <v>45969</v>
      </c>
      <c r="D289" t="inlineStr">
        <is>
          <t>DALARNAS LÄN</t>
        </is>
      </c>
      <c r="E289" t="inlineStr">
        <is>
          <t>MORA</t>
        </is>
      </c>
      <c r="G289" t="n">
        <v>1.7</v>
      </c>
      <c r="H289" t="n">
        <v>0</v>
      </c>
      <c r="I289" t="n">
        <v>0</v>
      </c>
      <c r="J289" t="n">
        <v>0</v>
      </c>
      <c r="K289" t="n">
        <v>0</v>
      </c>
      <c r="L289" t="n">
        <v>0</v>
      </c>
      <c r="M289" t="n">
        <v>0</v>
      </c>
      <c r="N289" t="n">
        <v>0</v>
      </c>
      <c r="O289" t="n">
        <v>0</v>
      </c>
      <c r="P289" t="n">
        <v>0</v>
      </c>
      <c r="Q289" t="n">
        <v>0</v>
      </c>
      <c r="R289" s="2" t="inlineStr"/>
    </row>
    <row r="290" ht="15" customHeight="1">
      <c r="A290" t="inlineStr">
        <is>
          <t>A 19814-2025</t>
        </is>
      </c>
      <c r="B290" s="1" t="n">
        <v>45771.45686342593</v>
      </c>
      <c r="C290" s="1" t="n">
        <v>45969</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54257-2023</t>
        </is>
      </c>
      <c r="B291" s="1" t="n">
        <v>45232.64195601852</v>
      </c>
      <c r="C291" s="1" t="n">
        <v>45969</v>
      </c>
      <c r="D291" t="inlineStr">
        <is>
          <t>DALARNAS LÄN</t>
        </is>
      </c>
      <c r="E291" t="inlineStr">
        <is>
          <t>MORA</t>
        </is>
      </c>
      <c r="G291" t="n">
        <v>4</v>
      </c>
      <c r="H291" t="n">
        <v>0</v>
      </c>
      <c r="I291" t="n">
        <v>0</v>
      </c>
      <c r="J291" t="n">
        <v>0</v>
      </c>
      <c r="K291" t="n">
        <v>0</v>
      </c>
      <c r="L291" t="n">
        <v>0</v>
      </c>
      <c r="M291" t="n">
        <v>0</v>
      </c>
      <c r="N291" t="n">
        <v>0</v>
      </c>
      <c r="O291" t="n">
        <v>0</v>
      </c>
      <c r="P291" t="n">
        <v>0</v>
      </c>
      <c r="Q291" t="n">
        <v>0</v>
      </c>
      <c r="R291" s="2" t="inlineStr"/>
    </row>
    <row r="292" ht="15" customHeight="1">
      <c r="A292" t="inlineStr">
        <is>
          <t>A 39456-2025</t>
        </is>
      </c>
      <c r="B292" s="1" t="n">
        <v>45889.76200231481</v>
      </c>
      <c r="C292" s="1" t="n">
        <v>45969</v>
      </c>
      <c r="D292" t="inlineStr">
        <is>
          <t>DALARNAS LÄN</t>
        </is>
      </c>
      <c r="E292" t="inlineStr">
        <is>
          <t>MORA</t>
        </is>
      </c>
      <c r="F292" t="inlineStr">
        <is>
          <t>Bergvik skog öst AB</t>
        </is>
      </c>
      <c r="G292" t="n">
        <v>16.7</v>
      </c>
      <c r="H292" t="n">
        <v>0</v>
      </c>
      <c r="I292" t="n">
        <v>0</v>
      </c>
      <c r="J292" t="n">
        <v>0</v>
      </c>
      <c r="K292" t="n">
        <v>0</v>
      </c>
      <c r="L292" t="n">
        <v>0</v>
      </c>
      <c r="M292" t="n">
        <v>0</v>
      </c>
      <c r="N292" t="n">
        <v>0</v>
      </c>
      <c r="O292" t="n">
        <v>0</v>
      </c>
      <c r="P292" t="n">
        <v>0</v>
      </c>
      <c r="Q292" t="n">
        <v>0</v>
      </c>
      <c r="R292" s="2" t="inlineStr"/>
    </row>
    <row r="293" ht="15" customHeight="1">
      <c r="A293" t="inlineStr">
        <is>
          <t>A 37385-2022</t>
        </is>
      </c>
      <c r="B293" s="1" t="n">
        <v>44806</v>
      </c>
      <c r="C293" s="1" t="n">
        <v>45969</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61217-2023</t>
        </is>
      </c>
      <c r="B294" s="1" t="n">
        <v>45264.43802083333</v>
      </c>
      <c r="C294" s="1" t="n">
        <v>45969</v>
      </c>
      <c r="D294" t="inlineStr">
        <is>
          <t>DALARNAS LÄN</t>
        </is>
      </c>
      <c r="E294" t="inlineStr">
        <is>
          <t>MORA</t>
        </is>
      </c>
      <c r="F294" t="inlineStr">
        <is>
          <t>Allmännings- och besparingsskogar</t>
        </is>
      </c>
      <c r="G294" t="n">
        <v>2</v>
      </c>
      <c r="H294" t="n">
        <v>0</v>
      </c>
      <c r="I294" t="n">
        <v>0</v>
      </c>
      <c r="J294" t="n">
        <v>0</v>
      </c>
      <c r="K294" t="n">
        <v>0</v>
      </c>
      <c r="L294" t="n">
        <v>0</v>
      </c>
      <c r="M294" t="n">
        <v>0</v>
      </c>
      <c r="N294" t="n">
        <v>0</v>
      </c>
      <c r="O294" t="n">
        <v>0</v>
      </c>
      <c r="P294" t="n">
        <v>0</v>
      </c>
      <c r="Q294" t="n">
        <v>0</v>
      </c>
      <c r="R294" s="2" t="inlineStr"/>
    </row>
    <row r="295" ht="15" customHeight="1">
      <c r="A295" t="inlineStr">
        <is>
          <t>A 61218-2023</t>
        </is>
      </c>
      <c r="B295" s="1" t="n">
        <v>45264</v>
      </c>
      <c r="C295" s="1" t="n">
        <v>45969</v>
      </c>
      <c r="D295" t="inlineStr">
        <is>
          <t>DALARNAS LÄN</t>
        </is>
      </c>
      <c r="E295" t="inlineStr">
        <is>
          <t>MORA</t>
        </is>
      </c>
      <c r="F295" t="inlineStr">
        <is>
          <t>Allmännings- och besparingsskogar</t>
        </is>
      </c>
      <c r="G295" t="n">
        <v>2.6</v>
      </c>
      <c r="H295" t="n">
        <v>0</v>
      </c>
      <c r="I295" t="n">
        <v>0</v>
      </c>
      <c r="J295" t="n">
        <v>0</v>
      </c>
      <c r="K295" t="n">
        <v>0</v>
      </c>
      <c r="L295" t="n">
        <v>0</v>
      </c>
      <c r="M295" t="n">
        <v>0</v>
      </c>
      <c r="N295" t="n">
        <v>0</v>
      </c>
      <c r="O295" t="n">
        <v>0</v>
      </c>
      <c r="P295" t="n">
        <v>0</v>
      </c>
      <c r="Q295" t="n">
        <v>0</v>
      </c>
      <c r="R295" s="2" t="inlineStr"/>
    </row>
    <row r="296" ht="15" customHeight="1">
      <c r="A296" t="inlineStr">
        <is>
          <t>A 8100-2024</t>
        </is>
      </c>
      <c r="B296" s="1" t="n">
        <v>45351.46583333334</v>
      </c>
      <c r="C296" s="1" t="n">
        <v>45969</v>
      </c>
      <c r="D296" t="inlineStr">
        <is>
          <t>DALARNAS LÄN</t>
        </is>
      </c>
      <c r="E296" t="inlineStr">
        <is>
          <t>MORA</t>
        </is>
      </c>
      <c r="G296" t="n">
        <v>3.2</v>
      </c>
      <c r="H296" t="n">
        <v>0</v>
      </c>
      <c r="I296" t="n">
        <v>0</v>
      </c>
      <c r="J296" t="n">
        <v>0</v>
      </c>
      <c r="K296" t="n">
        <v>0</v>
      </c>
      <c r="L296" t="n">
        <v>0</v>
      </c>
      <c r="M296" t="n">
        <v>0</v>
      </c>
      <c r="N296" t="n">
        <v>0</v>
      </c>
      <c r="O296" t="n">
        <v>0</v>
      </c>
      <c r="P296" t="n">
        <v>0</v>
      </c>
      <c r="Q296" t="n">
        <v>0</v>
      </c>
      <c r="R296" s="2" t="inlineStr"/>
    </row>
    <row r="297" ht="15" customHeight="1">
      <c r="A297" t="inlineStr">
        <is>
          <t>A 43641-2022</t>
        </is>
      </c>
      <c r="B297" s="1" t="n">
        <v>44837</v>
      </c>
      <c r="C297" s="1" t="n">
        <v>45969</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25749-2023</t>
        </is>
      </c>
      <c r="B298" s="1" t="n">
        <v>45090</v>
      </c>
      <c r="C298" s="1" t="n">
        <v>45969</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35363-2024</t>
        </is>
      </c>
      <c r="B299" s="1" t="n">
        <v>45531.34050925926</v>
      </c>
      <c r="C299" s="1" t="n">
        <v>45969</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58972-2023</t>
        </is>
      </c>
      <c r="B300" s="1" t="n">
        <v>45252</v>
      </c>
      <c r="C300" s="1" t="n">
        <v>45969</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58171-2024</t>
        </is>
      </c>
      <c r="B301" s="1" t="n">
        <v>45632.46545138889</v>
      </c>
      <c r="C301" s="1" t="n">
        <v>45969</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33513-2024</t>
        </is>
      </c>
      <c r="B302" s="1" t="n">
        <v>45519.644375</v>
      </c>
      <c r="C302" s="1" t="n">
        <v>45969</v>
      </c>
      <c r="D302" t="inlineStr">
        <is>
          <t>DALARNAS LÄN</t>
        </is>
      </c>
      <c r="E302" t="inlineStr">
        <is>
          <t>MORA</t>
        </is>
      </c>
      <c r="G302" t="n">
        <v>5.9</v>
      </c>
      <c r="H302" t="n">
        <v>0</v>
      </c>
      <c r="I302" t="n">
        <v>0</v>
      </c>
      <c r="J302" t="n">
        <v>0</v>
      </c>
      <c r="K302" t="n">
        <v>0</v>
      </c>
      <c r="L302" t="n">
        <v>0</v>
      </c>
      <c r="M302" t="n">
        <v>0</v>
      </c>
      <c r="N302" t="n">
        <v>0</v>
      </c>
      <c r="O302" t="n">
        <v>0</v>
      </c>
      <c r="P302" t="n">
        <v>0</v>
      </c>
      <c r="Q302" t="n">
        <v>0</v>
      </c>
      <c r="R302" s="2" t="inlineStr"/>
    </row>
    <row r="303" ht="15" customHeight="1">
      <c r="A303" t="inlineStr">
        <is>
          <t>A 9855-2024</t>
        </is>
      </c>
      <c r="B303" s="1" t="n">
        <v>45363.40368055556</v>
      </c>
      <c r="C303" s="1" t="n">
        <v>45969</v>
      </c>
      <c r="D303" t="inlineStr">
        <is>
          <t>DALARNAS LÄN</t>
        </is>
      </c>
      <c r="E303" t="inlineStr">
        <is>
          <t>MORA</t>
        </is>
      </c>
      <c r="G303" t="n">
        <v>8.6</v>
      </c>
      <c r="H303" t="n">
        <v>0</v>
      </c>
      <c r="I303" t="n">
        <v>0</v>
      </c>
      <c r="J303" t="n">
        <v>0</v>
      </c>
      <c r="K303" t="n">
        <v>0</v>
      </c>
      <c r="L303" t="n">
        <v>0</v>
      </c>
      <c r="M303" t="n">
        <v>0</v>
      </c>
      <c r="N303" t="n">
        <v>0</v>
      </c>
      <c r="O303" t="n">
        <v>0</v>
      </c>
      <c r="P303" t="n">
        <v>0</v>
      </c>
      <c r="Q303" t="n">
        <v>0</v>
      </c>
      <c r="R303" s="2" t="inlineStr"/>
    </row>
    <row r="304" ht="15" customHeight="1">
      <c r="A304" t="inlineStr">
        <is>
          <t>A 39856-2024</t>
        </is>
      </c>
      <c r="B304" s="1" t="n">
        <v>45553.44084490741</v>
      </c>
      <c r="C304" s="1" t="n">
        <v>45969</v>
      </c>
      <c r="D304" t="inlineStr">
        <is>
          <t>DALARNAS LÄN</t>
        </is>
      </c>
      <c r="E304" t="inlineStr">
        <is>
          <t>MORA</t>
        </is>
      </c>
      <c r="G304" t="n">
        <v>4.8</v>
      </c>
      <c r="H304" t="n">
        <v>0</v>
      </c>
      <c r="I304" t="n">
        <v>0</v>
      </c>
      <c r="J304" t="n">
        <v>0</v>
      </c>
      <c r="K304" t="n">
        <v>0</v>
      </c>
      <c r="L304" t="n">
        <v>0</v>
      </c>
      <c r="M304" t="n">
        <v>0</v>
      </c>
      <c r="N304" t="n">
        <v>0</v>
      </c>
      <c r="O304" t="n">
        <v>0</v>
      </c>
      <c r="P304" t="n">
        <v>0</v>
      </c>
      <c r="Q304" t="n">
        <v>0</v>
      </c>
      <c r="R304" s="2" t="inlineStr"/>
    </row>
    <row r="305" ht="15" customHeight="1">
      <c r="A305" t="inlineStr">
        <is>
          <t>A 22732-2024</t>
        </is>
      </c>
      <c r="B305" s="1" t="n">
        <v>45448.38677083333</v>
      </c>
      <c r="C305" s="1" t="n">
        <v>45969</v>
      </c>
      <c r="D305" t="inlineStr">
        <is>
          <t>DALARNAS LÄN</t>
        </is>
      </c>
      <c r="E305" t="inlineStr">
        <is>
          <t>MORA</t>
        </is>
      </c>
      <c r="G305" t="n">
        <v>3.6</v>
      </c>
      <c r="H305" t="n">
        <v>0</v>
      </c>
      <c r="I305" t="n">
        <v>0</v>
      </c>
      <c r="J305" t="n">
        <v>0</v>
      </c>
      <c r="K305" t="n">
        <v>0</v>
      </c>
      <c r="L305" t="n">
        <v>0</v>
      </c>
      <c r="M305" t="n">
        <v>0</v>
      </c>
      <c r="N305" t="n">
        <v>0</v>
      </c>
      <c r="O305" t="n">
        <v>0</v>
      </c>
      <c r="P305" t="n">
        <v>0</v>
      </c>
      <c r="Q305" t="n">
        <v>0</v>
      </c>
      <c r="R305" s="2" t="inlineStr"/>
    </row>
    <row r="306" ht="15" customHeight="1">
      <c r="A306" t="inlineStr">
        <is>
          <t>A 59182-2023</t>
        </is>
      </c>
      <c r="B306" s="1" t="n">
        <v>45253</v>
      </c>
      <c r="C306" s="1" t="n">
        <v>45969</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54628-2024</t>
        </is>
      </c>
      <c r="B307" s="1" t="n">
        <v>45617.83969907407</v>
      </c>
      <c r="C307" s="1" t="n">
        <v>45969</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1252-2025</t>
        </is>
      </c>
      <c r="B308" s="1" t="n">
        <v>45667.46648148148</v>
      </c>
      <c r="C308" s="1" t="n">
        <v>45969</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39348-2024</t>
        </is>
      </c>
      <c r="B309" s="1" t="n">
        <v>45551.45322916667</v>
      </c>
      <c r="C309" s="1" t="n">
        <v>45969</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501-2024</t>
        </is>
      </c>
      <c r="B310" s="1" t="n">
        <v>45299</v>
      </c>
      <c r="C310" s="1" t="n">
        <v>45969</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64327-2023</t>
        </is>
      </c>
      <c r="B311" s="1" t="n">
        <v>45280</v>
      </c>
      <c r="C311" s="1" t="n">
        <v>45969</v>
      </c>
      <c r="D311" t="inlineStr">
        <is>
          <t>DALARNAS LÄN</t>
        </is>
      </c>
      <c r="E311" t="inlineStr">
        <is>
          <t>MORA</t>
        </is>
      </c>
      <c r="G311" t="n">
        <v>0.8</v>
      </c>
      <c r="H311" t="n">
        <v>0</v>
      </c>
      <c r="I311" t="n">
        <v>0</v>
      </c>
      <c r="J311" t="n">
        <v>0</v>
      </c>
      <c r="K311" t="n">
        <v>0</v>
      </c>
      <c r="L311" t="n">
        <v>0</v>
      </c>
      <c r="M311" t="n">
        <v>0</v>
      </c>
      <c r="N311" t="n">
        <v>0</v>
      </c>
      <c r="O311" t="n">
        <v>0</v>
      </c>
      <c r="P311" t="n">
        <v>0</v>
      </c>
      <c r="Q311" t="n">
        <v>0</v>
      </c>
      <c r="R311" s="2" t="inlineStr"/>
    </row>
    <row r="312" ht="15" customHeight="1">
      <c r="A312" t="inlineStr">
        <is>
          <t>A 47784-2024</t>
        </is>
      </c>
      <c r="B312" s="1" t="n">
        <v>45588.59290509259</v>
      </c>
      <c r="C312" s="1" t="n">
        <v>45969</v>
      </c>
      <c r="D312" t="inlineStr">
        <is>
          <t>DALARNAS LÄN</t>
        </is>
      </c>
      <c r="E312" t="inlineStr">
        <is>
          <t>MORA</t>
        </is>
      </c>
      <c r="G312" t="n">
        <v>15.3</v>
      </c>
      <c r="H312" t="n">
        <v>0</v>
      </c>
      <c r="I312" t="n">
        <v>0</v>
      </c>
      <c r="J312" t="n">
        <v>0</v>
      </c>
      <c r="K312" t="n">
        <v>0</v>
      </c>
      <c r="L312" t="n">
        <v>0</v>
      </c>
      <c r="M312" t="n">
        <v>0</v>
      </c>
      <c r="N312" t="n">
        <v>0</v>
      </c>
      <c r="O312" t="n">
        <v>0</v>
      </c>
      <c r="P312" t="n">
        <v>0</v>
      </c>
      <c r="Q312" t="n">
        <v>0</v>
      </c>
      <c r="R312" s="2" t="inlineStr"/>
    </row>
    <row r="313" ht="15" customHeight="1">
      <c r="A313" t="inlineStr">
        <is>
          <t>A 2830-2023</t>
        </is>
      </c>
      <c r="B313" s="1" t="n">
        <v>44945.32997685186</v>
      </c>
      <c r="C313" s="1" t="n">
        <v>45969</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17494-2025</t>
        </is>
      </c>
      <c r="B314" s="1" t="n">
        <v>45757.52033564815</v>
      </c>
      <c r="C314" s="1" t="n">
        <v>45969</v>
      </c>
      <c r="D314" t="inlineStr">
        <is>
          <t>DALARNAS LÄN</t>
        </is>
      </c>
      <c r="E314" t="inlineStr">
        <is>
          <t>MORA</t>
        </is>
      </c>
      <c r="G314" t="n">
        <v>5.3</v>
      </c>
      <c r="H314" t="n">
        <v>0</v>
      </c>
      <c r="I314" t="n">
        <v>0</v>
      </c>
      <c r="J314" t="n">
        <v>0</v>
      </c>
      <c r="K314" t="n">
        <v>0</v>
      </c>
      <c r="L314" t="n">
        <v>0</v>
      </c>
      <c r="M314" t="n">
        <v>0</v>
      </c>
      <c r="N314" t="n">
        <v>0</v>
      </c>
      <c r="O314" t="n">
        <v>0</v>
      </c>
      <c r="P314" t="n">
        <v>0</v>
      </c>
      <c r="Q314" t="n">
        <v>0</v>
      </c>
      <c r="R314" s="2" t="inlineStr"/>
    </row>
    <row r="315" ht="15" customHeight="1">
      <c r="A315" t="inlineStr">
        <is>
          <t>A 64099-2023</t>
        </is>
      </c>
      <c r="B315" s="1" t="n">
        <v>45279.46009259259</v>
      </c>
      <c r="C315" s="1" t="n">
        <v>45969</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21244-2024</t>
        </is>
      </c>
      <c r="B316" s="1" t="n">
        <v>45440.59936342593</v>
      </c>
      <c r="C316" s="1" t="n">
        <v>45969</v>
      </c>
      <c r="D316" t="inlineStr">
        <is>
          <t>DALARNAS LÄN</t>
        </is>
      </c>
      <c r="E316" t="inlineStr">
        <is>
          <t>MORA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58958-2022</t>
        </is>
      </c>
      <c r="B317" s="1" t="n">
        <v>44903.6605324074</v>
      </c>
      <c r="C317" s="1" t="n">
        <v>45969</v>
      </c>
      <c r="D317" t="inlineStr">
        <is>
          <t>DALARNAS LÄN</t>
        </is>
      </c>
      <c r="E317" t="inlineStr">
        <is>
          <t>MORA</t>
        </is>
      </c>
      <c r="G317" t="n">
        <v>1.1</v>
      </c>
      <c r="H317" t="n">
        <v>0</v>
      </c>
      <c r="I317" t="n">
        <v>0</v>
      </c>
      <c r="J317" t="n">
        <v>0</v>
      </c>
      <c r="K317" t="n">
        <v>0</v>
      </c>
      <c r="L317" t="n">
        <v>0</v>
      </c>
      <c r="M317" t="n">
        <v>0</v>
      </c>
      <c r="N317" t="n">
        <v>0</v>
      </c>
      <c r="O317" t="n">
        <v>0</v>
      </c>
      <c r="P317" t="n">
        <v>0</v>
      </c>
      <c r="Q317" t="n">
        <v>0</v>
      </c>
      <c r="R317" s="2" t="inlineStr"/>
    </row>
    <row r="318" ht="15" customHeight="1">
      <c r="A318" t="inlineStr">
        <is>
          <t>A 12987-2024</t>
        </is>
      </c>
      <c r="B318" s="1" t="n">
        <v>45385.55375</v>
      </c>
      <c r="C318" s="1" t="n">
        <v>45969</v>
      </c>
      <c r="D318" t="inlineStr">
        <is>
          <t>DALARNAS LÄN</t>
        </is>
      </c>
      <c r="E318" t="inlineStr">
        <is>
          <t>MORA</t>
        </is>
      </c>
      <c r="G318" t="n">
        <v>1.3</v>
      </c>
      <c r="H318" t="n">
        <v>0</v>
      </c>
      <c r="I318" t="n">
        <v>0</v>
      </c>
      <c r="J318" t="n">
        <v>0</v>
      </c>
      <c r="K318" t="n">
        <v>0</v>
      </c>
      <c r="L318" t="n">
        <v>0</v>
      </c>
      <c r="M318" t="n">
        <v>0</v>
      </c>
      <c r="N318" t="n">
        <v>0</v>
      </c>
      <c r="O318" t="n">
        <v>0</v>
      </c>
      <c r="P318" t="n">
        <v>0</v>
      </c>
      <c r="Q318" t="n">
        <v>0</v>
      </c>
      <c r="R318" s="2" t="inlineStr"/>
    </row>
    <row r="319" ht="15" customHeight="1">
      <c r="A319" t="inlineStr">
        <is>
          <t>A 29188-2023</t>
        </is>
      </c>
      <c r="B319" s="1" t="n">
        <v>45105.54270833333</v>
      </c>
      <c r="C319" s="1" t="n">
        <v>45969</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47860-2025</t>
        </is>
      </c>
      <c r="B320" s="1" t="n">
        <v>45932.42298611111</v>
      </c>
      <c r="C320" s="1" t="n">
        <v>45969</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442-2024</t>
        </is>
      </c>
      <c r="B321" s="1" t="n">
        <v>45296.60353009259</v>
      </c>
      <c r="C321" s="1" t="n">
        <v>45969</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47765-2025</t>
        </is>
      </c>
      <c r="B322" s="1" t="n">
        <v>45931.69100694444</v>
      </c>
      <c r="C322" s="1" t="n">
        <v>45969</v>
      </c>
      <c r="D322" t="inlineStr">
        <is>
          <t>DALARNAS LÄN</t>
        </is>
      </c>
      <c r="E322" t="inlineStr">
        <is>
          <t>MORA</t>
        </is>
      </c>
      <c r="G322" t="n">
        <v>1.7</v>
      </c>
      <c r="H322" t="n">
        <v>0</v>
      </c>
      <c r="I322" t="n">
        <v>0</v>
      </c>
      <c r="J322" t="n">
        <v>0</v>
      </c>
      <c r="K322" t="n">
        <v>0</v>
      </c>
      <c r="L322" t="n">
        <v>0</v>
      </c>
      <c r="M322" t="n">
        <v>0</v>
      </c>
      <c r="N322" t="n">
        <v>0</v>
      </c>
      <c r="O322" t="n">
        <v>0</v>
      </c>
      <c r="P322" t="n">
        <v>0</v>
      </c>
      <c r="Q322" t="n">
        <v>0</v>
      </c>
      <c r="R322" s="2" t="inlineStr"/>
    </row>
    <row r="323" ht="15" customHeight="1">
      <c r="A323" t="inlineStr">
        <is>
          <t>A 37471-2024</t>
        </is>
      </c>
      <c r="B323" s="1" t="n">
        <v>45540.85054398148</v>
      </c>
      <c r="C323" s="1" t="n">
        <v>45969</v>
      </c>
      <c r="D323" t="inlineStr">
        <is>
          <t>DALARNAS LÄN</t>
        </is>
      </c>
      <c r="E323" t="inlineStr">
        <is>
          <t>MORA</t>
        </is>
      </c>
      <c r="G323" t="n">
        <v>3.5</v>
      </c>
      <c r="H323" t="n">
        <v>0</v>
      </c>
      <c r="I323" t="n">
        <v>0</v>
      </c>
      <c r="J323" t="n">
        <v>0</v>
      </c>
      <c r="K323" t="n">
        <v>0</v>
      </c>
      <c r="L323" t="n">
        <v>0</v>
      </c>
      <c r="M323" t="n">
        <v>0</v>
      </c>
      <c r="N323" t="n">
        <v>0</v>
      </c>
      <c r="O323" t="n">
        <v>0</v>
      </c>
      <c r="P323" t="n">
        <v>0</v>
      </c>
      <c r="Q323" t="n">
        <v>0</v>
      </c>
      <c r="R323" s="2" t="inlineStr"/>
    </row>
    <row r="324" ht="15" customHeight="1">
      <c r="A324" t="inlineStr">
        <is>
          <t>A 15172-2025</t>
        </is>
      </c>
      <c r="B324" s="1" t="n">
        <v>45744.50722222222</v>
      </c>
      <c r="C324" s="1" t="n">
        <v>45969</v>
      </c>
      <c r="D324" t="inlineStr">
        <is>
          <t>DALARNAS LÄN</t>
        </is>
      </c>
      <c r="E324" t="inlineStr">
        <is>
          <t>MORA</t>
        </is>
      </c>
      <c r="G324" t="n">
        <v>3.2</v>
      </c>
      <c r="H324" t="n">
        <v>0</v>
      </c>
      <c r="I324" t="n">
        <v>0</v>
      </c>
      <c r="J324" t="n">
        <v>0</v>
      </c>
      <c r="K324" t="n">
        <v>0</v>
      </c>
      <c r="L324" t="n">
        <v>0</v>
      </c>
      <c r="M324" t="n">
        <v>0</v>
      </c>
      <c r="N324" t="n">
        <v>0</v>
      </c>
      <c r="O324" t="n">
        <v>0</v>
      </c>
      <c r="P324" t="n">
        <v>0</v>
      </c>
      <c r="Q324" t="n">
        <v>0</v>
      </c>
      <c r="R324" s="2" t="inlineStr"/>
    </row>
    <row r="325" ht="15" customHeight="1">
      <c r="A325" t="inlineStr">
        <is>
          <t>A 33531-2024</t>
        </is>
      </c>
      <c r="B325" s="1" t="n">
        <v>45519.67503472222</v>
      </c>
      <c r="C325" s="1" t="n">
        <v>45969</v>
      </c>
      <c r="D325" t="inlineStr">
        <is>
          <t>DALARNAS LÄN</t>
        </is>
      </c>
      <c r="E325" t="inlineStr">
        <is>
          <t>MORA</t>
        </is>
      </c>
      <c r="G325" t="n">
        <v>14.8</v>
      </c>
      <c r="H325" t="n">
        <v>0</v>
      </c>
      <c r="I325" t="n">
        <v>0</v>
      </c>
      <c r="J325" t="n">
        <v>0</v>
      </c>
      <c r="K325" t="n">
        <v>0</v>
      </c>
      <c r="L325" t="n">
        <v>0</v>
      </c>
      <c r="M325" t="n">
        <v>0</v>
      </c>
      <c r="N325" t="n">
        <v>0</v>
      </c>
      <c r="O325" t="n">
        <v>0</v>
      </c>
      <c r="P325" t="n">
        <v>0</v>
      </c>
      <c r="Q325" t="n">
        <v>0</v>
      </c>
      <c r="R325" s="2" t="inlineStr"/>
    </row>
    <row r="326" ht="15" customHeight="1">
      <c r="A326" t="inlineStr">
        <is>
          <t>A 34660-2021</t>
        </is>
      </c>
      <c r="B326" s="1" t="n">
        <v>44382.57981481482</v>
      </c>
      <c r="C326" s="1" t="n">
        <v>45969</v>
      </c>
      <c r="D326" t="inlineStr">
        <is>
          <t>DALARNAS LÄN</t>
        </is>
      </c>
      <c r="E326" t="inlineStr">
        <is>
          <t>MORA</t>
        </is>
      </c>
      <c r="G326" t="n">
        <v>7.5</v>
      </c>
      <c r="H326" t="n">
        <v>0</v>
      </c>
      <c r="I326" t="n">
        <v>0</v>
      </c>
      <c r="J326" t="n">
        <v>0</v>
      </c>
      <c r="K326" t="n">
        <v>0</v>
      </c>
      <c r="L326" t="n">
        <v>0</v>
      </c>
      <c r="M326" t="n">
        <v>0</v>
      </c>
      <c r="N326" t="n">
        <v>0</v>
      </c>
      <c r="O326" t="n">
        <v>0</v>
      </c>
      <c r="P326" t="n">
        <v>0</v>
      </c>
      <c r="Q326" t="n">
        <v>0</v>
      </c>
      <c r="R326" s="2" t="inlineStr"/>
    </row>
    <row r="327" ht="15" customHeight="1">
      <c r="A327" t="inlineStr">
        <is>
          <t>A 2308-2023</t>
        </is>
      </c>
      <c r="B327" s="1" t="n">
        <v>44942.57987268519</v>
      </c>
      <c r="C327" s="1" t="n">
        <v>45969</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22785-2023</t>
        </is>
      </c>
      <c r="B328" s="1" t="n">
        <v>45072.34796296297</v>
      </c>
      <c r="C328" s="1" t="n">
        <v>45969</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40147-2025</t>
        </is>
      </c>
      <c r="B329" s="1" t="n">
        <v>45894.57918981482</v>
      </c>
      <c r="C329" s="1" t="n">
        <v>45969</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17278-2025</t>
        </is>
      </c>
      <c r="B330" s="1" t="n">
        <v>45756.56131944444</v>
      </c>
      <c r="C330" s="1" t="n">
        <v>45969</v>
      </c>
      <c r="D330" t="inlineStr">
        <is>
          <t>DALARNAS LÄN</t>
        </is>
      </c>
      <c r="E330" t="inlineStr">
        <is>
          <t>MORA</t>
        </is>
      </c>
      <c r="G330" t="n">
        <v>3</v>
      </c>
      <c r="H330" t="n">
        <v>0</v>
      </c>
      <c r="I330" t="n">
        <v>0</v>
      </c>
      <c r="J330" t="n">
        <v>0</v>
      </c>
      <c r="K330" t="n">
        <v>0</v>
      </c>
      <c r="L330" t="n">
        <v>0</v>
      </c>
      <c r="M330" t="n">
        <v>0</v>
      </c>
      <c r="N330" t="n">
        <v>0</v>
      </c>
      <c r="O330" t="n">
        <v>0</v>
      </c>
      <c r="P330" t="n">
        <v>0</v>
      </c>
      <c r="Q330" t="n">
        <v>0</v>
      </c>
      <c r="R330" s="2" t="inlineStr"/>
    </row>
    <row r="331" ht="15" customHeight="1">
      <c r="A331" t="inlineStr">
        <is>
          <t>A 33627-2024</t>
        </is>
      </c>
      <c r="B331" s="1" t="n">
        <v>45520</v>
      </c>
      <c r="C331" s="1" t="n">
        <v>45969</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39824-2025</t>
        </is>
      </c>
      <c r="B332" s="1" t="n">
        <v>45891</v>
      </c>
      <c r="C332" s="1" t="n">
        <v>45969</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56012-2023</t>
        </is>
      </c>
      <c r="B333" s="1" t="n">
        <v>45240</v>
      </c>
      <c r="C333" s="1" t="n">
        <v>45969</v>
      </c>
      <c r="D333" t="inlineStr">
        <is>
          <t>DALARNAS LÄN</t>
        </is>
      </c>
      <c r="E333" t="inlineStr">
        <is>
          <t>MORA</t>
        </is>
      </c>
      <c r="G333" t="n">
        <v>0.3</v>
      </c>
      <c r="H333" t="n">
        <v>0</v>
      </c>
      <c r="I333" t="n">
        <v>0</v>
      </c>
      <c r="J333" t="n">
        <v>0</v>
      </c>
      <c r="K333" t="n">
        <v>0</v>
      </c>
      <c r="L333" t="n">
        <v>0</v>
      </c>
      <c r="M333" t="n">
        <v>0</v>
      </c>
      <c r="N333" t="n">
        <v>0</v>
      </c>
      <c r="O333" t="n">
        <v>0</v>
      </c>
      <c r="P333" t="n">
        <v>0</v>
      </c>
      <c r="Q333" t="n">
        <v>0</v>
      </c>
      <c r="R333" s="2" t="inlineStr"/>
    </row>
    <row r="334" ht="15" customHeight="1">
      <c r="A334" t="inlineStr">
        <is>
          <t>A 60674-2023</t>
        </is>
      </c>
      <c r="B334" s="1" t="n">
        <v>45260.46609953704</v>
      </c>
      <c r="C334" s="1" t="n">
        <v>45969</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53754-2024</t>
        </is>
      </c>
      <c r="B335" s="1" t="n">
        <v>45615.49371527778</v>
      </c>
      <c r="C335" s="1" t="n">
        <v>45969</v>
      </c>
      <c r="D335" t="inlineStr">
        <is>
          <t>DALARNAS LÄN</t>
        </is>
      </c>
      <c r="E335" t="inlineStr">
        <is>
          <t>MORA</t>
        </is>
      </c>
      <c r="G335" t="n">
        <v>4.8</v>
      </c>
      <c r="H335" t="n">
        <v>0</v>
      </c>
      <c r="I335" t="n">
        <v>0</v>
      </c>
      <c r="J335" t="n">
        <v>0</v>
      </c>
      <c r="K335" t="n">
        <v>0</v>
      </c>
      <c r="L335" t="n">
        <v>0</v>
      </c>
      <c r="M335" t="n">
        <v>0</v>
      </c>
      <c r="N335" t="n">
        <v>0</v>
      </c>
      <c r="O335" t="n">
        <v>0</v>
      </c>
      <c r="P335" t="n">
        <v>0</v>
      </c>
      <c r="Q335" t="n">
        <v>0</v>
      </c>
      <c r="R335" s="2" t="inlineStr"/>
    </row>
    <row r="336" ht="15" customHeight="1">
      <c r="A336" t="inlineStr">
        <is>
          <t>A 61293-2022</t>
        </is>
      </c>
      <c r="B336" s="1" t="n">
        <v>44915.62751157407</v>
      </c>
      <c r="C336" s="1" t="n">
        <v>45969</v>
      </c>
      <c r="D336" t="inlineStr">
        <is>
          <t>DALARNAS LÄN</t>
        </is>
      </c>
      <c r="E336" t="inlineStr">
        <is>
          <t>MORA</t>
        </is>
      </c>
      <c r="G336" t="n">
        <v>0.3</v>
      </c>
      <c r="H336" t="n">
        <v>0</v>
      </c>
      <c r="I336" t="n">
        <v>0</v>
      </c>
      <c r="J336" t="n">
        <v>0</v>
      </c>
      <c r="K336" t="n">
        <v>0</v>
      </c>
      <c r="L336" t="n">
        <v>0</v>
      </c>
      <c r="M336" t="n">
        <v>0</v>
      </c>
      <c r="N336" t="n">
        <v>0</v>
      </c>
      <c r="O336" t="n">
        <v>0</v>
      </c>
      <c r="P336" t="n">
        <v>0</v>
      </c>
      <c r="Q336" t="n">
        <v>0</v>
      </c>
      <c r="R336" s="2" t="inlineStr"/>
    </row>
    <row r="337" ht="15" customHeight="1">
      <c r="A337" t="inlineStr">
        <is>
          <t>A 20989-2024</t>
        </is>
      </c>
      <c r="B337" s="1" t="n">
        <v>45439</v>
      </c>
      <c r="C337" s="1" t="n">
        <v>45969</v>
      </c>
      <c r="D337" t="inlineStr">
        <is>
          <t>DALARNAS LÄN</t>
        </is>
      </c>
      <c r="E337" t="inlineStr">
        <is>
          <t>MORA</t>
        </is>
      </c>
      <c r="F337" t="inlineStr">
        <is>
          <t>Bergvik skog öst AB</t>
        </is>
      </c>
      <c r="G337" t="n">
        <v>14.7</v>
      </c>
      <c r="H337" t="n">
        <v>0</v>
      </c>
      <c r="I337" t="n">
        <v>0</v>
      </c>
      <c r="J337" t="n">
        <v>0</v>
      </c>
      <c r="K337" t="n">
        <v>0</v>
      </c>
      <c r="L337" t="n">
        <v>0</v>
      </c>
      <c r="M337" t="n">
        <v>0</v>
      </c>
      <c r="N337" t="n">
        <v>0</v>
      </c>
      <c r="O337" t="n">
        <v>0</v>
      </c>
      <c r="P337" t="n">
        <v>0</v>
      </c>
      <c r="Q337" t="n">
        <v>0</v>
      </c>
      <c r="R337" s="2" t="inlineStr"/>
    </row>
    <row r="338" ht="15" customHeight="1">
      <c r="A338" t="inlineStr">
        <is>
          <t>A 20930-2024</t>
        </is>
      </c>
      <c r="B338" s="1" t="n">
        <v>45439.51907407407</v>
      </c>
      <c r="C338" s="1" t="n">
        <v>45969</v>
      </c>
      <c r="D338" t="inlineStr">
        <is>
          <t>DALARNAS LÄN</t>
        </is>
      </c>
      <c r="E338" t="inlineStr">
        <is>
          <t>MORA</t>
        </is>
      </c>
      <c r="F338" t="inlineStr">
        <is>
          <t>Bergvik skog väst AB</t>
        </is>
      </c>
      <c r="G338" t="n">
        <v>5.3</v>
      </c>
      <c r="H338" t="n">
        <v>0</v>
      </c>
      <c r="I338" t="n">
        <v>0</v>
      </c>
      <c r="J338" t="n">
        <v>0</v>
      </c>
      <c r="K338" t="n">
        <v>0</v>
      </c>
      <c r="L338" t="n">
        <v>0</v>
      </c>
      <c r="M338" t="n">
        <v>0</v>
      </c>
      <c r="N338" t="n">
        <v>0</v>
      </c>
      <c r="O338" t="n">
        <v>0</v>
      </c>
      <c r="P338" t="n">
        <v>0</v>
      </c>
      <c r="Q338" t="n">
        <v>0</v>
      </c>
      <c r="R338" s="2" t="inlineStr"/>
    </row>
    <row r="339" ht="15" customHeight="1">
      <c r="A339" t="inlineStr">
        <is>
          <t>A 60360-2023</t>
        </is>
      </c>
      <c r="B339" s="1" t="n">
        <v>45259</v>
      </c>
      <c r="C339" s="1" t="n">
        <v>45969</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18139-2025</t>
        </is>
      </c>
      <c r="B340" s="1" t="n">
        <v>45761.60459490741</v>
      </c>
      <c r="C340" s="1" t="n">
        <v>45969</v>
      </c>
      <c r="D340" t="inlineStr">
        <is>
          <t>DALARNAS LÄN</t>
        </is>
      </c>
      <c r="E340" t="inlineStr">
        <is>
          <t>MORA</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25499-2024</t>
        </is>
      </c>
      <c r="B341" s="1" t="n">
        <v>45463</v>
      </c>
      <c r="C341" s="1" t="n">
        <v>45969</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40325-2024</t>
        </is>
      </c>
      <c r="B342" s="1" t="n">
        <v>45554.88538194444</v>
      </c>
      <c r="C342" s="1" t="n">
        <v>45969</v>
      </c>
      <c r="D342" t="inlineStr">
        <is>
          <t>DALARNAS LÄN</t>
        </is>
      </c>
      <c r="E342" t="inlineStr">
        <is>
          <t>MORA</t>
        </is>
      </c>
      <c r="G342" t="n">
        <v>2.8</v>
      </c>
      <c r="H342" t="n">
        <v>0</v>
      </c>
      <c r="I342" t="n">
        <v>0</v>
      </c>
      <c r="J342" t="n">
        <v>0</v>
      </c>
      <c r="K342" t="n">
        <v>0</v>
      </c>
      <c r="L342" t="n">
        <v>0</v>
      </c>
      <c r="M342" t="n">
        <v>0</v>
      </c>
      <c r="N342" t="n">
        <v>0</v>
      </c>
      <c r="O342" t="n">
        <v>0</v>
      </c>
      <c r="P342" t="n">
        <v>0</v>
      </c>
      <c r="Q342" t="n">
        <v>0</v>
      </c>
      <c r="R342" s="2" t="inlineStr"/>
    </row>
    <row r="343" ht="15" customHeight="1">
      <c r="A343" t="inlineStr">
        <is>
          <t>A 61405-2023</t>
        </is>
      </c>
      <c r="B343" s="1" t="n">
        <v>45264.65987268519</v>
      </c>
      <c r="C343" s="1" t="n">
        <v>45969</v>
      </c>
      <c r="D343" t="inlineStr">
        <is>
          <t>DALARNAS LÄN</t>
        </is>
      </c>
      <c r="E343" t="inlineStr">
        <is>
          <t>MORA</t>
        </is>
      </c>
      <c r="G343" t="n">
        <v>0.4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45969</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7972-2024</t>
        </is>
      </c>
      <c r="B345" s="1" t="n">
        <v>45350</v>
      </c>
      <c r="C345" s="1" t="n">
        <v>45969</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57475-2022</t>
        </is>
      </c>
      <c r="B346" s="1" t="n">
        <v>44896</v>
      </c>
      <c r="C346" s="1" t="n">
        <v>45969</v>
      </c>
      <c r="D346" t="inlineStr">
        <is>
          <t>DALARNAS LÄN</t>
        </is>
      </c>
      <c r="E346" t="inlineStr">
        <is>
          <t>MORA</t>
        </is>
      </c>
      <c r="G346" t="n">
        <v>5.7</v>
      </c>
      <c r="H346" t="n">
        <v>0</v>
      </c>
      <c r="I346" t="n">
        <v>0</v>
      </c>
      <c r="J346" t="n">
        <v>0</v>
      </c>
      <c r="K346" t="n">
        <v>0</v>
      </c>
      <c r="L346" t="n">
        <v>0</v>
      </c>
      <c r="M346" t="n">
        <v>0</v>
      </c>
      <c r="N346" t="n">
        <v>0</v>
      </c>
      <c r="O346" t="n">
        <v>0</v>
      </c>
      <c r="P346" t="n">
        <v>0</v>
      </c>
      <c r="Q346" t="n">
        <v>0</v>
      </c>
      <c r="R346" s="2" t="inlineStr"/>
    </row>
    <row r="347" ht="15" customHeight="1">
      <c r="A347" t="inlineStr">
        <is>
          <t>A 43432-2024</t>
        </is>
      </c>
      <c r="B347" s="1" t="n">
        <v>45568.64337962963</v>
      </c>
      <c r="C347" s="1" t="n">
        <v>45969</v>
      </c>
      <c r="D347" t="inlineStr">
        <is>
          <t>DALARNAS LÄN</t>
        </is>
      </c>
      <c r="E347" t="inlineStr">
        <is>
          <t>MORA</t>
        </is>
      </c>
      <c r="G347" t="n">
        <v>0.4</v>
      </c>
      <c r="H347" t="n">
        <v>0</v>
      </c>
      <c r="I347" t="n">
        <v>0</v>
      </c>
      <c r="J347" t="n">
        <v>0</v>
      </c>
      <c r="K347" t="n">
        <v>0</v>
      </c>
      <c r="L347" t="n">
        <v>0</v>
      </c>
      <c r="M347" t="n">
        <v>0</v>
      </c>
      <c r="N347" t="n">
        <v>0</v>
      </c>
      <c r="O347" t="n">
        <v>0</v>
      </c>
      <c r="P347" t="n">
        <v>0</v>
      </c>
      <c r="Q347" t="n">
        <v>0</v>
      </c>
      <c r="R347" s="2" t="inlineStr"/>
    </row>
    <row r="348" ht="15" customHeight="1">
      <c r="A348" t="inlineStr">
        <is>
          <t>A 15440-2024</t>
        </is>
      </c>
      <c r="B348" s="1" t="n">
        <v>45401.4194212963</v>
      </c>
      <c r="C348" s="1" t="n">
        <v>45969</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11857-2023</t>
        </is>
      </c>
      <c r="B349" s="1" t="n">
        <v>44995</v>
      </c>
      <c r="C349" s="1" t="n">
        <v>45969</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15818-2024</t>
        </is>
      </c>
      <c r="B350" s="1" t="n">
        <v>45404.67442129629</v>
      </c>
      <c r="C350" s="1" t="n">
        <v>45969</v>
      </c>
      <c r="D350" t="inlineStr">
        <is>
          <t>DALARNAS LÄN</t>
        </is>
      </c>
      <c r="E350" t="inlineStr">
        <is>
          <t>MORA</t>
        </is>
      </c>
      <c r="G350" t="n">
        <v>7</v>
      </c>
      <c r="H350" t="n">
        <v>0</v>
      </c>
      <c r="I350" t="n">
        <v>0</v>
      </c>
      <c r="J350" t="n">
        <v>0</v>
      </c>
      <c r="K350" t="n">
        <v>0</v>
      </c>
      <c r="L350" t="n">
        <v>0</v>
      </c>
      <c r="M350" t="n">
        <v>0</v>
      </c>
      <c r="N350" t="n">
        <v>0</v>
      </c>
      <c r="O350" t="n">
        <v>0</v>
      </c>
      <c r="P350" t="n">
        <v>0</v>
      </c>
      <c r="Q350" t="n">
        <v>0</v>
      </c>
      <c r="R350" s="2" t="inlineStr"/>
    </row>
    <row r="351" ht="15" customHeight="1">
      <c r="A351" t="inlineStr">
        <is>
          <t>A 48377-2025</t>
        </is>
      </c>
      <c r="B351" s="1" t="n">
        <v>45933.71896990741</v>
      </c>
      <c r="C351" s="1" t="n">
        <v>45969</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48376-2025</t>
        </is>
      </c>
      <c r="B352" s="1" t="n">
        <v>45933.71648148148</v>
      </c>
      <c r="C352" s="1" t="n">
        <v>45969</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45674-2024</t>
        </is>
      </c>
      <c r="B353" s="1" t="n">
        <v>45573</v>
      </c>
      <c r="C353" s="1" t="n">
        <v>45969</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46414-2024</t>
        </is>
      </c>
      <c r="B354" s="1" t="n">
        <v>45582.45226851852</v>
      </c>
      <c r="C354" s="1" t="n">
        <v>45969</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46417-2024</t>
        </is>
      </c>
      <c r="B355" s="1" t="n">
        <v>45582.45449074074</v>
      </c>
      <c r="C355" s="1" t="n">
        <v>45969</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60428-2023</t>
        </is>
      </c>
      <c r="B356" s="1" t="n">
        <v>45259.50996527778</v>
      </c>
      <c r="C356" s="1" t="n">
        <v>45969</v>
      </c>
      <c r="D356" t="inlineStr">
        <is>
          <t>DALARNAS LÄN</t>
        </is>
      </c>
      <c r="E356" t="inlineStr">
        <is>
          <t>MORA</t>
        </is>
      </c>
      <c r="G356" t="n">
        <v>4.9</v>
      </c>
      <c r="H356" t="n">
        <v>0</v>
      </c>
      <c r="I356" t="n">
        <v>0</v>
      </c>
      <c r="J356" t="n">
        <v>0</v>
      </c>
      <c r="K356" t="n">
        <v>0</v>
      </c>
      <c r="L356" t="n">
        <v>0</v>
      </c>
      <c r="M356" t="n">
        <v>0</v>
      </c>
      <c r="N356" t="n">
        <v>0</v>
      </c>
      <c r="O356" t="n">
        <v>0</v>
      </c>
      <c r="P356" t="n">
        <v>0</v>
      </c>
      <c r="Q356" t="n">
        <v>0</v>
      </c>
      <c r="R356" s="2" t="inlineStr"/>
    </row>
    <row r="357" ht="15" customHeight="1">
      <c r="A357" t="inlineStr">
        <is>
          <t>A 437-2024</t>
        </is>
      </c>
      <c r="B357" s="1" t="n">
        <v>45296</v>
      </c>
      <c r="C357" s="1" t="n">
        <v>45969</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17280-2025</t>
        </is>
      </c>
      <c r="B358" s="1" t="n">
        <v>45756</v>
      </c>
      <c r="C358" s="1" t="n">
        <v>45969</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45390-2024</t>
        </is>
      </c>
      <c r="B359" s="1" t="n">
        <v>45576.54820601852</v>
      </c>
      <c r="C359" s="1" t="n">
        <v>45969</v>
      </c>
      <c r="D359" t="inlineStr">
        <is>
          <t>DALARNAS LÄN</t>
        </is>
      </c>
      <c r="E359" t="inlineStr">
        <is>
          <t>MORA</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61270-2024</t>
        </is>
      </c>
      <c r="B360" s="1" t="n">
        <v>45645.74694444444</v>
      </c>
      <c r="C360" s="1" t="n">
        <v>45969</v>
      </c>
      <c r="D360" t="inlineStr">
        <is>
          <t>DALARNAS LÄN</t>
        </is>
      </c>
      <c r="E360" t="inlineStr">
        <is>
          <t>MORA</t>
        </is>
      </c>
      <c r="G360" t="n">
        <v>5.1</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44694.62913194444</v>
      </c>
      <c r="C361" s="1" t="n">
        <v>45969</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5216-2025</t>
        </is>
      </c>
      <c r="B362" s="1" t="n">
        <v>45691.69671296296</v>
      </c>
      <c r="C362" s="1" t="n">
        <v>45969</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53344-2023</t>
        </is>
      </c>
      <c r="B363" s="1" t="n">
        <v>45229</v>
      </c>
      <c r="C363" s="1" t="n">
        <v>45969</v>
      </c>
      <c r="D363" t="inlineStr">
        <is>
          <t>DALARNAS LÄN</t>
        </is>
      </c>
      <c r="E363" t="inlineStr">
        <is>
          <t>MORA</t>
        </is>
      </c>
      <c r="G363" t="n">
        <v>2.4</v>
      </c>
      <c r="H363" t="n">
        <v>0</v>
      </c>
      <c r="I363" t="n">
        <v>0</v>
      </c>
      <c r="J363" t="n">
        <v>0</v>
      </c>
      <c r="K363" t="n">
        <v>0</v>
      </c>
      <c r="L363" t="n">
        <v>0</v>
      </c>
      <c r="M363" t="n">
        <v>0</v>
      </c>
      <c r="N363" t="n">
        <v>0</v>
      </c>
      <c r="O363" t="n">
        <v>0</v>
      </c>
      <c r="P363" t="n">
        <v>0</v>
      </c>
      <c r="Q363" t="n">
        <v>0</v>
      </c>
      <c r="R363" s="2" t="inlineStr"/>
    </row>
    <row r="364" ht="15" customHeight="1">
      <c r="A364" t="inlineStr">
        <is>
          <t>A 60715-2023</t>
        </is>
      </c>
      <c r="B364" s="1" t="n">
        <v>45260.52684027778</v>
      </c>
      <c r="C364" s="1" t="n">
        <v>45969</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59448-2022</t>
        </is>
      </c>
      <c r="B365" s="1" t="n">
        <v>44907</v>
      </c>
      <c r="C365" s="1" t="n">
        <v>45969</v>
      </c>
      <c r="D365" t="inlineStr">
        <is>
          <t>DALARNAS LÄN</t>
        </is>
      </c>
      <c r="E365" t="inlineStr">
        <is>
          <t>MORA</t>
        </is>
      </c>
      <c r="G365" t="n">
        <v>35.7</v>
      </c>
      <c r="H365" t="n">
        <v>0</v>
      </c>
      <c r="I365" t="n">
        <v>0</v>
      </c>
      <c r="J365" t="n">
        <v>0</v>
      </c>
      <c r="K365" t="n">
        <v>0</v>
      </c>
      <c r="L365" t="n">
        <v>0</v>
      </c>
      <c r="M365" t="n">
        <v>0</v>
      </c>
      <c r="N365" t="n">
        <v>0</v>
      </c>
      <c r="O365" t="n">
        <v>0</v>
      </c>
      <c r="P365" t="n">
        <v>0</v>
      </c>
      <c r="Q365" t="n">
        <v>0</v>
      </c>
      <c r="R365" s="2" t="inlineStr"/>
    </row>
    <row r="366" ht="15" customHeight="1">
      <c r="A366" t="inlineStr">
        <is>
          <t>A 57797-2022</t>
        </is>
      </c>
      <c r="B366" s="1" t="n">
        <v>44897</v>
      </c>
      <c r="C366" s="1" t="n">
        <v>45969</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7116-2024</t>
        </is>
      </c>
      <c r="B367" s="1" t="n">
        <v>45343.95445601852</v>
      </c>
      <c r="C367" s="1" t="n">
        <v>45969</v>
      </c>
      <c r="D367" t="inlineStr">
        <is>
          <t>DALARNAS LÄN</t>
        </is>
      </c>
      <c r="E367" t="inlineStr">
        <is>
          <t>MORA</t>
        </is>
      </c>
      <c r="G367" t="n">
        <v>0.3</v>
      </c>
      <c r="H367" t="n">
        <v>0</v>
      </c>
      <c r="I367" t="n">
        <v>0</v>
      </c>
      <c r="J367" t="n">
        <v>0</v>
      </c>
      <c r="K367" t="n">
        <v>0</v>
      </c>
      <c r="L367" t="n">
        <v>0</v>
      </c>
      <c r="M367" t="n">
        <v>0</v>
      </c>
      <c r="N367" t="n">
        <v>0</v>
      </c>
      <c r="O367" t="n">
        <v>0</v>
      </c>
      <c r="P367" t="n">
        <v>0</v>
      </c>
      <c r="Q367" t="n">
        <v>0</v>
      </c>
      <c r="R367" s="2" t="inlineStr"/>
    </row>
    <row r="368" ht="15" customHeight="1">
      <c r="A368" t="inlineStr">
        <is>
          <t>A 59995-2023</t>
        </is>
      </c>
      <c r="B368" s="1" t="n">
        <v>45254</v>
      </c>
      <c r="C368" s="1" t="n">
        <v>45969</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40286-2024</t>
        </is>
      </c>
      <c r="B369" s="1" t="n">
        <v>45554.6687037037</v>
      </c>
      <c r="C369" s="1" t="n">
        <v>45969</v>
      </c>
      <c r="D369" t="inlineStr">
        <is>
          <t>DALARNAS LÄN</t>
        </is>
      </c>
      <c r="E369" t="inlineStr">
        <is>
          <t>MORA</t>
        </is>
      </c>
      <c r="G369" t="n">
        <v>0.4</v>
      </c>
      <c r="H369" t="n">
        <v>0</v>
      </c>
      <c r="I369" t="n">
        <v>0</v>
      </c>
      <c r="J369" t="n">
        <v>0</v>
      </c>
      <c r="K369" t="n">
        <v>0</v>
      </c>
      <c r="L369" t="n">
        <v>0</v>
      </c>
      <c r="M369" t="n">
        <v>0</v>
      </c>
      <c r="N369" t="n">
        <v>0</v>
      </c>
      <c r="O369" t="n">
        <v>0</v>
      </c>
      <c r="P369" t="n">
        <v>0</v>
      </c>
      <c r="Q369" t="n">
        <v>0</v>
      </c>
      <c r="R369" s="2" t="inlineStr"/>
    </row>
    <row r="370" ht="15" customHeight="1">
      <c r="A370" t="inlineStr">
        <is>
          <t>A 13479-2024</t>
        </is>
      </c>
      <c r="B370" s="1" t="n">
        <v>45387.5900925926</v>
      </c>
      <c r="C370" s="1" t="n">
        <v>45969</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48824-2023</t>
        </is>
      </c>
      <c r="B371" s="1" t="n">
        <v>45203</v>
      </c>
      <c r="C371" s="1" t="n">
        <v>45969</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41812-2024</t>
        </is>
      </c>
      <c r="B372" s="1" t="n">
        <v>45561.3771412037</v>
      </c>
      <c r="C372" s="1" t="n">
        <v>45969</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42085-2024</t>
        </is>
      </c>
      <c r="B373" s="1" t="n">
        <v>45562.33179398148</v>
      </c>
      <c r="C373" s="1" t="n">
        <v>45969</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45355-2024</t>
        </is>
      </c>
      <c r="B374" s="1" t="n">
        <v>45576</v>
      </c>
      <c r="C374" s="1" t="n">
        <v>45969</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27125-2024</t>
        </is>
      </c>
      <c r="B375" s="1" t="n">
        <v>45471</v>
      </c>
      <c r="C375" s="1" t="n">
        <v>45969</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20504-2023</t>
        </is>
      </c>
      <c r="B376" s="1" t="n">
        <v>45057</v>
      </c>
      <c r="C376" s="1" t="n">
        <v>45969</v>
      </c>
      <c r="D376" t="inlineStr">
        <is>
          <t>DALARNAS LÄN</t>
        </is>
      </c>
      <c r="E376" t="inlineStr">
        <is>
          <t>MORA</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44595-2024</t>
        </is>
      </c>
      <c r="B377" s="1" t="n">
        <v>45574.51053240741</v>
      </c>
      <c r="C377" s="1" t="n">
        <v>45969</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60465-2023</t>
        </is>
      </c>
      <c r="B378" s="1" t="n">
        <v>45259.57872685185</v>
      </c>
      <c r="C378" s="1" t="n">
        <v>45969</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33676-2023</t>
        </is>
      </c>
      <c r="B379" s="1" t="n">
        <v>45132.6291550926</v>
      </c>
      <c r="C379" s="1" t="n">
        <v>45969</v>
      </c>
      <c r="D379" t="inlineStr">
        <is>
          <t>DALARNAS LÄN</t>
        </is>
      </c>
      <c r="E379" t="inlineStr">
        <is>
          <t>MORA</t>
        </is>
      </c>
      <c r="F379" t="inlineStr">
        <is>
          <t>Bergvik skog öst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30822-2024</t>
        </is>
      </c>
      <c r="B380" s="1" t="n">
        <v>45497</v>
      </c>
      <c r="C380" s="1" t="n">
        <v>45969</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43566-2023</t>
        </is>
      </c>
      <c r="B381" s="1" t="n">
        <v>45184.58199074074</v>
      </c>
      <c r="C381" s="1" t="n">
        <v>45969</v>
      </c>
      <c r="D381" t="inlineStr">
        <is>
          <t>DALARNAS LÄN</t>
        </is>
      </c>
      <c r="E381" t="inlineStr">
        <is>
          <t>MORA</t>
        </is>
      </c>
      <c r="F381" t="inlineStr">
        <is>
          <t>Bergvik skog väst AB</t>
        </is>
      </c>
      <c r="G381" t="n">
        <v>4.3</v>
      </c>
      <c r="H381" t="n">
        <v>0</v>
      </c>
      <c r="I381" t="n">
        <v>0</v>
      </c>
      <c r="J381" t="n">
        <v>0</v>
      </c>
      <c r="K381" t="n">
        <v>0</v>
      </c>
      <c r="L381" t="n">
        <v>0</v>
      </c>
      <c r="M381" t="n">
        <v>0</v>
      </c>
      <c r="N381" t="n">
        <v>0</v>
      </c>
      <c r="O381" t="n">
        <v>0</v>
      </c>
      <c r="P381" t="n">
        <v>0</v>
      </c>
      <c r="Q381" t="n">
        <v>0</v>
      </c>
      <c r="R381" s="2" t="inlineStr"/>
    </row>
    <row r="382" ht="15" customHeight="1">
      <c r="A382" t="inlineStr">
        <is>
          <t>A 29193-2023</t>
        </is>
      </c>
      <c r="B382" s="1" t="n">
        <v>45105.54791666667</v>
      </c>
      <c r="C382" s="1" t="n">
        <v>45969</v>
      </c>
      <c r="D382" t="inlineStr">
        <is>
          <t>DALARNAS LÄN</t>
        </is>
      </c>
      <c r="E382" t="inlineStr">
        <is>
          <t>MORA</t>
        </is>
      </c>
      <c r="G382" t="n">
        <v>0.4</v>
      </c>
      <c r="H382" t="n">
        <v>0</v>
      </c>
      <c r="I382" t="n">
        <v>0</v>
      </c>
      <c r="J382" t="n">
        <v>0</v>
      </c>
      <c r="K382" t="n">
        <v>0</v>
      </c>
      <c r="L382" t="n">
        <v>0</v>
      </c>
      <c r="M382" t="n">
        <v>0</v>
      </c>
      <c r="N382" t="n">
        <v>0</v>
      </c>
      <c r="O382" t="n">
        <v>0</v>
      </c>
      <c r="P382" t="n">
        <v>0</v>
      </c>
      <c r="Q382" t="n">
        <v>0</v>
      </c>
      <c r="R382" s="2" t="inlineStr"/>
    </row>
    <row r="383" ht="15" customHeight="1">
      <c r="A383" t="inlineStr">
        <is>
          <t>A 35325-2024</t>
        </is>
      </c>
      <c r="B383" s="1" t="n">
        <v>45530.71158564815</v>
      </c>
      <c r="C383" s="1" t="n">
        <v>45969</v>
      </c>
      <c r="D383" t="inlineStr">
        <is>
          <t>DALARNAS LÄN</t>
        </is>
      </c>
      <c r="E383" t="inlineStr">
        <is>
          <t>MORA</t>
        </is>
      </c>
      <c r="G383" t="n">
        <v>5</v>
      </c>
      <c r="H383" t="n">
        <v>0</v>
      </c>
      <c r="I383" t="n">
        <v>0</v>
      </c>
      <c r="J383" t="n">
        <v>0</v>
      </c>
      <c r="K383" t="n">
        <v>0</v>
      </c>
      <c r="L383" t="n">
        <v>0</v>
      </c>
      <c r="M383" t="n">
        <v>0</v>
      </c>
      <c r="N383" t="n">
        <v>0</v>
      </c>
      <c r="O383" t="n">
        <v>0</v>
      </c>
      <c r="P383" t="n">
        <v>0</v>
      </c>
      <c r="Q383" t="n">
        <v>0</v>
      </c>
      <c r="R383" s="2" t="inlineStr"/>
    </row>
    <row r="384" ht="15" customHeight="1">
      <c r="A384" t="inlineStr">
        <is>
          <t>A 8153-2021</t>
        </is>
      </c>
      <c r="B384" s="1" t="n">
        <v>44244</v>
      </c>
      <c r="C384" s="1" t="n">
        <v>45969</v>
      </c>
      <c r="D384" t="inlineStr">
        <is>
          <t>DALARNAS LÄN</t>
        </is>
      </c>
      <c r="E384" t="inlineStr">
        <is>
          <t>MORA</t>
        </is>
      </c>
      <c r="G384" t="n">
        <v>2.5</v>
      </c>
      <c r="H384" t="n">
        <v>0</v>
      </c>
      <c r="I384" t="n">
        <v>0</v>
      </c>
      <c r="J384" t="n">
        <v>0</v>
      </c>
      <c r="K384" t="n">
        <v>0</v>
      </c>
      <c r="L384" t="n">
        <v>0</v>
      </c>
      <c r="M384" t="n">
        <v>0</v>
      </c>
      <c r="N384" t="n">
        <v>0</v>
      </c>
      <c r="O384" t="n">
        <v>0</v>
      </c>
      <c r="P384" t="n">
        <v>0</v>
      </c>
      <c r="Q384" t="n">
        <v>0</v>
      </c>
      <c r="R384" s="2" t="inlineStr"/>
    </row>
    <row r="385" ht="15" customHeight="1">
      <c r="A385" t="inlineStr">
        <is>
          <t>A 6371-2022</t>
        </is>
      </c>
      <c r="B385" s="1" t="n">
        <v>44600</v>
      </c>
      <c r="C385" s="1" t="n">
        <v>45969</v>
      </c>
      <c r="D385" t="inlineStr">
        <is>
          <t>DALARNAS LÄN</t>
        </is>
      </c>
      <c r="E385" t="inlineStr">
        <is>
          <t>MORA</t>
        </is>
      </c>
      <c r="G385" t="n">
        <v>4.6</v>
      </c>
      <c r="H385" t="n">
        <v>0</v>
      </c>
      <c r="I385" t="n">
        <v>0</v>
      </c>
      <c r="J385" t="n">
        <v>0</v>
      </c>
      <c r="K385" t="n">
        <v>0</v>
      </c>
      <c r="L385" t="n">
        <v>0</v>
      </c>
      <c r="M385" t="n">
        <v>0</v>
      </c>
      <c r="N385" t="n">
        <v>0</v>
      </c>
      <c r="O385" t="n">
        <v>0</v>
      </c>
      <c r="P385" t="n">
        <v>0</v>
      </c>
      <c r="Q385" t="n">
        <v>0</v>
      </c>
      <c r="R385" s="2" t="inlineStr"/>
    </row>
    <row r="386" ht="15" customHeight="1">
      <c r="A386" t="inlineStr">
        <is>
          <t>A 58177-2024</t>
        </is>
      </c>
      <c r="B386" s="1" t="n">
        <v>45632.46821759259</v>
      </c>
      <c r="C386" s="1" t="n">
        <v>45969</v>
      </c>
      <c r="D386" t="inlineStr">
        <is>
          <t>DALARNAS LÄN</t>
        </is>
      </c>
      <c r="E386" t="inlineStr">
        <is>
          <t>MORA</t>
        </is>
      </c>
      <c r="G386" t="n">
        <v>0.8</v>
      </c>
      <c r="H386" t="n">
        <v>0</v>
      </c>
      <c r="I386" t="n">
        <v>0</v>
      </c>
      <c r="J386" t="n">
        <v>0</v>
      </c>
      <c r="K386" t="n">
        <v>0</v>
      </c>
      <c r="L386" t="n">
        <v>0</v>
      </c>
      <c r="M386" t="n">
        <v>0</v>
      </c>
      <c r="N386" t="n">
        <v>0</v>
      </c>
      <c r="O386" t="n">
        <v>0</v>
      </c>
      <c r="P386" t="n">
        <v>0</v>
      </c>
      <c r="Q386" t="n">
        <v>0</v>
      </c>
      <c r="R386" s="2" t="inlineStr"/>
    </row>
    <row r="387" ht="15" customHeight="1">
      <c r="A387" t="inlineStr">
        <is>
          <t>A 53743-2024</t>
        </is>
      </c>
      <c r="B387" s="1" t="n">
        <v>45615.47137731482</v>
      </c>
      <c r="C387" s="1" t="n">
        <v>45969</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69519-2020</t>
        </is>
      </c>
      <c r="B388" s="1" t="n">
        <v>44194</v>
      </c>
      <c r="C388" s="1" t="n">
        <v>45969</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17172-2025</t>
        </is>
      </c>
      <c r="B389" s="1" t="n">
        <v>45756.37201388889</v>
      </c>
      <c r="C389" s="1" t="n">
        <v>45969</v>
      </c>
      <c r="D389" t="inlineStr">
        <is>
          <t>DALARNAS LÄN</t>
        </is>
      </c>
      <c r="E389" t="inlineStr">
        <is>
          <t>MORA</t>
        </is>
      </c>
      <c r="F389" t="inlineStr">
        <is>
          <t>Bergvik skog öst AB</t>
        </is>
      </c>
      <c r="G389" t="n">
        <v>0.5</v>
      </c>
      <c r="H389" t="n">
        <v>0</v>
      </c>
      <c r="I389" t="n">
        <v>0</v>
      </c>
      <c r="J389" t="n">
        <v>0</v>
      </c>
      <c r="K389" t="n">
        <v>0</v>
      </c>
      <c r="L389" t="n">
        <v>0</v>
      </c>
      <c r="M389" t="n">
        <v>0</v>
      </c>
      <c r="N389" t="n">
        <v>0</v>
      </c>
      <c r="O389" t="n">
        <v>0</v>
      </c>
      <c r="P389" t="n">
        <v>0</v>
      </c>
      <c r="Q389" t="n">
        <v>0</v>
      </c>
      <c r="R389" s="2" t="inlineStr"/>
    </row>
    <row r="390" ht="15" customHeight="1">
      <c r="A390" t="inlineStr">
        <is>
          <t>A 64093-2023</t>
        </is>
      </c>
      <c r="B390" s="1" t="n">
        <v>45279</v>
      </c>
      <c r="C390" s="1" t="n">
        <v>45969</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28832-2023</t>
        </is>
      </c>
      <c r="B391" s="1" t="n">
        <v>45104.40493055555</v>
      </c>
      <c r="C391" s="1" t="n">
        <v>45969</v>
      </c>
      <c r="D391" t="inlineStr">
        <is>
          <t>DALARNAS LÄN</t>
        </is>
      </c>
      <c r="E391" t="inlineStr">
        <is>
          <t>MORA</t>
        </is>
      </c>
      <c r="F391" t="inlineStr">
        <is>
          <t>Bergvik skog öst AB</t>
        </is>
      </c>
      <c r="G391" t="n">
        <v>2</v>
      </c>
      <c r="H391" t="n">
        <v>0</v>
      </c>
      <c r="I391" t="n">
        <v>0</v>
      </c>
      <c r="J391" t="n">
        <v>0</v>
      </c>
      <c r="K391" t="n">
        <v>0</v>
      </c>
      <c r="L391" t="n">
        <v>0</v>
      </c>
      <c r="M391" t="n">
        <v>0</v>
      </c>
      <c r="N391" t="n">
        <v>0</v>
      </c>
      <c r="O391" t="n">
        <v>0</v>
      </c>
      <c r="P391" t="n">
        <v>0</v>
      </c>
      <c r="Q391" t="n">
        <v>0</v>
      </c>
      <c r="R391" s="2" t="inlineStr"/>
    </row>
    <row r="392" ht="15" customHeight="1">
      <c r="A392" t="inlineStr">
        <is>
          <t>A 48170-2024</t>
        </is>
      </c>
      <c r="B392" s="1" t="n">
        <v>45589.76975694444</v>
      </c>
      <c r="C392" s="1" t="n">
        <v>45969</v>
      </c>
      <c r="D392" t="inlineStr">
        <is>
          <t>DALARNAS LÄN</t>
        </is>
      </c>
      <c r="E392" t="inlineStr">
        <is>
          <t>MORA</t>
        </is>
      </c>
      <c r="G392" t="n">
        <v>2.4</v>
      </c>
      <c r="H392" t="n">
        <v>0</v>
      </c>
      <c r="I392" t="n">
        <v>0</v>
      </c>
      <c r="J392" t="n">
        <v>0</v>
      </c>
      <c r="K392" t="n">
        <v>0</v>
      </c>
      <c r="L392" t="n">
        <v>0</v>
      </c>
      <c r="M392" t="n">
        <v>0</v>
      </c>
      <c r="N392" t="n">
        <v>0</v>
      </c>
      <c r="O392" t="n">
        <v>0</v>
      </c>
      <c r="P392" t="n">
        <v>0</v>
      </c>
      <c r="Q392" t="n">
        <v>0</v>
      </c>
      <c r="R392" s="2" t="inlineStr"/>
    </row>
    <row r="393" ht="15" customHeight="1">
      <c r="A393" t="inlineStr">
        <is>
          <t>A 15993-2025</t>
        </is>
      </c>
      <c r="B393" s="1" t="n">
        <v>45749.58428240741</v>
      </c>
      <c r="C393" s="1" t="n">
        <v>45969</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14832-2025</t>
        </is>
      </c>
      <c r="B394" s="1" t="n">
        <v>45743</v>
      </c>
      <c r="C394" s="1" t="n">
        <v>45969</v>
      </c>
      <c r="D394" t="inlineStr">
        <is>
          <t>DALARNAS LÄN</t>
        </is>
      </c>
      <c r="E394" t="inlineStr">
        <is>
          <t>MORA</t>
        </is>
      </c>
      <c r="G394" t="n">
        <v>9.1</v>
      </c>
      <c r="H394" t="n">
        <v>0</v>
      </c>
      <c r="I394" t="n">
        <v>0</v>
      </c>
      <c r="J394" t="n">
        <v>0</v>
      </c>
      <c r="K394" t="n">
        <v>0</v>
      </c>
      <c r="L394" t="n">
        <v>0</v>
      </c>
      <c r="M394" t="n">
        <v>0</v>
      </c>
      <c r="N394" t="n">
        <v>0</v>
      </c>
      <c r="O394" t="n">
        <v>0</v>
      </c>
      <c r="P394" t="n">
        <v>0</v>
      </c>
      <c r="Q394" t="n">
        <v>0</v>
      </c>
      <c r="R394" s="2" t="inlineStr"/>
    </row>
    <row r="395" ht="15" customHeight="1">
      <c r="A395" t="inlineStr">
        <is>
          <t>A 15443-2025</t>
        </is>
      </c>
      <c r="B395" s="1" t="n">
        <v>45747.48371527778</v>
      </c>
      <c r="C395" s="1" t="n">
        <v>45969</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37710-2023</t>
        </is>
      </c>
      <c r="B396" s="1" t="n">
        <v>45159.59186342593</v>
      </c>
      <c r="C396" s="1" t="n">
        <v>45969</v>
      </c>
      <c r="D396" t="inlineStr">
        <is>
          <t>DALARNAS LÄN</t>
        </is>
      </c>
      <c r="E396" t="inlineStr">
        <is>
          <t>MORA</t>
        </is>
      </c>
      <c r="G396" t="n">
        <v>1.9</v>
      </c>
      <c r="H396" t="n">
        <v>0</v>
      </c>
      <c r="I396" t="n">
        <v>0</v>
      </c>
      <c r="J396" t="n">
        <v>0</v>
      </c>
      <c r="K396" t="n">
        <v>0</v>
      </c>
      <c r="L396" t="n">
        <v>0</v>
      </c>
      <c r="M396" t="n">
        <v>0</v>
      </c>
      <c r="N396" t="n">
        <v>0</v>
      </c>
      <c r="O396" t="n">
        <v>0</v>
      </c>
      <c r="P396" t="n">
        <v>0</v>
      </c>
      <c r="Q396" t="n">
        <v>0</v>
      </c>
      <c r="R396" s="2" t="inlineStr"/>
    </row>
    <row r="397" ht="15" customHeight="1">
      <c r="A397" t="inlineStr">
        <is>
          <t>A 45574-2023</t>
        </is>
      </c>
      <c r="B397" s="1" t="n">
        <v>45194</v>
      </c>
      <c r="C397" s="1" t="n">
        <v>45969</v>
      </c>
      <c r="D397" t="inlineStr">
        <is>
          <t>DALARNAS LÄN</t>
        </is>
      </c>
      <c r="E397" t="inlineStr">
        <is>
          <t>MORA</t>
        </is>
      </c>
      <c r="G397" t="n">
        <v>6.3</v>
      </c>
      <c r="H397" t="n">
        <v>0</v>
      </c>
      <c r="I397" t="n">
        <v>0</v>
      </c>
      <c r="J397" t="n">
        <v>0</v>
      </c>
      <c r="K397" t="n">
        <v>0</v>
      </c>
      <c r="L397" t="n">
        <v>0</v>
      </c>
      <c r="M397" t="n">
        <v>0</v>
      </c>
      <c r="N397" t="n">
        <v>0</v>
      </c>
      <c r="O397" t="n">
        <v>0</v>
      </c>
      <c r="P397" t="n">
        <v>0</v>
      </c>
      <c r="Q397" t="n">
        <v>0</v>
      </c>
      <c r="R397" s="2" t="inlineStr"/>
    </row>
    <row r="398" ht="15" customHeight="1">
      <c r="A398" t="inlineStr">
        <is>
          <t>A 27188-2023</t>
        </is>
      </c>
      <c r="B398" s="1" t="n">
        <v>45096</v>
      </c>
      <c r="C398" s="1" t="n">
        <v>45969</v>
      </c>
      <c r="D398" t="inlineStr">
        <is>
          <t>DALARNAS LÄN</t>
        </is>
      </c>
      <c r="E398" t="inlineStr">
        <is>
          <t>MORA</t>
        </is>
      </c>
      <c r="G398" t="n">
        <v>4.8</v>
      </c>
      <c r="H398" t="n">
        <v>0</v>
      </c>
      <c r="I398" t="n">
        <v>0</v>
      </c>
      <c r="J398" t="n">
        <v>0</v>
      </c>
      <c r="K398" t="n">
        <v>0</v>
      </c>
      <c r="L398" t="n">
        <v>0</v>
      </c>
      <c r="M398" t="n">
        <v>0</v>
      </c>
      <c r="N398" t="n">
        <v>0</v>
      </c>
      <c r="O398" t="n">
        <v>0</v>
      </c>
      <c r="P398" t="n">
        <v>0</v>
      </c>
      <c r="Q398" t="n">
        <v>0</v>
      </c>
      <c r="R398" s="2" t="inlineStr"/>
    </row>
    <row r="399" ht="15" customHeight="1">
      <c r="A399" t="inlineStr">
        <is>
          <t>A 25737-2025</t>
        </is>
      </c>
      <c r="B399" s="1" t="n">
        <v>45800</v>
      </c>
      <c r="C399" s="1" t="n">
        <v>45969</v>
      </c>
      <c r="D399" t="inlineStr">
        <is>
          <t>DALARNAS LÄN</t>
        </is>
      </c>
      <c r="E399" t="inlineStr">
        <is>
          <t>MORA</t>
        </is>
      </c>
      <c r="G399" t="n">
        <v>9.6</v>
      </c>
      <c r="H399" t="n">
        <v>0</v>
      </c>
      <c r="I399" t="n">
        <v>0</v>
      </c>
      <c r="J399" t="n">
        <v>0</v>
      </c>
      <c r="K399" t="n">
        <v>0</v>
      </c>
      <c r="L399" t="n">
        <v>0</v>
      </c>
      <c r="M399" t="n">
        <v>0</v>
      </c>
      <c r="N399" t="n">
        <v>0</v>
      </c>
      <c r="O399" t="n">
        <v>0</v>
      </c>
      <c r="P399" t="n">
        <v>0</v>
      </c>
      <c r="Q399" t="n">
        <v>0</v>
      </c>
      <c r="R399" s="2" t="inlineStr"/>
    </row>
    <row r="400" ht="15" customHeight="1">
      <c r="A400" t="inlineStr">
        <is>
          <t>A 5922-2025</t>
        </is>
      </c>
      <c r="B400" s="1" t="n">
        <v>45695.42762731481</v>
      </c>
      <c r="C400" s="1" t="n">
        <v>45969</v>
      </c>
      <c r="D400" t="inlineStr">
        <is>
          <t>DALARNAS LÄN</t>
        </is>
      </c>
      <c r="E400" t="inlineStr">
        <is>
          <t>MORA</t>
        </is>
      </c>
      <c r="G400" t="n">
        <v>1.2</v>
      </c>
      <c r="H400" t="n">
        <v>0</v>
      </c>
      <c r="I400" t="n">
        <v>0</v>
      </c>
      <c r="J400" t="n">
        <v>0</v>
      </c>
      <c r="K400" t="n">
        <v>0</v>
      </c>
      <c r="L400" t="n">
        <v>0</v>
      </c>
      <c r="M400" t="n">
        <v>0</v>
      </c>
      <c r="N400" t="n">
        <v>0</v>
      </c>
      <c r="O400" t="n">
        <v>0</v>
      </c>
      <c r="P400" t="n">
        <v>0</v>
      </c>
      <c r="Q400" t="n">
        <v>0</v>
      </c>
      <c r="R400" s="2" t="inlineStr"/>
    </row>
    <row r="401" ht="15" customHeight="1">
      <c r="A401" t="inlineStr">
        <is>
          <t>A 20594-2025</t>
        </is>
      </c>
      <c r="B401" s="1" t="n">
        <v>45775.74009259259</v>
      </c>
      <c r="C401" s="1" t="n">
        <v>45969</v>
      </c>
      <c r="D401" t="inlineStr">
        <is>
          <t>DALARNAS LÄN</t>
        </is>
      </c>
      <c r="E401" t="inlineStr">
        <is>
          <t>MORA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19910-2024</t>
        </is>
      </c>
      <c r="B402" s="1" t="n">
        <v>45433.5741087963</v>
      </c>
      <c r="C402" s="1" t="n">
        <v>45969</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31395-2024</t>
        </is>
      </c>
      <c r="B403" s="1" t="n">
        <v>45505.47716435185</v>
      </c>
      <c r="C403" s="1" t="n">
        <v>45969</v>
      </c>
      <c r="D403" t="inlineStr">
        <is>
          <t>DALARNAS LÄN</t>
        </is>
      </c>
      <c r="E403" t="inlineStr">
        <is>
          <t>MORA</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20126-2025</t>
        </is>
      </c>
      <c r="B404" s="1" t="n">
        <v>45772.49640046297</v>
      </c>
      <c r="C404" s="1" t="n">
        <v>45969</v>
      </c>
      <c r="D404" t="inlineStr">
        <is>
          <t>DALARNAS LÄN</t>
        </is>
      </c>
      <c r="E404" t="inlineStr">
        <is>
          <t>MORA</t>
        </is>
      </c>
      <c r="G404" t="n">
        <v>12.1</v>
      </c>
      <c r="H404" t="n">
        <v>0</v>
      </c>
      <c r="I404" t="n">
        <v>0</v>
      </c>
      <c r="J404" t="n">
        <v>0</v>
      </c>
      <c r="K404" t="n">
        <v>0</v>
      </c>
      <c r="L404" t="n">
        <v>0</v>
      </c>
      <c r="M404" t="n">
        <v>0</v>
      </c>
      <c r="N404" t="n">
        <v>0</v>
      </c>
      <c r="O404" t="n">
        <v>0</v>
      </c>
      <c r="P404" t="n">
        <v>0</v>
      </c>
      <c r="Q404" t="n">
        <v>0</v>
      </c>
      <c r="R404" s="2" t="inlineStr"/>
    </row>
    <row r="405" ht="15" customHeight="1">
      <c r="A405" t="inlineStr">
        <is>
          <t>A 15643-2025</t>
        </is>
      </c>
      <c r="B405" s="1" t="n">
        <v>45748.39222222222</v>
      </c>
      <c r="C405" s="1" t="n">
        <v>45969</v>
      </c>
      <c r="D405" t="inlineStr">
        <is>
          <t>DALARNAS LÄN</t>
        </is>
      </c>
      <c r="E405" t="inlineStr">
        <is>
          <t>MORA</t>
        </is>
      </c>
      <c r="G405" t="n">
        <v>7.6</v>
      </c>
      <c r="H405" t="n">
        <v>0</v>
      </c>
      <c r="I405" t="n">
        <v>0</v>
      </c>
      <c r="J405" t="n">
        <v>0</v>
      </c>
      <c r="K405" t="n">
        <v>0</v>
      </c>
      <c r="L405" t="n">
        <v>0</v>
      </c>
      <c r="M405" t="n">
        <v>0</v>
      </c>
      <c r="N405" t="n">
        <v>0</v>
      </c>
      <c r="O405" t="n">
        <v>0</v>
      </c>
      <c r="P405" t="n">
        <v>0</v>
      </c>
      <c r="Q405" t="n">
        <v>0</v>
      </c>
      <c r="R405" s="2" t="inlineStr"/>
    </row>
    <row r="406" ht="15" customHeight="1">
      <c r="A406" t="inlineStr">
        <is>
          <t>A 36058-2024</t>
        </is>
      </c>
      <c r="B406" s="1" t="n">
        <v>45533</v>
      </c>
      <c r="C406" s="1" t="n">
        <v>45969</v>
      </c>
      <c r="D406" t="inlineStr">
        <is>
          <t>DALARNAS LÄN</t>
        </is>
      </c>
      <c r="E406" t="inlineStr">
        <is>
          <t>MORA</t>
        </is>
      </c>
      <c r="G406" t="n">
        <v>1</v>
      </c>
      <c r="H406" t="n">
        <v>0</v>
      </c>
      <c r="I406" t="n">
        <v>0</v>
      </c>
      <c r="J406" t="n">
        <v>0</v>
      </c>
      <c r="K406" t="n">
        <v>0</v>
      </c>
      <c r="L406" t="n">
        <v>0</v>
      </c>
      <c r="M406" t="n">
        <v>0</v>
      </c>
      <c r="N406" t="n">
        <v>0</v>
      </c>
      <c r="O406" t="n">
        <v>0</v>
      </c>
      <c r="P406" t="n">
        <v>0</v>
      </c>
      <c r="Q406" t="n">
        <v>0</v>
      </c>
      <c r="R406" s="2" t="inlineStr"/>
    </row>
    <row r="407" ht="15" customHeight="1">
      <c r="A407" t="inlineStr">
        <is>
          <t>A 39787-2025</t>
        </is>
      </c>
      <c r="B407" s="1" t="n">
        <v>45891</v>
      </c>
      <c r="C407" s="1" t="n">
        <v>45969</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40140-2025</t>
        </is>
      </c>
      <c r="B408" s="1" t="n">
        <v>45894.57016203704</v>
      </c>
      <c r="C408" s="1" t="n">
        <v>45969</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40142-2025</t>
        </is>
      </c>
      <c r="B409" s="1" t="n">
        <v>45894.57202546296</v>
      </c>
      <c r="C409" s="1" t="n">
        <v>45969</v>
      </c>
      <c r="D409" t="inlineStr">
        <is>
          <t>DALARNAS LÄN</t>
        </is>
      </c>
      <c r="E409" t="inlineStr">
        <is>
          <t>MORA</t>
        </is>
      </c>
      <c r="G409" t="n">
        <v>0.4</v>
      </c>
      <c r="H409" t="n">
        <v>0</v>
      </c>
      <c r="I409" t="n">
        <v>0</v>
      </c>
      <c r="J409" t="n">
        <v>0</v>
      </c>
      <c r="K409" t="n">
        <v>0</v>
      </c>
      <c r="L409" t="n">
        <v>0</v>
      </c>
      <c r="M409" t="n">
        <v>0</v>
      </c>
      <c r="N409" t="n">
        <v>0</v>
      </c>
      <c r="O409" t="n">
        <v>0</v>
      </c>
      <c r="P409" t="n">
        <v>0</v>
      </c>
      <c r="Q409" t="n">
        <v>0</v>
      </c>
      <c r="R409" s="2" t="inlineStr"/>
    </row>
    <row r="410" ht="15" customHeight="1">
      <c r="A410" t="inlineStr">
        <is>
          <t>A 49401-2025</t>
        </is>
      </c>
      <c r="B410" s="1" t="n">
        <v>45938.66932870371</v>
      </c>
      <c r="C410" s="1" t="n">
        <v>45969</v>
      </c>
      <c r="D410" t="inlineStr">
        <is>
          <t>DALARNAS LÄN</t>
        </is>
      </c>
      <c r="E410" t="inlineStr">
        <is>
          <t>MORA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64088-2023</t>
        </is>
      </c>
      <c r="B411" s="1" t="n">
        <v>45279.43570601852</v>
      </c>
      <c r="C411" s="1" t="n">
        <v>45969</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40471-2025</t>
        </is>
      </c>
      <c r="B412" s="1" t="n">
        <v>45895.67356481482</v>
      </c>
      <c r="C412" s="1" t="n">
        <v>45969</v>
      </c>
      <c r="D412" t="inlineStr">
        <is>
          <t>DALARNAS LÄN</t>
        </is>
      </c>
      <c r="E412" t="inlineStr">
        <is>
          <t>MORA</t>
        </is>
      </c>
      <c r="G412" t="n">
        <v>2.8</v>
      </c>
      <c r="H412" t="n">
        <v>0</v>
      </c>
      <c r="I412" t="n">
        <v>0</v>
      </c>
      <c r="J412" t="n">
        <v>0</v>
      </c>
      <c r="K412" t="n">
        <v>0</v>
      </c>
      <c r="L412" t="n">
        <v>0</v>
      </c>
      <c r="M412" t="n">
        <v>0</v>
      </c>
      <c r="N412" t="n">
        <v>0</v>
      </c>
      <c r="O412" t="n">
        <v>0</v>
      </c>
      <c r="P412" t="n">
        <v>0</v>
      </c>
      <c r="Q412" t="n">
        <v>0</v>
      </c>
      <c r="R412" s="2" t="inlineStr"/>
    </row>
    <row r="413" ht="15" customHeight="1">
      <c r="A413" t="inlineStr">
        <is>
          <t>A 38055-2024</t>
        </is>
      </c>
      <c r="B413" s="1" t="n">
        <v>45544</v>
      </c>
      <c r="C413" s="1" t="n">
        <v>45969</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35327-2024</t>
        </is>
      </c>
      <c r="B414" s="1" t="n">
        <v>45530.71334490741</v>
      </c>
      <c r="C414" s="1" t="n">
        <v>45969</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40661-2025</t>
        </is>
      </c>
      <c r="B415" s="1" t="n">
        <v>45896.64715277778</v>
      </c>
      <c r="C415" s="1" t="n">
        <v>45969</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5486-2023</t>
        </is>
      </c>
      <c r="B416" s="1" t="n">
        <v>44957</v>
      </c>
      <c r="C416" s="1" t="n">
        <v>45969</v>
      </c>
      <c r="D416" t="inlineStr">
        <is>
          <t>DALARNAS LÄN</t>
        </is>
      </c>
      <c r="E416" t="inlineStr">
        <is>
          <t>MORA</t>
        </is>
      </c>
      <c r="G416" t="n">
        <v>3.2</v>
      </c>
      <c r="H416" t="n">
        <v>0</v>
      </c>
      <c r="I416" t="n">
        <v>0</v>
      </c>
      <c r="J416" t="n">
        <v>0</v>
      </c>
      <c r="K416" t="n">
        <v>0</v>
      </c>
      <c r="L416" t="n">
        <v>0</v>
      </c>
      <c r="M416" t="n">
        <v>0</v>
      </c>
      <c r="N416" t="n">
        <v>0</v>
      </c>
      <c r="O416" t="n">
        <v>0</v>
      </c>
      <c r="P416" t="n">
        <v>0</v>
      </c>
      <c r="Q416" t="n">
        <v>0</v>
      </c>
      <c r="R416" s="2" t="inlineStr"/>
    </row>
    <row r="417" ht="15" customHeight="1">
      <c r="A417" t="inlineStr">
        <is>
          <t>A 48929-2025</t>
        </is>
      </c>
      <c r="B417" s="1" t="n">
        <v>45937.51315972222</v>
      </c>
      <c r="C417" s="1" t="n">
        <v>45969</v>
      </c>
      <c r="D417" t="inlineStr">
        <is>
          <t>DALARNAS LÄN</t>
        </is>
      </c>
      <c r="E417" t="inlineStr">
        <is>
          <t>MORA</t>
        </is>
      </c>
      <c r="G417" t="n">
        <v>0.5</v>
      </c>
      <c r="H417" t="n">
        <v>0</v>
      </c>
      <c r="I417" t="n">
        <v>0</v>
      </c>
      <c r="J417" t="n">
        <v>0</v>
      </c>
      <c r="K417" t="n">
        <v>0</v>
      </c>
      <c r="L417" t="n">
        <v>0</v>
      </c>
      <c r="M417" t="n">
        <v>0</v>
      </c>
      <c r="N417" t="n">
        <v>0</v>
      </c>
      <c r="O417" t="n">
        <v>0</v>
      </c>
      <c r="P417" t="n">
        <v>0</v>
      </c>
      <c r="Q417" t="n">
        <v>0</v>
      </c>
      <c r="R417" s="2" t="inlineStr"/>
    </row>
    <row r="418" ht="15" customHeight="1">
      <c r="A418" t="inlineStr">
        <is>
          <t>A 48927-2025</t>
        </is>
      </c>
      <c r="B418" s="1" t="n">
        <v>45931</v>
      </c>
      <c r="C418" s="1" t="n">
        <v>45969</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60718-2023</t>
        </is>
      </c>
      <c r="B419" s="1" t="n">
        <v>45260.5284375</v>
      </c>
      <c r="C419" s="1" t="n">
        <v>45969</v>
      </c>
      <c r="D419" t="inlineStr">
        <is>
          <t>DALARNAS LÄN</t>
        </is>
      </c>
      <c r="E419" t="inlineStr">
        <is>
          <t>MORA</t>
        </is>
      </c>
      <c r="G419" t="n">
        <v>2.6</v>
      </c>
      <c r="H419" t="n">
        <v>0</v>
      </c>
      <c r="I419" t="n">
        <v>0</v>
      </c>
      <c r="J419" t="n">
        <v>0</v>
      </c>
      <c r="K419" t="n">
        <v>0</v>
      </c>
      <c r="L419" t="n">
        <v>0</v>
      </c>
      <c r="M419" t="n">
        <v>0</v>
      </c>
      <c r="N419" t="n">
        <v>0</v>
      </c>
      <c r="O419" t="n">
        <v>0</v>
      </c>
      <c r="P419" t="n">
        <v>0</v>
      </c>
      <c r="Q419" t="n">
        <v>0</v>
      </c>
      <c r="R419" s="2" t="inlineStr"/>
    </row>
    <row r="420" ht="15" customHeight="1">
      <c r="A420" t="inlineStr">
        <is>
          <t>A 46129-2024</t>
        </is>
      </c>
      <c r="B420" s="1" t="n">
        <v>45581.43337962963</v>
      </c>
      <c r="C420" s="1" t="n">
        <v>45969</v>
      </c>
      <c r="D420" t="inlineStr">
        <is>
          <t>DALARNAS LÄN</t>
        </is>
      </c>
      <c r="E420" t="inlineStr">
        <is>
          <t>MORA</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28934-2023</t>
        </is>
      </c>
      <c r="B421" s="1" t="n">
        <v>45104</v>
      </c>
      <c r="C421" s="1" t="n">
        <v>45969</v>
      </c>
      <c r="D421" t="inlineStr">
        <is>
          <t>DALARNAS LÄN</t>
        </is>
      </c>
      <c r="E421" t="inlineStr">
        <is>
          <t>MORA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14641-2023</t>
        </is>
      </c>
      <c r="B422" s="1" t="n">
        <v>45013</v>
      </c>
      <c r="C422" s="1" t="n">
        <v>45969</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31929-2024</t>
        </is>
      </c>
      <c r="B423" s="1" t="n">
        <v>45510.40587962963</v>
      </c>
      <c r="C423" s="1" t="n">
        <v>45969</v>
      </c>
      <c r="D423" t="inlineStr">
        <is>
          <t>DALARNAS LÄN</t>
        </is>
      </c>
      <c r="E423" t="inlineStr">
        <is>
          <t>MORA</t>
        </is>
      </c>
      <c r="G423" t="n">
        <v>10.8</v>
      </c>
      <c r="H423" t="n">
        <v>0</v>
      </c>
      <c r="I423" t="n">
        <v>0</v>
      </c>
      <c r="J423" t="n">
        <v>0</v>
      </c>
      <c r="K423" t="n">
        <v>0</v>
      </c>
      <c r="L423" t="n">
        <v>0</v>
      </c>
      <c r="M423" t="n">
        <v>0</v>
      </c>
      <c r="N423" t="n">
        <v>0</v>
      </c>
      <c r="O423" t="n">
        <v>0</v>
      </c>
      <c r="P423" t="n">
        <v>0</v>
      </c>
      <c r="Q423" t="n">
        <v>0</v>
      </c>
      <c r="R423" s="2" t="inlineStr"/>
    </row>
    <row r="424" ht="15" customHeight="1">
      <c r="A424" t="inlineStr">
        <is>
          <t>A 40660-2025</t>
        </is>
      </c>
      <c r="B424" s="1" t="n">
        <v>45896.64631944444</v>
      </c>
      <c r="C424" s="1" t="n">
        <v>45969</v>
      </c>
      <c r="D424" t="inlineStr">
        <is>
          <t>DALARNAS LÄN</t>
        </is>
      </c>
      <c r="E424" t="inlineStr">
        <is>
          <t>MORA</t>
        </is>
      </c>
      <c r="F424" t="inlineStr">
        <is>
          <t>Bergvik skog väst AB</t>
        </is>
      </c>
      <c r="G424" t="n">
        <v>5.4</v>
      </c>
      <c r="H424" t="n">
        <v>0</v>
      </c>
      <c r="I424" t="n">
        <v>0</v>
      </c>
      <c r="J424" t="n">
        <v>0</v>
      </c>
      <c r="K424" t="n">
        <v>0</v>
      </c>
      <c r="L424" t="n">
        <v>0</v>
      </c>
      <c r="M424" t="n">
        <v>0</v>
      </c>
      <c r="N424" t="n">
        <v>0</v>
      </c>
      <c r="O424" t="n">
        <v>0</v>
      </c>
      <c r="P424" t="n">
        <v>0</v>
      </c>
      <c r="Q424" t="n">
        <v>0</v>
      </c>
      <c r="R424" s="2" t="inlineStr"/>
    </row>
    <row r="425" ht="15" customHeight="1">
      <c r="A425" t="inlineStr">
        <is>
          <t>A 12151-2021</t>
        </is>
      </c>
      <c r="B425" s="1" t="n">
        <v>44266</v>
      </c>
      <c r="C425" s="1" t="n">
        <v>45969</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48926-2025</t>
        </is>
      </c>
      <c r="B426" s="1" t="n">
        <v>45937.50666666667</v>
      </c>
      <c r="C426" s="1" t="n">
        <v>45969</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25345-2025</t>
        </is>
      </c>
      <c r="B427" s="1" t="n">
        <v>45799</v>
      </c>
      <c r="C427" s="1" t="n">
        <v>45969</v>
      </c>
      <c r="D427" t="inlineStr">
        <is>
          <t>DALARNAS LÄN</t>
        </is>
      </c>
      <c r="E427" t="inlineStr">
        <is>
          <t>MORA</t>
        </is>
      </c>
      <c r="G427" t="n">
        <v>3.1</v>
      </c>
      <c r="H427" t="n">
        <v>0</v>
      </c>
      <c r="I427" t="n">
        <v>0</v>
      </c>
      <c r="J427" t="n">
        <v>0</v>
      </c>
      <c r="K427" t="n">
        <v>0</v>
      </c>
      <c r="L427" t="n">
        <v>0</v>
      </c>
      <c r="M427" t="n">
        <v>0</v>
      </c>
      <c r="N427" t="n">
        <v>0</v>
      </c>
      <c r="O427" t="n">
        <v>0</v>
      </c>
      <c r="P427" t="n">
        <v>0</v>
      </c>
      <c r="Q427" t="n">
        <v>0</v>
      </c>
      <c r="R427" s="2" t="inlineStr"/>
    </row>
    <row r="428" ht="15" customHeight="1">
      <c r="A428" t="inlineStr">
        <is>
          <t>A 47716-2025</t>
        </is>
      </c>
      <c r="B428" s="1" t="n">
        <v>45931</v>
      </c>
      <c r="C428" s="1" t="n">
        <v>45969</v>
      </c>
      <c r="D428" t="inlineStr">
        <is>
          <t>DALARNAS LÄN</t>
        </is>
      </c>
      <c r="E428" t="inlineStr">
        <is>
          <t>MORA</t>
        </is>
      </c>
      <c r="G428" t="n">
        <v>8.9</v>
      </c>
      <c r="H428" t="n">
        <v>0</v>
      </c>
      <c r="I428" t="n">
        <v>0</v>
      </c>
      <c r="J428" t="n">
        <v>0</v>
      </c>
      <c r="K428" t="n">
        <v>0</v>
      </c>
      <c r="L428" t="n">
        <v>0</v>
      </c>
      <c r="M428" t="n">
        <v>0</v>
      </c>
      <c r="N428" t="n">
        <v>0</v>
      </c>
      <c r="O428" t="n">
        <v>0</v>
      </c>
      <c r="P428" t="n">
        <v>0</v>
      </c>
      <c r="Q428" t="n">
        <v>0</v>
      </c>
      <c r="R428" s="2" t="inlineStr"/>
    </row>
    <row r="429" ht="15" customHeight="1">
      <c r="A429" t="inlineStr">
        <is>
          <t>A 36600-2023</t>
        </is>
      </c>
      <c r="B429" s="1" t="n">
        <v>45153</v>
      </c>
      <c r="C429" s="1" t="n">
        <v>45969</v>
      </c>
      <c r="D429" t="inlineStr">
        <is>
          <t>DALARNAS LÄN</t>
        </is>
      </c>
      <c r="E429" t="inlineStr">
        <is>
          <t>MORA</t>
        </is>
      </c>
      <c r="G429" t="n">
        <v>7.3</v>
      </c>
      <c r="H429" t="n">
        <v>0</v>
      </c>
      <c r="I429" t="n">
        <v>0</v>
      </c>
      <c r="J429" t="n">
        <v>0</v>
      </c>
      <c r="K429" t="n">
        <v>0</v>
      </c>
      <c r="L429" t="n">
        <v>0</v>
      </c>
      <c r="M429" t="n">
        <v>0</v>
      </c>
      <c r="N429" t="n">
        <v>0</v>
      </c>
      <c r="O429" t="n">
        <v>0</v>
      </c>
      <c r="P429" t="n">
        <v>0</v>
      </c>
      <c r="Q429" t="n">
        <v>0</v>
      </c>
      <c r="R429" s="2" t="inlineStr"/>
    </row>
    <row r="430" ht="15" customHeight="1">
      <c r="A430" t="inlineStr">
        <is>
          <t>A 42943-2024</t>
        </is>
      </c>
      <c r="B430" s="1" t="n">
        <v>45567.35359953704</v>
      </c>
      <c r="C430" s="1" t="n">
        <v>45969</v>
      </c>
      <c r="D430" t="inlineStr">
        <is>
          <t>DALARNAS LÄN</t>
        </is>
      </c>
      <c r="E430" t="inlineStr">
        <is>
          <t>MORA</t>
        </is>
      </c>
      <c r="G430" t="n">
        <v>0.5</v>
      </c>
      <c r="H430" t="n">
        <v>0</v>
      </c>
      <c r="I430" t="n">
        <v>0</v>
      </c>
      <c r="J430" t="n">
        <v>0</v>
      </c>
      <c r="K430" t="n">
        <v>0</v>
      </c>
      <c r="L430" t="n">
        <v>0</v>
      </c>
      <c r="M430" t="n">
        <v>0</v>
      </c>
      <c r="N430" t="n">
        <v>0</v>
      </c>
      <c r="O430" t="n">
        <v>0</v>
      </c>
      <c r="P430" t="n">
        <v>0</v>
      </c>
      <c r="Q430" t="n">
        <v>0</v>
      </c>
      <c r="R430" s="2" t="inlineStr"/>
    </row>
    <row r="431" ht="15" customHeight="1">
      <c r="A431" t="inlineStr">
        <is>
          <t>A 42611-2022</t>
        </is>
      </c>
      <c r="B431" s="1" t="n">
        <v>44831.81482638889</v>
      </c>
      <c r="C431" s="1" t="n">
        <v>45969</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49404-2025</t>
        </is>
      </c>
      <c r="B432" s="1" t="n">
        <v>45938.67662037037</v>
      </c>
      <c r="C432" s="1" t="n">
        <v>45969</v>
      </c>
      <c r="D432" t="inlineStr">
        <is>
          <t>DALARNAS LÄN</t>
        </is>
      </c>
      <c r="E432" t="inlineStr">
        <is>
          <t>MORA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4489-2022</t>
        </is>
      </c>
      <c r="B433" s="1" t="n">
        <v>44589</v>
      </c>
      <c r="C433" s="1" t="n">
        <v>45969</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5418-2025</t>
        </is>
      </c>
      <c r="B434" s="1" t="n">
        <v>45692.68561342593</v>
      </c>
      <c r="C434" s="1" t="n">
        <v>45969</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19842-2025</t>
        </is>
      </c>
      <c r="B435" s="1" t="n">
        <v>45771.47938657407</v>
      </c>
      <c r="C435" s="1" t="n">
        <v>45969</v>
      </c>
      <c r="D435" t="inlineStr">
        <is>
          <t>DALARNAS LÄN</t>
        </is>
      </c>
      <c r="E435" t="inlineStr">
        <is>
          <t>MORA</t>
        </is>
      </c>
      <c r="G435" t="n">
        <v>1.9</v>
      </c>
      <c r="H435" t="n">
        <v>0</v>
      </c>
      <c r="I435" t="n">
        <v>0</v>
      </c>
      <c r="J435" t="n">
        <v>0</v>
      </c>
      <c r="K435" t="n">
        <v>0</v>
      </c>
      <c r="L435" t="n">
        <v>0</v>
      </c>
      <c r="M435" t="n">
        <v>0</v>
      </c>
      <c r="N435" t="n">
        <v>0</v>
      </c>
      <c r="O435" t="n">
        <v>0</v>
      </c>
      <c r="P435" t="n">
        <v>0</v>
      </c>
      <c r="Q435" t="n">
        <v>0</v>
      </c>
      <c r="R435" s="2" t="inlineStr"/>
    </row>
    <row r="436" ht="15" customHeight="1">
      <c r="A436" t="inlineStr">
        <is>
          <t>A 15416-2023</t>
        </is>
      </c>
      <c r="B436" s="1" t="n">
        <v>45019.71342592593</v>
      </c>
      <c r="C436" s="1" t="n">
        <v>45969</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18134-2025</t>
        </is>
      </c>
      <c r="B437" s="1" t="n">
        <v>45761.60189814815</v>
      </c>
      <c r="C437" s="1" t="n">
        <v>45969</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21890-2025</t>
        </is>
      </c>
      <c r="B438" s="1" t="n">
        <v>45784.44481481481</v>
      </c>
      <c r="C438" s="1" t="n">
        <v>45969</v>
      </c>
      <c r="D438" t="inlineStr">
        <is>
          <t>DALARNAS LÄN</t>
        </is>
      </c>
      <c r="E438" t="inlineStr">
        <is>
          <t>MORA</t>
        </is>
      </c>
      <c r="G438" t="n">
        <v>3.8</v>
      </c>
      <c r="H438" t="n">
        <v>0</v>
      </c>
      <c r="I438" t="n">
        <v>0</v>
      </c>
      <c r="J438" t="n">
        <v>0</v>
      </c>
      <c r="K438" t="n">
        <v>0</v>
      </c>
      <c r="L438" t="n">
        <v>0</v>
      </c>
      <c r="M438" t="n">
        <v>0</v>
      </c>
      <c r="N438" t="n">
        <v>0</v>
      </c>
      <c r="O438" t="n">
        <v>0</v>
      </c>
      <c r="P438" t="n">
        <v>0</v>
      </c>
      <c r="Q438" t="n">
        <v>0</v>
      </c>
      <c r="R438" s="2" t="inlineStr"/>
    </row>
    <row r="439" ht="15" customHeight="1">
      <c r="A439" t="inlineStr">
        <is>
          <t>A 21895-2025</t>
        </is>
      </c>
      <c r="B439" s="1" t="n">
        <v>45784.45273148148</v>
      </c>
      <c r="C439" s="1" t="n">
        <v>45969</v>
      </c>
      <c r="D439" t="inlineStr">
        <is>
          <t>DALARNAS LÄN</t>
        </is>
      </c>
      <c r="E439" t="inlineStr">
        <is>
          <t>MORA</t>
        </is>
      </c>
      <c r="G439" t="n">
        <v>0.4</v>
      </c>
      <c r="H439" t="n">
        <v>0</v>
      </c>
      <c r="I439" t="n">
        <v>0</v>
      </c>
      <c r="J439" t="n">
        <v>0</v>
      </c>
      <c r="K439" t="n">
        <v>0</v>
      </c>
      <c r="L439" t="n">
        <v>0</v>
      </c>
      <c r="M439" t="n">
        <v>0</v>
      </c>
      <c r="N439" t="n">
        <v>0</v>
      </c>
      <c r="O439" t="n">
        <v>0</v>
      </c>
      <c r="P439" t="n">
        <v>0</v>
      </c>
      <c r="Q439" t="n">
        <v>0</v>
      </c>
      <c r="R439" s="2" t="inlineStr"/>
    </row>
    <row r="440" ht="15" customHeight="1">
      <c r="A440" t="inlineStr">
        <is>
          <t>A 52288-2024</t>
        </is>
      </c>
      <c r="B440" s="1" t="n">
        <v>45608.69395833334</v>
      </c>
      <c r="C440" s="1" t="n">
        <v>45969</v>
      </c>
      <c r="D440" t="inlineStr">
        <is>
          <t>DALARNAS LÄN</t>
        </is>
      </c>
      <c r="E440" t="inlineStr">
        <is>
          <t>MORA</t>
        </is>
      </c>
      <c r="G440" t="n">
        <v>2</v>
      </c>
      <c r="H440" t="n">
        <v>0</v>
      </c>
      <c r="I440" t="n">
        <v>0</v>
      </c>
      <c r="J440" t="n">
        <v>0</v>
      </c>
      <c r="K440" t="n">
        <v>0</v>
      </c>
      <c r="L440" t="n">
        <v>0</v>
      </c>
      <c r="M440" t="n">
        <v>0</v>
      </c>
      <c r="N440" t="n">
        <v>0</v>
      </c>
      <c r="O440" t="n">
        <v>0</v>
      </c>
      <c r="P440" t="n">
        <v>0</v>
      </c>
      <c r="Q440" t="n">
        <v>0</v>
      </c>
      <c r="R440" s="2" t="inlineStr"/>
    </row>
    <row r="441" ht="15" customHeight="1">
      <c r="A441" t="inlineStr">
        <is>
          <t>A 40805-2025</t>
        </is>
      </c>
      <c r="B441" s="1" t="n">
        <v>45897.46659722222</v>
      </c>
      <c r="C441" s="1" t="n">
        <v>45969</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61249-2023</t>
        </is>
      </c>
      <c r="B442" s="1" t="n">
        <v>45264</v>
      </c>
      <c r="C442" s="1" t="n">
        <v>45969</v>
      </c>
      <c r="D442" t="inlineStr">
        <is>
          <t>DALARNAS LÄN</t>
        </is>
      </c>
      <c r="E442" t="inlineStr">
        <is>
          <t>MORA</t>
        </is>
      </c>
      <c r="F442" t="inlineStr">
        <is>
          <t>Allmännings- och besparingsskogar</t>
        </is>
      </c>
      <c r="G442" t="n">
        <v>1.7</v>
      </c>
      <c r="H442" t="n">
        <v>0</v>
      </c>
      <c r="I442" t="n">
        <v>0</v>
      </c>
      <c r="J442" t="n">
        <v>0</v>
      </c>
      <c r="K442" t="n">
        <v>0</v>
      </c>
      <c r="L442" t="n">
        <v>0</v>
      </c>
      <c r="M442" t="n">
        <v>0</v>
      </c>
      <c r="N442" t="n">
        <v>0</v>
      </c>
      <c r="O442" t="n">
        <v>0</v>
      </c>
      <c r="P442" t="n">
        <v>0</v>
      </c>
      <c r="Q442" t="n">
        <v>0</v>
      </c>
      <c r="R442" s="2" t="inlineStr"/>
    </row>
    <row r="443" ht="15" customHeight="1">
      <c r="A443" t="inlineStr">
        <is>
          <t>A 21894-2025</t>
        </is>
      </c>
      <c r="B443" s="1" t="n">
        <v>45784.45060185185</v>
      </c>
      <c r="C443" s="1" t="n">
        <v>45969</v>
      </c>
      <c r="D443" t="inlineStr">
        <is>
          <t>DALARNAS LÄN</t>
        </is>
      </c>
      <c r="E443" t="inlineStr">
        <is>
          <t>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48522-2024</t>
        </is>
      </c>
      <c r="B444" s="1" t="n">
        <v>45593.32924768519</v>
      </c>
      <c r="C444" s="1" t="n">
        <v>45969</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16733-2024</t>
        </is>
      </c>
      <c r="B445" s="1" t="n">
        <v>45410.78502314815</v>
      </c>
      <c r="C445" s="1" t="n">
        <v>45969</v>
      </c>
      <c r="D445" t="inlineStr">
        <is>
          <t>DALARNAS LÄN</t>
        </is>
      </c>
      <c r="E445" t="inlineStr">
        <is>
          <t>MORA</t>
        </is>
      </c>
      <c r="G445" t="n">
        <v>6.3</v>
      </c>
      <c r="H445" t="n">
        <v>0</v>
      </c>
      <c r="I445" t="n">
        <v>0</v>
      </c>
      <c r="J445" t="n">
        <v>0</v>
      </c>
      <c r="K445" t="n">
        <v>0</v>
      </c>
      <c r="L445" t="n">
        <v>0</v>
      </c>
      <c r="M445" t="n">
        <v>0</v>
      </c>
      <c r="N445" t="n">
        <v>0</v>
      </c>
      <c r="O445" t="n">
        <v>0</v>
      </c>
      <c r="P445" t="n">
        <v>0</v>
      </c>
      <c r="Q445" t="n">
        <v>0</v>
      </c>
      <c r="R445" s="2" t="inlineStr"/>
    </row>
    <row r="446" ht="15" customHeight="1">
      <c r="A446" t="inlineStr">
        <is>
          <t>A 53159-2024</t>
        </is>
      </c>
      <c r="B446" s="1" t="n">
        <v>45611.63849537037</v>
      </c>
      <c r="C446" s="1" t="n">
        <v>45969</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68415-2021</t>
        </is>
      </c>
      <c r="B447" s="1" t="n">
        <v>44529</v>
      </c>
      <c r="C447" s="1" t="n">
        <v>45969</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60187-2024</t>
        </is>
      </c>
      <c r="B448" s="1" t="n">
        <v>45642.64803240741</v>
      </c>
      <c r="C448" s="1" t="n">
        <v>45969</v>
      </c>
      <c r="D448" t="inlineStr">
        <is>
          <t>DALARNAS LÄN</t>
        </is>
      </c>
      <c r="E448" t="inlineStr">
        <is>
          <t>MORA</t>
        </is>
      </c>
      <c r="F448" t="inlineStr">
        <is>
          <t>Allmännings- och besparingsskogar</t>
        </is>
      </c>
      <c r="G448" t="n">
        <v>24.6</v>
      </c>
      <c r="H448" t="n">
        <v>0</v>
      </c>
      <c r="I448" t="n">
        <v>0</v>
      </c>
      <c r="J448" t="n">
        <v>0</v>
      </c>
      <c r="K448" t="n">
        <v>0</v>
      </c>
      <c r="L448" t="n">
        <v>0</v>
      </c>
      <c r="M448" t="n">
        <v>0</v>
      </c>
      <c r="N448" t="n">
        <v>0</v>
      </c>
      <c r="O448" t="n">
        <v>0</v>
      </c>
      <c r="P448" t="n">
        <v>0</v>
      </c>
      <c r="Q448" t="n">
        <v>0</v>
      </c>
      <c r="R448" s="2" t="inlineStr"/>
    </row>
    <row r="449" ht="15" customHeight="1">
      <c r="A449" t="inlineStr">
        <is>
          <t>A 15435-2024</t>
        </is>
      </c>
      <c r="B449" s="1" t="n">
        <v>45401.40806712963</v>
      </c>
      <c r="C449" s="1" t="n">
        <v>45969</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51965-2024</t>
        </is>
      </c>
      <c r="B450" s="1" t="n">
        <v>45607.65123842593</v>
      </c>
      <c r="C450" s="1" t="n">
        <v>45969</v>
      </c>
      <c r="D450" t="inlineStr">
        <is>
          <t>DALARNAS LÄN</t>
        </is>
      </c>
      <c r="E450" t="inlineStr">
        <is>
          <t>MORA</t>
        </is>
      </c>
      <c r="G450" t="n">
        <v>1.3</v>
      </c>
      <c r="H450" t="n">
        <v>0</v>
      </c>
      <c r="I450" t="n">
        <v>0</v>
      </c>
      <c r="J450" t="n">
        <v>0</v>
      </c>
      <c r="K450" t="n">
        <v>0</v>
      </c>
      <c r="L450" t="n">
        <v>0</v>
      </c>
      <c r="M450" t="n">
        <v>0</v>
      </c>
      <c r="N450" t="n">
        <v>0</v>
      </c>
      <c r="O450" t="n">
        <v>0</v>
      </c>
      <c r="P450" t="n">
        <v>0</v>
      </c>
      <c r="Q450" t="n">
        <v>0</v>
      </c>
      <c r="R450" s="2" t="inlineStr"/>
    </row>
    <row r="451" ht="15" customHeight="1">
      <c r="A451" t="inlineStr">
        <is>
          <t>A 16573-2024</t>
        </is>
      </c>
      <c r="B451" s="1" t="n">
        <v>45408.46980324074</v>
      </c>
      <c r="C451" s="1" t="n">
        <v>45969</v>
      </c>
      <c r="D451" t="inlineStr">
        <is>
          <t>DALARNAS LÄN</t>
        </is>
      </c>
      <c r="E451" t="inlineStr">
        <is>
          <t>MORA</t>
        </is>
      </c>
      <c r="G451" t="n">
        <v>4.5</v>
      </c>
      <c r="H451" t="n">
        <v>0</v>
      </c>
      <c r="I451" t="n">
        <v>0</v>
      </c>
      <c r="J451" t="n">
        <v>0</v>
      </c>
      <c r="K451" t="n">
        <v>0</v>
      </c>
      <c r="L451" t="n">
        <v>0</v>
      </c>
      <c r="M451" t="n">
        <v>0</v>
      </c>
      <c r="N451" t="n">
        <v>0</v>
      </c>
      <c r="O451" t="n">
        <v>0</v>
      </c>
      <c r="P451" t="n">
        <v>0</v>
      </c>
      <c r="Q451" t="n">
        <v>0</v>
      </c>
      <c r="R451" s="2" t="inlineStr"/>
    </row>
    <row r="452" ht="15" customHeight="1">
      <c r="A452" t="inlineStr">
        <is>
          <t>A 41175-2025</t>
        </is>
      </c>
      <c r="B452" s="1" t="n">
        <v>45898.55165509259</v>
      </c>
      <c r="C452" s="1" t="n">
        <v>45969</v>
      </c>
      <c r="D452" t="inlineStr">
        <is>
          <t>DALARNAS LÄN</t>
        </is>
      </c>
      <c r="E452" t="inlineStr">
        <is>
          <t>MORA</t>
        </is>
      </c>
      <c r="G452" t="n">
        <v>4.5</v>
      </c>
      <c r="H452" t="n">
        <v>0</v>
      </c>
      <c r="I452" t="n">
        <v>0</v>
      </c>
      <c r="J452" t="n">
        <v>0</v>
      </c>
      <c r="K452" t="n">
        <v>0</v>
      </c>
      <c r="L452" t="n">
        <v>0</v>
      </c>
      <c r="M452" t="n">
        <v>0</v>
      </c>
      <c r="N452" t="n">
        <v>0</v>
      </c>
      <c r="O452" t="n">
        <v>0</v>
      </c>
      <c r="P452" t="n">
        <v>0</v>
      </c>
      <c r="Q452" t="n">
        <v>0</v>
      </c>
      <c r="R452" s="2" t="inlineStr"/>
    </row>
    <row r="453" ht="15" customHeight="1">
      <c r="A453" t="inlineStr">
        <is>
          <t>A 22409-2025</t>
        </is>
      </c>
      <c r="B453" s="1" t="n">
        <v>45786.54940972223</v>
      </c>
      <c r="C453" s="1" t="n">
        <v>45969</v>
      </c>
      <c r="D453" t="inlineStr">
        <is>
          <t>DALARNAS LÄN</t>
        </is>
      </c>
      <c r="E453" t="inlineStr">
        <is>
          <t>MORA</t>
        </is>
      </c>
      <c r="F453" t="inlineStr">
        <is>
          <t>Bergvik skog öst AB</t>
        </is>
      </c>
      <c r="G453" t="n">
        <v>5</v>
      </c>
      <c r="H453" t="n">
        <v>0</v>
      </c>
      <c r="I453" t="n">
        <v>0</v>
      </c>
      <c r="J453" t="n">
        <v>0</v>
      </c>
      <c r="K453" t="n">
        <v>0</v>
      </c>
      <c r="L453" t="n">
        <v>0</v>
      </c>
      <c r="M453" t="n">
        <v>0</v>
      </c>
      <c r="N453" t="n">
        <v>0</v>
      </c>
      <c r="O453" t="n">
        <v>0</v>
      </c>
      <c r="P453" t="n">
        <v>0</v>
      </c>
      <c r="Q453" t="n">
        <v>0</v>
      </c>
      <c r="R453" s="2" t="inlineStr"/>
    </row>
    <row r="454" ht="15" customHeight="1">
      <c r="A454" t="inlineStr">
        <is>
          <t>A 24620-2025</t>
        </is>
      </c>
      <c r="B454" s="1" t="n">
        <v>45798.59290509259</v>
      </c>
      <c r="C454" s="1" t="n">
        <v>45969</v>
      </c>
      <c r="D454" t="inlineStr">
        <is>
          <t>DALARNAS LÄN</t>
        </is>
      </c>
      <c r="E454" t="inlineStr">
        <is>
          <t>MORA</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42391-2023</t>
        </is>
      </c>
      <c r="B455" s="1" t="n">
        <v>45180</v>
      </c>
      <c r="C455" s="1" t="n">
        <v>45969</v>
      </c>
      <c r="D455" t="inlineStr">
        <is>
          <t>DALARNAS LÄN</t>
        </is>
      </c>
      <c r="E455" t="inlineStr">
        <is>
          <t>MORA</t>
        </is>
      </c>
      <c r="F455" t="inlineStr">
        <is>
          <t>Kommuner</t>
        </is>
      </c>
      <c r="G455" t="n">
        <v>0.3</v>
      </c>
      <c r="H455" t="n">
        <v>0</v>
      </c>
      <c r="I455" t="n">
        <v>0</v>
      </c>
      <c r="J455" t="n">
        <v>0</v>
      </c>
      <c r="K455" t="n">
        <v>0</v>
      </c>
      <c r="L455" t="n">
        <v>0</v>
      </c>
      <c r="M455" t="n">
        <v>0</v>
      </c>
      <c r="N455" t="n">
        <v>0</v>
      </c>
      <c r="O455" t="n">
        <v>0</v>
      </c>
      <c r="P455" t="n">
        <v>0</v>
      </c>
      <c r="Q455" t="n">
        <v>0</v>
      </c>
      <c r="R455" s="2" t="inlineStr"/>
    </row>
    <row r="456" ht="15" customHeight="1">
      <c r="A456" t="inlineStr">
        <is>
          <t>A 24653-2025</t>
        </is>
      </c>
      <c r="B456" s="1" t="n">
        <v>45798.63875</v>
      </c>
      <c r="C456" s="1" t="n">
        <v>45969</v>
      </c>
      <c r="D456" t="inlineStr">
        <is>
          <t>DALARNAS LÄN</t>
        </is>
      </c>
      <c r="E456" t="inlineStr">
        <is>
          <t>MORA</t>
        </is>
      </c>
      <c r="F456" t="inlineStr">
        <is>
          <t>Bergvik skog väst AB</t>
        </is>
      </c>
      <c r="G456" t="n">
        <v>4.9</v>
      </c>
      <c r="H456" t="n">
        <v>0</v>
      </c>
      <c r="I456" t="n">
        <v>0</v>
      </c>
      <c r="J456" t="n">
        <v>0</v>
      </c>
      <c r="K456" t="n">
        <v>0</v>
      </c>
      <c r="L456" t="n">
        <v>0</v>
      </c>
      <c r="M456" t="n">
        <v>0</v>
      </c>
      <c r="N456" t="n">
        <v>0</v>
      </c>
      <c r="O456" t="n">
        <v>0</v>
      </c>
      <c r="P456" t="n">
        <v>0</v>
      </c>
      <c r="Q456" t="n">
        <v>0</v>
      </c>
      <c r="R456" s="2" t="inlineStr"/>
    </row>
    <row r="457" ht="15" customHeight="1">
      <c r="A457" t="inlineStr">
        <is>
          <t>A 11193-2025</t>
        </is>
      </c>
      <c r="B457" s="1" t="n">
        <v>45725</v>
      </c>
      <c r="C457" s="1" t="n">
        <v>45969</v>
      </c>
      <c r="D457" t="inlineStr">
        <is>
          <t>DALARNAS LÄN</t>
        </is>
      </c>
      <c r="E457" t="inlineStr">
        <is>
          <t>MORA</t>
        </is>
      </c>
      <c r="G457" t="n">
        <v>4.1</v>
      </c>
      <c r="H457" t="n">
        <v>0</v>
      </c>
      <c r="I457" t="n">
        <v>0</v>
      </c>
      <c r="J457" t="n">
        <v>0</v>
      </c>
      <c r="K457" t="n">
        <v>0</v>
      </c>
      <c r="L457" t="n">
        <v>0</v>
      </c>
      <c r="M457" t="n">
        <v>0</v>
      </c>
      <c r="N457" t="n">
        <v>0</v>
      </c>
      <c r="O457" t="n">
        <v>0</v>
      </c>
      <c r="P457" t="n">
        <v>0</v>
      </c>
      <c r="Q457" t="n">
        <v>0</v>
      </c>
      <c r="R457" s="2" t="inlineStr"/>
    </row>
    <row r="458" ht="15" customHeight="1">
      <c r="A458" t="inlineStr">
        <is>
          <t>A 22354-2025</t>
        </is>
      </c>
      <c r="B458" s="1" t="n">
        <v>45786.45721064815</v>
      </c>
      <c r="C458" s="1" t="n">
        <v>45969</v>
      </c>
      <c r="D458" t="inlineStr">
        <is>
          <t>DALARNAS LÄN</t>
        </is>
      </c>
      <c r="E458" t="inlineStr">
        <is>
          <t>MORA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49574-2025</t>
        </is>
      </c>
      <c r="B459" s="1" t="n">
        <v>45939.49045138889</v>
      </c>
      <c r="C459" s="1" t="n">
        <v>45969</v>
      </c>
      <c r="D459" t="inlineStr">
        <is>
          <t>DALARNAS LÄN</t>
        </is>
      </c>
      <c r="E459" t="inlineStr">
        <is>
          <t>MORA</t>
        </is>
      </c>
      <c r="G459" t="n">
        <v>6.3</v>
      </c>
      <c r="H459" t="n">
        <v>0</v>
      </c>
      <c r="I459" t="n">
        <v>0</v>
      </c>
      <c r="J459" t="n">
        <v>0</v>
      </c>
      <c r="K459" t="n">
        <v>0</v>
      </c>
      <c r="L459" t="n">
        <v>0</v>
      </c>
      <c r="M459" t="n">
        <v>0</v>
      </c>
      <c r="N459" t="n">
        <v>0</v>
      </c>
      <c r="O459" t="n">
        <v>0</v>
      </c>
      <c r="P459" t="n">
        <v>0</v>
      </c>
      <c r="Q459" t="n">
        <v>0</v>
      </c>
      <c r="R459" s="2" t="inlineStr"/>
    </row>
    <row r="460" ht="15" customHeight="1">
      <c r="A460" t="inlineStr">
        <is>
          <t>A 2879-2022</t>
        </is>
      </c>
      <c r="B460" s="1" t="n">
        <v>44581</v>
      </c>
      <c r="C460" s="1" t="n">
        <v>45969</v>
      </c>
      <c r="D460" t="inlineStr">
        <is>
          <t>DALARNAS LÄN</t>
        </is>
      </c>
      <c r="E460" t="inlineStr">
        <is>
          <t>MORA</t>
        </is>
      </c>
      <c r="G460" t="n">
        <v>2.3</v>
      </c>
      <c r="H460" t="n">
        <v>0</v>
      </c>
      <c r="I460" t="n">
        <v>0</v>
      </c>
      <c r="J460" t="n">
        <v>0</v>
      </c>
      <c r="K460" t="n">
        <v>0</v>
      </c>
      <c r="L460" t="n">
        <v>0</v>
      </c>
      <c r="M460" t="n">
        <v>0</v>
      </c>
      <c r="N460" t="n">
        <v>0</v>
      </c>
      <c r="O460" t="n">
        <v>0</v>
      </c>
      <c r="P460" t="n">
        <v>0</v>
      </c>
      <c r="Q460" t="n">
        <v>0</v>
      </c>
      <c r="R460" s="2" t="inlineStr"/>
    </row>
    <row r="461" ht="15" customHeight="1">
      <c r="A461" t="inlineStr">
        <is>
          <t>A 2865-2022</t>
        </is>
      </c>
      <c r="B461" s="1" t="n">
        <v>44581</v>
      </c>
      <c r="C461" s="1" t="n">
        <v>45969</v>
      </c>
      <c r="D461" t="inlineStr">
        <is>
          <t>DALARNAS LÄN</t>
        </is>
      </c>
      <c r="E461" t="inlineStr">
        <is>
          <t>MORA</t>
        </is>
      </c>
      <c r="G461" t="n">
        <v>2</v>
      </c>
      <c r="H461" t="n">
        <v>0</v>
      </c>
      <c r="I461" t="n">
        <v>0</v>
      </c>
      <c r="J461" t="n">
        <v>0</v>
      </c>
      <c r="K461" t="n">
        <v>0</v>
      </c>
      <c r="L461" t="n">
        <v>0</v>
      </c>
      <c r="M461" t="n">
        <v>0</v>
      </c>
      <c r="N461" t="n">
        <v>0</v>
      </c>
      <c r="O461" t="n">
        <v>0</v>
      </c>
      <c r="P461" t="n">
        <v>0</v>
      </c>
      <c r="Q461" t="n">
        <v>0</v>
      </c>
      <c r="R461" s="2" t="inlineStr"/>
    </row>
    <row r="462" ht="15" customHeight="1">
      <c r="A462" t="inlineStr">
        <is>
          <t>A 56900-2024</t>
        </is>
      </c>
      <c r="B462" s="1" t="n">
        <v>45625</v>
      </c>
      <c r="C462" s="1" t="n">
        <v>45969</v>
      </c>
      <c r="D462" t="inlineStr">
        <is>
          <t>DALARNAS LÄN</t>
        </is>
      </c>
      <c r="E462" t="inlineStr">
        <is>
          <t>MORA</t>
        </is>
      </c>
      <c r="G462" t="n">
        <v>2.7</v>
      </c>
      <c r="H462" t="n">
        <v>0</v>
      </c>
      <c r="I462" t="n">
        <v>0</v>
      </c>
      <c r="J462" t="n">
        <v>0</v>
      </c>
      <c r="K462" t="n">
        <v>0</v>
      </c>
      <c r="L462" t="n">
        <v>0</v>
      </c>
      <c r="M462" t="n">
        <v>0</v>
      </c>
      <c r="N462" t="n">
        <v>0</v>
      </c>
      <c r="O462" t="n">
        <v>0</v>
      </c>
      <c r="P462" t="n">
        <v>0</v>
      </c>
      <c r="Q462" t="n">
        <v>0</v>
      </c>
      <c r="R462" s="2" t="inlineStr"/>
    </row>
    <row r="463" ht="15" customHeight="1">
      <c r="A463" t="inlineStr">
        <is>
          <t>A 41200-2025</t>
        </is>
      </c>
      <c r="B463" s="1" t="n">
        <v>45898.5738425926</v>
      </c>
      <c r="C463" s="1" t="n">
        <v>45969</v>
      </c>
      <c r="D463" t="inlineStr">
        <is>
          <t>DALARNAS LÄN</t>
        </is>
      </c>
      <c r="E463" t="inlineStr">
        <is>
          <t>MORA</t>
        </is>
      </c>
      <c r="G463" t="n">
        <v>8.9</v>
      </c>
      <c r="H463" t="n">
        <v>0</v>
      </c>
      <c r="I463" t="n">
        <v>0</v>
      </c>
      <c r="J463" t="n">
        <v>0</v>
      </c>
      <c r="K463" t="n">
        <v>0</v>
      </c>
      <c r="L463" t="n">
        <v>0</v>
      </c>
      <c r="M463" t="n">
        <v>0</v>
      </c>
      <c r="N463" t="n">
        <v>0</v>
      </c>
      <c r="O463" t="n">
        <v>0</v>
      </c>
      <c r="P463" t="n">
        <v>0</v>
      </c>
      <c r="Q463" t="n">
        <v>0</v>
      </c>
      <c r="R463" s="2" t="inlineStr"/>
    </row>
    <row r="464" ht="15" customHeight="1">
      <c r="A464" t="inlineStr">
        <is>
          <t>A 56927-2024</t>
        </is>
      </c>
      <c r="B464" s="1" t="n">
        <v>45625</v>
      </c>
      <c r="C464" s="1" t="n">
        <v>45969</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45349-2024</t>
        </is>
      </c>
      <c r="B465" s="1" t="n">
        <v>45576</v>
      </c>
      <c r="C465" s="1" t="n">
        <v>45969</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55691-2023</t>
        </is>
      </c>
      <c r="B466" s="1" t="n">
        <v>45239.36509259259</v>
      </c>
      <c r="C466" s="1" t="n">
        <v>45969</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49828-2025</t>
        </is>
      </c>
      <c r="B467" s="1" t="n">
        <v>45940.44993055556</v>
      </c>
      <c r="C467" s="1" t="n">
        <v>45969</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54192-2023</t>
        </is>
      </c>
      <c r="B468" s="1" t="n">
        <v>45232.53052083333</v>
      </c>
      <c r="C468" s="1" t="n">
        <v>45969</v>
      </c>
      <c r="D468" t="inlineStr">
        <is>
          <t>DALARNAS LÄN</t>
        </is>
      </c>
      <c r="E468" t="inlineStr">
        <is>
          <t>MORA</t>
        </is>
      </c>
      <c r="G468" t="n">
        <v>3.4</v>
      </c>
      <c r="H468" t="n">
        <v>0</v>
      </c>
      <c r="I468" t="n">
        <v>0</v>
      </c>
      <c r="J468" t="n">
        <v>0</v>
      </c>
      <c r="K468" t="n">
        <v>0</v>
      </c>
      <c r="L468" t="n">
        <v>0</v>
      </c>
      <c r="M468" t="n">
        <v>0</v>
      </c>
      <c r="N468" t="n">
        <v>0</v>
      </c>
      <c r="O468" t="n">
        <v>0</v>
      </c>
      <c r="P468" t="n">
        <v>0</v>
      </c>
      <c r="Q468" t="n">
        <v>0</v>
      </c>
      <c r="R468" s="2" t="inlineStr"/>
    </row>
    <row r="469" ht="15" customHeight="1">
      <c r="A469" t="inlineStr">
        <is>
          <t>A 59404-2024</t>
        </is>
      </c>
      <c r="B469" s="1" t="n">
        <v>45638</v>
      </c>
      <c r="C469" s="1" t="n">
        <v>45969</v>
      </c>
      <c r="D469" t="inlineStr">
        <is>
          <t>DALARNAS LÄN</t>
        </is>
      </c>
      <c r="E469" t="inlineStr">
        <is>
          <t>MORA</t>
        </is>
      </c>
      <c r="G469" t="n">
        <v>2.6</v>
      </c>
      <c r="H469" t="n">
        <v>0</v>
      </c>
      <c r="I469" t="n">
        <v>0</v>
      </c>
      <c r="J469" t="n">
        <v>0</v>
      </c>
      <c r="K469" t="n">
        <v>0</v>
      </c>
      <c r="L469" t="n">
        <v>0</v>
      </c>
      <c r="M469" t="n">
        <v>0</v>
      </c>
      <c r="N469" t="n">
        <v>0</v>
      </c>
      <c r="O469" t="n">
        <v>0</v>
      </c>
      <c r="P469" t="n">
        <v>0</v>
      </c>
      <c r="Q469" t="n">
        <v>0</v>
      </c>
      <c r="R469" s="2" t="inlineStr"/>
    </row>
    <row r="470" ht="15" customHeight="1">
      <c r="A470" t="inlineStr">
        <is>
          <t>A 22185-2025</t>
        </is>
      </c>
      <c r="B470" s="1" t="n">
        <v>45785</v>
      </c>
      <c r="C470" s="1" t="n">
        <v>45969</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57408-2024</t>
        </is>
      </c>
      <c r="B471" s="1" t="n">
        <v>45629</v>
      </c>
      <c r="C471" s="1" t="n">
        <v>45969</v>
      </c>
      <c r="D471" t="inlineStr">
        <is>
          <t>DALARNAS LÄN</t>
        </is>
      </c>
      <c r="E471" t="inlineStr">
        <is>
          <t>MORA</t>
        </is>
      </c>
      <c r="F471" t="inlineStr">
        <is>
          <t>Allmännings- och besparingsskogar</t>
        </is>
      </c>
      <c r="G471" t="n">
        <v>2.5</v>
      </c>
      <c r="H471" t="n">
        <v>0</v>
      </c>
      <c r="I471" t="n">
        <v>0</v>
      </c>
      <c r="J471" t="n">
        <v>0</v>
      </c>
      <c r="K471" t="n">
        <v>0</v>
      </c>
      <c r="L471" t="n">
        <v>0</v>
      </c>
      <c r="M471" t="n">
        <v>0</v>
      </c>
      <c r="N471" t="n">
        <v>0</v>
      </c>
      <c r="O471" t="n">
        <v>0</v>
      </c>
      <c r="P471" t="n">
        <v>0</v>
      </c>
      <c r="Q471" t="n">
        <v>0</v>
      </c>
      <c r="R471" s="2" t="inlineStr"/>
    </row>
    <row r="472" ht="15" customHeight="1">
      <c r="A472" t="inlineStr">
        <is>
          <t>A 23368-2025</t>
        </is>
      </c>
      <c r="B472" s="1" t="n">
        <v>45791.70299768518</v>
      </c>
      <c r="C472" s="1" t="n">
        <v>45969</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56935-2024</t>
        </is>
      </c>
      <c r="B473" s="1" t="n">
        <v>45625</v>
      </c>
      <c r="C473" s="1" t="n">
        <v>45969</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46412-2024</t>
        </is>
      </c>
      <c r="B474" s="1" t="n">
        <v>45582.44894675926</v>
      </c>
      <c r="C474" s="1" t="n">
        <v>45969</v>
      </c>
      <c r="D474" t="inlineStr">
        <is>
          <t>DALARNAS LÄN</t>
        </is>
      </c>
      <c r="E474" t="inlineStr">
        <is>
          <t>MORA</t>
        </is>
      </c>
      <c r="G474" t="n">
        <v>4.1</v>
      </c>
      <c r="H474" t="n">
        <v>0</v>
      </c>
      <c r="I474" t="n">
        <v>0</v>
      </c>
      <c r="J474" t="n">
        <v>0</v>
      </c>
      <c r="K474" t="n">
        <v>0</v>
      </c>
      <c r="L474" t="n">
        <v>0</v>
      </c>
      <c r="M474" t="n">
        <v>0</v>
      </c>
      <c r="N474" t="n">
        <v>0</v>
      </c>
      <c r="O474" t="n">
        <v>0</v>
      </c>
      <c r="P474" t="n">
        <v>0</v>
      </c>
      <c r="Q474" t="n">
        <v>0</v>
      </c>
      <c r="R474" s="2" t="inlineStr"/>
    </row>
    <row r="475" ht="15" customHeight="1">
      <c r="A475" t="inlineStr">
        <is>
          <t>A 23354-2022</t>
        </is>
      </c>
      <c r="B475" s="1" t="n">
        <v>44720</v>
      </c>
      <c r="C475" s="1" t="n">
        <v>45969</v>
      </c>
      <c r="D475" t="inlineStr">
        <is>
          <t>DALARNAS LÄN</t>
        </is>
      </c>
      <c r="E475" t="inlineStr">
        <is>
          <t>MORA</t>
        </is>
      </c>
      <c r="G475" t="n">
        <v>5.2</v>
      </c>
      <c r="H475" t="n">
        <v>0</v>
      </c>
      <c r="I475" t="n">
        <v>0</v>
      </c>
      <c r="J475" t="n">
        <v>0</v>
      </c>
      <c r="K475" t="n">
        <v>0</v>
      </c>
      <c r="L475" t="n">
        <v>0</v>
      </c>
      <c r="M475" t="n">
        <v>0</v>
      </c>
      <c r="N475" t="n">
        <v>0</v>
      </c>
      <c r="O475" t="n">
        <v>0</v>
      </c>
      <c r="P475" t="n">
        <v>0</v>
      </c>
      <c r="Q475" t="n">
        <v>0</v>
      </c>
      <c r="R475" s="2" t="inlineStr"/>
    </row>
    <row r="476" ht="15" customHeight="1">
      <c r="A476" t="inlineStr">
        <is>
          <t>A 34928-2022</t>
        </is>
      </c>
      <c r="B476" s="1" t="n">
        <v>44796.60479166666</v>
      </c>
      <c r="C476" s="1" t="n">
        <v>45969</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41783-2025</t>
        </is>
      </c>
      <c r="B477" s="1" t="n">
        <v>45902.58721064815</v>
      </c>
      <c r="C477" s="1" t="n">
        <v>45969</v>
      </c>
      <c r="D477" t="inlineStr">
        <is>
          <t>DALARNAS LÄN</t>
        </is>
      </c>
      <c r="E477" t="inlineStr">
        <is>
          <t>MORA</t>
        </is>
      </c>
      <c r="G477" t="n">
        <v>0.6</v>
      </c>
      <c r="H477" t="n">
        <v>0</v>
      </c>
      <c r="I477" t="n">
        <v>0</v>
      </c>
      <c r="J477" t="n">
        <v>0</v>
      </c>
      <c r="K477" t="n">
        <v>0</v>
      </c>
      <c r="L477" t="n">
        <v>0</v>
      </c>
      <c r="M477" t="n">
        <v>0</v>
      </c>
      <c r="N477" t="n">
        <v>0</v>
      </c>
      <c r="O477" t="n">
        <v>0</v>
      </c>
      <c r="P477" t="n">
        <v>0</v>
      </c>
      <c r="Q477" t="n">
        <v>0</v>
      </c>
      <c r="R477" s="2" t="inlineStr"/>
    </row>
    <row r="478" ht="15" customHeight="1">
      <c r="A478" t="inlineStr">
        <is>
          <t>A 50685-2023</t>
        </is>
      </c>
      <c r="B478" s="1" t="n">
        <v>45210</v>
      </c>
      <c r="C478" s="1" t="n">
        <v>45969</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9461-2025</t>
        </is>
      </c>
      <c r="B479" s="1" t="n">
        <v>45715.45341435185</v>
      </c>
      <c r="C479" s="1" t="n">
        <v>45969</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41614-2025</t>
        </is>
      </c>
      <c r="B480" s="1" t="n">
        <v>45901.68267361111</v>
      </c>
      <c r="C480" s="1" t="n">
        <v>45969</v>
      </c>
      <c r="D480" t="inlineStr">
        <is>
          <t>DALARNAS LÄN</t>
        </is>
      </c>
      <c r="E480" t="inlineStr">
        <is>
          <t>MORA</t>
        </is>
      </c>
      <c r="F480" t="inlineStr">
        <is>
          <t>Bergvik skog väst AB</t>
        </is>
      </c>
      <c r="G480" t="n">
        <v>13.8</v>
      </c>
      <c r="H480" t="n">
        <v>0</v>
      </c>
      <c r="I480" t="n">
        <v>0</v>
      </c>
      <c r="J480" t="n">
        <v>0</v>
      </c>
      <c r="K480" t="n">
        <v>0</v>
      </c>
      <c r="L480" t="n">
        <v>0</v>
      </c>
      <c r="M480" t="n">
        <v>0</v>
      </c>
      <c r="N480" t="n">
        <v>0</v>
      </c>
      <c r="O480" t="n">
        <v>0</v>
      </c>
      <c r="P480" t="n">
        <v>0</v>
      </c>
      <c r="Q480" t="n">
        <v>0</v>
      </c>
      <c r="R480" s="2" t="inlineStr"/>
    </row>
    <row r="481" ht="15" customHeight="1">
      <c r="A481" t="inlineStr">
        <is>
          <t>A 24127-2025</t>
        </is>
      </c>
      <c r="B481" s="1" t="n">
        <v>45796.63137731481</v>
      </c>
      <c r="C481" s="1" t="n">
        <v>45969</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43964-2024</t>
        </is>
      </c>
      <c r="B482" s="1" t="n">
        <v>45572.48407407408</v>
      </c>
      <c r="C482" s="1" t="n">
        <v>45969</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47686-2025</t>
        </is>
      </c>
      <c r="B483" s="1" t="n">
        <v>45931</v>
      </c>
      <c r="C483" s="1" t="n">
        <v>45969</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62854-2023</t>
        </is>
      </c>
      <c r="B484" s="1" t="n">
        <v>45272</v>
      </c>
      <c r="C484" s="1" t="n">
        <v>45969</v>
      </c>
      <c r="D484" t="inlineStr">
        <is>
          <t>DALARNAS LÄN</t>
        </is>
      </c>
      <c r="E484" t="inlineStr">
        <is>
          <t>MORA</t>
        </is>
      </c>
      <c r="G484" t="n">
        <v>11.3</v>
      </c>
      <c r="H484" t="n">
        <v>0</v>
      </c>
      <c r="I484" t="n">
        <v>0</v>
      </c>
      <c r="J484" t="n">
        <v>0</v>
      </c>
      <c r="K484" t="n">
        <v>0</v>
      </c>
      <c r="L484" t="n">
        <v>0</v>
      </c>
      <c r="M484" t="n">
        <v>0</v>
      </c>
      <c r="N484" t="n">
        <v>0</v>
      </c>
      <c r="O484" t="n">
        <v>0</v>
      </c>
      <c r="P484" t="n">
        <v>0</v>
      </c>
      <c r="Q484" t="n">
        <v>0</v>
      </c>
      <c r="R484" s="2" t="inlineStr"/>
    </row>
    <row r="485" ht="15" customHeight="1">
      <c r="A485" t="inlineStr">
        <is>
          <t>A 19286-2023</t>
        </is>
      </c>
      <c r="B485" s="1" t="n">
        <v>45049</v>
      </c>
      <c r="C485" s="1" t="n">
        <v>45969</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45969</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23229-2025</t>
        </is>
      </c>
      <c r="B487" s="1" t="n">
        <v>45791</v>
      </c>
      <c r="C487" s="1" t="n">
        <v>45969</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39511-2024</t>
        </is>
      </c>
      <c r="B488" s="1" t="n">
        <v>45551.68347222222</v>
      </c>
      <c r="C488" s="1" t="n">
        <v>45969</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37695-2024</t>
        </is>
      </c>
      <c r="B489" s="1" t="n">
        <v>45541.61094907407</v>
      </c>
      <c r="C489" s="1" t="n">
        <v>45969</v>
      </c>
      <c r="D489" t="inlineStr">
        <is>
          <t>DALARNAS LÄN</t>
        </is>
      </c>
      <c r="E489" t="inlineStr">
        <is>
          <t>MORA</t>
        </is>
      </c>
      <c r="G489" t="n">
        <v>19.7</v>
      </c>
      <c r="H489" t="n">
        <v>0</v>
      </c>
      <c r="I489" t="n">
        <v>0</v>
      </c>
      <c r="J489" t="n">
        <v>0</v>
      </c>
      <c r="K489" t="n">
        <v>0</v>
      </c>
      <c r="L489" t="n">
        <v>0</v>
      </c>
      <c r="M489" t="n">
        <v>0</v>
      </c>
      <c r="N489" t="n">
        <v>0</v>
      </c>
      <c r="O489" t="n">
        <v>0</v>
      </c>
      <c r="P489" t="n">
        <v>0</v>
      </c>
      <c r="Q489" t="n">
        <v>0</v>
      </c>
      <c r="R489" s="2" t="inlineStr"/>
    </row>
    <row r="490" ht="15" customHeight="1">
      <c r="A490" t="inlineStr">
        <is>
          <t>A 56834-2024</t>
        </is>
      </c>
      <c r="B490" s="1" t="n">
        <v>45628.49931712963</v>
      </c>
      <c r="C490" s="1" t="n">
        <v>45969</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24280-2025</t>
        </is>
      </c>
      <c r="B491" s="1" t="n">
        <v>45797.45581018519</v>
      </c>
      <c r="C491" s="1" t="n">
        <v>45969</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24630-2025</t>
        </is>
      </c>
      <c r="B492" s="1" t="n">
        <v>45798.6003587963</v>
      </c>
      <c r="C492" s="1" t="n">
        <v>45969</v>
      </c>
      <c r="D492" t="inlineStr">
        <is>
          <t>DALARNAS LÄN</t>
        </is>
      </c>
      <c r="E492" t="inlineStr">
        <is>
          <t>MORA</t>
        </is>
      </c>
      <c r="F492" t="inlineStr">
        <is>
          <t>Bergvik skog väst AB</t>
        </is>
      </c>
      <c r="G492" t="n">
        <v>10.4</v>
      </c>
      <c r="H492" t="n">
        <v>0</v>
      </c>
      <c r="I492" t="n">
        <v>0</v>
      </c>
      <c r="J492" t="n">
        <v>0</v>
      </c>
      <c r="K492" t="n">
        <v>0</v>
      </c>
      <c r="L492" t="n">
        <v>0</v>
      </c>
      <c r="M492" t="n">
        <v>0</v>
      </c>
      <c r="N492" t="n">
        <v>0</v>
      </c>
      <c r="O492" t="n">
        <v>0</v>
      </c>
      <c r="P492" t="n">
        <v>0</v>
      </c>
      <c r="Q492" t="n">
        <v>0</v>
      </c>
      <c r="R492" s="2" t="inlineStr"/>
    </row>
    <row r="493" ht="15" customHeight="1">
      <c r="A493" t="inlineStr">
        <is>
          <t>A 19183-2025</t>
        </is>
      </c>
      <c r="B493" s="1" t="n">
        <v>45769</v>
      </c>
      <c r="C493" s="1" t="n">
        <v>45969</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8068-2024</t>
        </is>
      </c>
      <c r="B494" s="1" t="n">
        <v>45351.41524305556</v>
      </c>
      <c r="C494" s="1" t="n">
        <v>45969</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24642-2025</t>
        </is>
      </c>
      <c r="B495" s="1" t="n">
        <v>45798.62894675926</v>
      </c>
      <c r="C495" s="1" t="n">
        <v>45969</v>
      </c>
      <c r="D495" t="inlineStr">
        <is>
          <t>DALARNAS LÄN</t>
        </is>
      </c>
      <c r="E495" t="inlineStr">
        <is>
          <t>MORA</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43863-2023</t>
        </is>
      </c>
      <c r="B496" s="1" t="n">
        <v>45187.62532407408</v>
      </c>
      <c r="C496" s="1" t="n">
        <v>45969</v>
      </c>
      <c r="D496" t="inlineStr">
        <is>
          <t>DALARNAS LÄN</t>
        </is>
      </c>
      <c r="E496" t="inlineStr">
        <is>
          <t>MORA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24249-2025</t>
        </is>
      </c>
      <c r="B497" s="1" t="n">
        <v>45797.40260416667</v>
      </c>
      <c r="C497" s="1" t="n">
        <v>45969</v>
      </c>
      <c r="D497" t="inlineStr">
        <is>
          <t>DALARNAS LÄN</t>
        </is>
      </c>
      <c r="E497" t="inlineStr">
        <is>
          <t>MORA</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24640-2025</t>
        </is>
      </c>
      <c r="B498" s="1" t="n">
        <v>45798.62243055556</v>
      </c>
      <c r="C498" s="1" t="n">
        <v>45969</v>
      </c>
      <c r="D498" t="inlineStr">
        <is>
          <t>DALARNAS LÄN</t>
        </is>
      </c>
      <c r="E498" t="inlineStr">
        <is>
          <t>MORA</t>
        </is>
      </c>
      <c r="F498" t="inlineStr">
        <is>
          <t>Bergvik skog väst AB</t>
        </is>
      </c>
      <c r="G498" t="n">
        <v>2.2</v>
      </c>
      <c r="H498" t="n">
        <v>0</v>
      </c>
      <c r="I498" t="n">
        <v>0</v>
      </c>
      <c r="J498" t="n">
        <v>0</v>
      </c>
      <c r="K498" t="n">
        <v>0</v>
      </c>
      <c r="L498" t="n">
        <v>0</v>
      </c>
      <c r="M498" t="n">
        <v>0</v>
      </c>
      <c r="N498" t="n">
        <v>0</v>
      </c>
      <c r="O498" t="n">
        <v>0</v>
      </c>
      <c r="P498" t="n">
        <v>0</v>
      </c>
      <c r="Q498" t="n">
        <v>0</v>
      </c>
      <c r="R498" s="2" t="inlineStr"/>
    </row>
    <row r="499" ht="15" customHeight="1">
      <c r="A499" t="inlineStr">
        <is>
          <t>A 24230-2025</t>
        </is>
      </c>
      <c r="B499" s="1" t="n">
        <v>45797.37607638889</v>
      </c>
      <c r="C499" s="1" t="n">
        <v>45969</v>
      </c>
      <c r="D499" t="inlineStr">
        <is>
          <t>DALARNAS LÄN</t>
        </is>
      </c>
      <c r="E499" t="inlineStr">
        <is>
          <t>MORA</t>
        </is>
      </c>
      <c r="G499" t="n">
        <v>6.8</v>
      </c>
      <c r="H499" t="n">
        <v>0</v>
      </c>
      <c r="I499" t="n">
        <v>0</v>
      </c>
      <c r="J499" t="n">
        <v>0</v>
      </c>
      <c r="K499" t="n">
        <v>0</v>
      </c>
      <c r="L499" t="n">
        <v>0</v>
      </c>
      <c r="M499" t="n">
        <v>0</v>
      </c>
      <c r="N499" t="n">
        <v>0</v>
      </c>
      <c r="O499" t="n">
        <v>0</v>
      </c>
      <c r="P499" t="n">
        <v>0</v>
      </c>
      <c r="Q499" t="n">
        <v>0</v>
      </c>
      <c r="R499" s="2" t="inlineStr"/>
    </row>
    <row r="500" ht="15" customHeight="1">
      <c r="A500" t="inlineStr">
        <is>
          <t>A 54398-2021</t>
        </is>
      </c>
      <c r="B500" s="1" t="n">
        <v>44473.39252314815</v>
      </c>
      <c r="C500" s="1" t="n">
        <v>45969</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35521-2023</t>
        </is>
      </c>
      <c r="B501" s="1" t="n">
        <v>45147.33251157407</v>
      </c>
      <c r="C501" s="1" t="n">
        <v>45969</v>
      </c>
      <c r="D501" t="inlineStr">
        <is>
          <t>DALARNAS LÄN</t>
        </is>
      </c>
      <c r="E501" t="inlineStr">
        <is>
          <t>MORA</t>
        </is>
      </c>
      <c r="G501" t="n">
        <v>3.7</v>
      </c>
      <c r="H501" t="n">
        <v>0</v>
      </c>
      <c r="I501" t="n">
        <v>0</v>
      </c>
      <c r="J501" t="n">
        <v>0</v>
      </c>
      <c r="K501" t="n">
        <v>0</v>
      </c>
      <c r="L501" t="n">
        <v>0</v>
      </c>
      <c r="M501" t="n">
        <v>0</v>
      </c>
      <c r="N501" t="n">
        <v>0</v>
      </c>
      <c r="O501" t="n">
        <v>0</v>
      </c>
      <c r="P501" t="n">
        <v>0</v>
      </c>
      <c r="Q501" t="n">
        <v>0</v>
      </c>
      <c r="R501" s="2" t="inlineStr"/>
    </row>
    <row r="502" ht="15" customHeight="1">
      <c r="A502" t="inlineStr">
        <is>
          <t>A 31112-2024</t>
        </is>
      </c>
      <c r="B502" s="1" t="n">
        <v>45502.55185185185</v>
      </c>
      <c r="C502" s="1" t="n">
        <v>45969</v>
      </c>
      <c r="D502" t="inlineStr">
        <is>
          <t>DALARNAS LÄN</t>
        </is>
      </c>
      <c r="E502" t="inlineStr">
        <is>
          <t>MORA</t>
        </is>
      </c>
      <c r="G502" t="n">
        <v>0.6</v>
      </c>
      <c r="H502" t="n">
        <v>0</v>
      </c>
      <c r="I502" t="n">
        <v>0</v>
      </c>
      <c r="J502" t="n">
        <v>0</v>
      </c>
      <c r="K502" t="n">
        <v>0</v>
      </c>
      <c r="L502" t="n">
        <v>0</v>
      </c>
      <c r="M502" t="n">
        <v>0</v>
      </c>
      <c r="N502" t="n">
        <v>0</v>
      </c>
      <c r="O502" t="n">
        <v>0</v>
      </c>
      <c r="P502" t="n">
        <v>0</v>
      </c>
      <c r="Q502" t="n">
        <v>0</v>
      </c>
      <c r="R502" s="2" t="inlineStr"/>
    </row>
    <row r="503" ht="15" customHeight="1">
      <c r="A503" t="inlineStr">
        <is>
          <t>A 44205-2023</t>
        </is>
      </c>
      <c r="B503" s="1" t="n">
        <v>45188</v>
      </c>
      <c r="C503" s="1" t="n">
        <v>45969</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45969</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51168-2024</t>
        </is>
      </c>
      <c r="B505" s="1" t="n">
        <v>45603.58619212963</v>
      </c>
      <c r="C505" s="1" t="n">
        <v>45969</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18214-2024</t>
        </is>
      </c>
      <c r="B506" s="1" t="n">
        <v>45420</v>
      </c>
      <c r="C506" s="1" t="n">
        <v>45969</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24947-2025</t>
        </is>
      </c>
      <c r="B507" s="1" t="n">
        <v>45799.56524305556</v>
      </c>
      <c r="C507" s="1" t="n">
        <v>45969</v>
      </c>
      <c r="D507" t="inlineStr">
        <is>
          <t>DALARNAS LÄN</t>
        </is>
      </c>
      <c r="E507" t="inlineStr">
        <is>
          <t>MORA</t>
        </is>
      </c>
      <c r="G507" t="n">
        <v>2</v>
      </c>
      <c r="H507" t="n">
        <v>0</v>
      </c>
      <c r="I507" t="n">
        <v>0</v>
      </c>
      <c r="J507" t="n">
        <v>0</v>
      </c>
      <c r="K507" t="n">
        <v>0</v>
      </c>
      <c r="L507" t="n">
        <v>0</v>
      </c>
      <c r="M507" t="n">
        <v>0</v>
      </c>
      <c r="N507" t="n">
        <v>0</v>
      </c>
      <c r="O507" t="n">
        <v>0</v>
      </c>
      <c r="P507" t="n">
        <v>0</v>
      </c>
      <c r="Q507" t="n">
        <v>0</v>
      </c>
      <c r="R507" s="2" t="inlineStr"/>
    </row>
    <row r="508" ht="15" customHeight="1">
      <c r="A508" t="inlineStr">
        <is>
          <t>A 16522-2024</t>
        </is>
      </c>
      <c r="B508" s="1" t="n">
        <v>45408.41166666667</v>
      </c>
      <c r="C508" s="1" t="n">
        <v>45969</v>
      </c>
      <c r="D508" t="inlineStr">
        <is>
          <t>DALARNAS LÄN</t>
        </is>
      </c>
      <c r="E508" t="inlineStr">
        <is>
          <t>MORA</t>
        </is>
      </c>
      <c r="G508" t="n">
        <v>11.2</v>
      </c>
      <c r="H508" t="n">
        <v>0</v>
      </c>
      <c r="I508" t="n">
        <v>0</v>
      </c>
      <c r="J508" t="n">
        <v>0</v>
      </c>
      <c r="K508" t="n">
        <v>0</v>
      </c>
      <c r="L508" t="n">
        <v>0</v>
      </c>
      <c r="M508" t="n">
        <v>0</v>
      </c>
      <c r="N508" t="n">
        <v>0</v>
      </c>
      <c r="O508" t="n">
        <v>0</v>
      </c>
      <c r="P508" t="n">
        <v>0</v>
      </c>
      <c r="Q508" t="n">
        <v>0</v>
      </c>
      <c r="R508" s="2" t="inlineStr"/>
    </row>
    <row r="509" ht="15" customHeight="1">
      <c r="A509" t="inlineStr">
        <is>
          <t>A 55120-2024</t>
        </is>
      </c>
      <c r="B509" s="1" t="n">
        <v>45621.45765046297</v>
      </c>
      <c r="C509" s="1" t="n">
        <v>45969</v>
      </c>
      <c r="D509" t="inlineStr">
        <is>
          <t>DALARNAS LÄN</t>
        </is>
      </c>
      <c r="E509" t="inlineStr">
        <is>
          <t>MORA</t>
        </is>
      </c>
      <c r="G509" t="n">
        <v>1.9</v>
      </c>
      <c r="H509" t="n">
        <v>0</v>
      </c>
      <c r="I509" t="n">
        <v>0</v>
      </c>
      <c r="J509" t="n">
        <v>0</v>
      </c>
      <c r="K509" t="n">
        <v>0</v>
      </c>
      <c r="L509" t="n">
        <v>0</v>
      </c>
      <c r="M509" t="n">
        <v>0</v>
      </c>
      <c r="N509" t="n">
        <v>0</v>
      </c>
      <c r="O509" t="n">
        <v>0</v>
      </c>
      <c r="P509" t="n">
        <v>0</v>
      </c>
      <c r="Q509" t="n">
        <v>0</v>
      </c>
      <c r="R509" s="2" t="inlineStr"/>
    </row>
    <row r="510" ht="15" customHeight="1">
      <c r="A510" t="inlineStr">
        <is>
          <t>A 42319-2025</t>
        </is>
      </c>
      <c r="B510" s="1" t="n">
        <v>45903</v>
      </c>
      <c r="C510" s="1" t="n">
        <v>45969</v>
      </c>
      <c r="D510" t="inlineStr">
        <is>
          <t>DALARNAS LÄN</t>
        </is>
      </c>
      <c r="E510" t="inlineStr">
        <is>
          <t>MORA</t>
        </is>
      </c>
      <c r="G510" t="n">
        <v>2.3</v>
      </c>
      <c r="H510" t="n">
        <v>0</v>
      </c>
      <c r="I510" t="n">
        <v>0</v>
      </c>
      <c r="J510" t="n">
        <v>0</v>
      </c>
      <c r="K510" t="n">
        <v>0</v>
      </c>
      <c r="L510" t="n">
        <v>0</v>
      </c>
      <c r="M510" t="n">
        <v>0</v>
      </c>
      <c r="N510" t="n">
        <v>0</v>
      </c>
      <c r="O510" t="n">
        <v>0</v>
      </c>
      <c r="P510" t="n">
        <v>0</v>
      </c>
      <c r="Q510" t="n">
        <v>0</v>
      </c>
      <c r="R510" s="2" t="inlineStr"/>
    </row>
    <row r="511" ht="15" customHeight="1">
      <c r="A511" t="inlineStr">
        <is>
          <t>A 43873-2024</t>
        </is>
      </c>
      <c r="B511" s="1" t="n">
        <v>45572.38429398148</v>
      </c>
      <c r="C511" s="1" t="n">
        <v>45969</v>
      </c>
      <c r="D511" t="inlineStr">
        <is>
          <t>DALARNAS LÄN</t>
        </is>
      </c>
      <c r="E511" t="inlineStr">
        <is>
          <t>MORA</t>
        </is>
      </c>
      <c r="G511" t="n">
        <v>4.1</v>
      </c>
      <c r="H511" t="n">
        <v>0</v>
      </c>
      <c r="I511" t="n">
        <v>0</v>
      </c>
      <c r="J511" t="n">
        <v>0</v>
      </c>
      <c r="K511" t="n">
        <v>0</v>
      </c>
      <c r="L511" t="n">
        <v>0</v>
      </c>
      <c r="M511" t="n">
        <v>0</v>
      </c>
      <c r="N511" t="n">
        <v>0</v>
      </c>
      <c r="O511" t="n">
        <v>0</v>
      </c>
      <c r="P511" t="n">
        <v>0</v>
      </c>
      <c r="Q511" t="n">
        <v>0</v>
      </c>
      <c r="R511" s="2" t="inlineStr"/>
    </row>
    <row r="512" ht="15" customHeight="1">
      <c r="A512" t="inlineStr">
        <is>
          <t>A 41855-2025</t>
        </is>
      </c>
      <c r="B512" s="1" t="n">
        <v>45902.93693287037</v>
      </c>
      <c r="C512" s="1" t="n">
        <v>45969</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42112-2025</t>
        </is>
      </c>
      <c r="B513" s="1" t="n">
        <v>45904.32134259259</v>
      </c>
      <c r="C513" s="1" t="n">
        <v>45969</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26647-2025</t>
        </is>
      </c>
      <c r="B514" s="1" t="n">
        <v>45810.38439814815</v>
      </c>
      <c r="C514" s="1" t="n">
        <v>45969</v>
      </c>
      <c r="D514" t="inlineStr">
        <is>
          <t>DALARNAS LÄN</t>
        </is>
      </c>
      <c r="E514" t="inlineStr">
        <is>
          <t>MORA</t>
        </is>
      </c>
      <c r="G514" t="n">
        <v>7.9</v>
      </c>
      <c r="H514" t="n">
        <v>0</v>
      </c>
      <c r="I514" t="n">
        <v>0</v>
      </c>
      <c r="J514" t="n">
        <v>0</v>
      </c>
      <c r="K514" t="n">
        <v>0</v>
      </c>
      <c r="L514" t="n">
        <v>0</v>
      </c>
      <c r="M514" t="n">
        <v>0</v>
      </c>
      <c r="N514" t="n">
        <v>0</v>
      </c>
      <c r="O514" t="n">
        <v>0</v>
      </c>
      <c r="P514" t="n">
        <v>0</v>
      </c>
      <c r="Q514" t="n">
        <v>0</v>
      </c>
      <c r="R514" s="2" t="inlineStr"/>
    </row>
    <row r="515" ht="15" customHeight="1">
      <c r="A515" t="inlineStr">
        <is>
          <t>A 56425-2024</t>
        </is>
      </c>
      <c r="B515" s="1" t="n">
        <v>45625.38677083333</v>
      </c>
      <c r="C515" s="1" t="n">
        <v>45969</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46152-2023</t>
        </is>
      </c>
      <c r="B516" s="1" t="n">
        <v>45196.58278935185</v>
      </c>
      <c r="C516" s="1" t="n">
        <v>45969</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30819-2024</t>
        </is>
      </c>
      <c r="B517" s="1" t="n">
        <v>45497</v>
      </c>
      <c r="C517" s="1" t="n">
        <v>45969</v>
      </c>
      <c r="D517" t="inlineStr">
        <is>
          <t>DALARNAS LÄN</t>
        </is>
      </c>
      <c r="E517" t="inlineStr">
        <is>
          <t>MORA</t>
        </is>
      </c>
      <c r="G517" t="n">
        <v>2.2</v>
      </c>
      <c r="H517" t="n">
        <v>0</v>
      </c>
      <c r="I517" t="n">
        <v>0</v>
      </c>
      <c r="J517" t="n">
        <v>0</v>
      </c>
      <c r="K517" t="n">
        <v>0</v>
      </c>
      <c r="L517" t="n">
        <v>0</v>
      </c>
      <c r="M517" t="n">
        <v>0</v>
      </c>
      <c r="N517" t="n">
        <v>0</v>
      </c>
      <c r="O517" t="n">
        <v>0</v>
      </c>
      <c r="P517" t="n">
        <v>0</v>
      </c>
      <c r="Q517" t="n">
        <v>0</v>
      </c>
      <c r="R517" s="2" t="inlineStr"/>
    </row>
    <row r="518" ht="15" customHeight="1">
      <c r="A518" t="inlineStr">
        <is>
          <t>A 26546-2025</t>
        </is>
      </c>
      <c r="B518" s="1" t="n">
        <v>45807</v>
      </c>
      <c r="C518" s="1" t="n">
        <v>45969</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26573-2025</t>
        </is>
      </c>
      <c r="B519" s="1" t="n">
        <v>45807</v>
      </c>
      <c r="C519" s="1" t="n">
        <v>45969</v>
      </c>
      <c r="D519" t="inlineStr">
        <is>
          <t>DALARNAS LÄN</t>
        </is>
      </c>
      <c r="E519" t="inlineStr">
        <is>
          <t>MORA</t>
        </is>
      </c>
      <c r="G519" t="n">
        <v>4.3</v>
      </c>
      <c r="H519" t="n">
        <v>0</v>
      </c>
      <c r="I519" t="n">
        <v>0</v>
      </c>
      <c r="J519" t="n">
        <v>0</v>
      </c>
      <c r="K519" t="n">
        <v>0</v>
      </c>
      <c r="L519" t="n">
        <v>0</v>
      </c>
      <c r="M519" t="n">
        <v>0</v>
      </c>
      <c r="N519" t="n">
        <v>0</v>
      </c>
      <c r="O519" t="n">
        <v>0</v>
      </c>
      <c r="P519" t="n">
        <v>0</v>
      </c>
      <c r="Q519" t="n">
        <v>0</v>
      </c>
      <c r="R519" s="2" t="inlineStr"/>
    </row>
    <row r="520" ht="15" customHeight="1">
      <c r="A520" t="inlineStr">
        <is>
          <t>A 42813-2025</t>
        </is>
      </c>
      <c r="B520" s="1" t="n">
        <v>45908.56168981481</v>
      </c>
      <c r="C520" s="1" t="n">
        <v>45969</v>
      </c>
      <c r="D520" t="inlineStr">
        <is>
          <t>DALARNAS LÄN</t>
        </is>
      </c>
      <c r="E520" t="inlineStr">
        <is>
          <t>MORA</t>
        </is>
      </c>
      <c r="G520" t="n">
        <v>4.3</v>
      </c>
      <c r="H520" t="n">
        <v>0</v>
      </c>
      <c r="I520" t="n">
        <v>0</v>
      </c>
      <c r="J520" t="n">
        <v>0</v>
      </c>
      <c r="K520" t="n">
        <v>0</v>
      </c>
      <c r="L520" t="n">
        <v>0</v>
      </c>
      <c r="M520" t="n">
        <v>0</v>
      </c>
      <c r="N520" t="n">
        <v>0</v>
      </c>
      <c r="O520" t="n">
        <v>0</v>
      </c>
      <c r="P520" t="n">
        <v>0</v>
      </c>
      <c r="Q520" t="n">
        <v>0</v>
      </c>
      <c r="R520" s="2" t="inlineStr"/>
    </row>
    <row r="521" ht="15" customHeight="1">
      <c r="A521" t="inlineStr">
        <is>
          <t>A 26532-2025</t>
        </is>
      </c>
      <c r="B521" s="1" t="n">
        <v>45807</v>
      </c>
      <c r="C521" s="1" t="n">
        <v>45969</v>
      </c>
      <c r="D521" t="inlineStr">
        <is>
          <t>DALARNAS LÄN</t>
        </is>
      </c>
      <c r="E521" t="inlineStr">
        <is>
          <t>MORA</t>
        </is>
      </c>
      <c r="G521" t="n">
        <v>4.4</v>
      </c>
      <c r="H521" t="n">
        <v>0</v>
      </c>
      <c r="I521" t="n">
        <v>0</v>
      </c>
      <c r="J521" t="n">
        <v>0</v>
      </c>
      <c r="K521" t="n">
        <v>0</v>
      </c>
      <c r="L521" t="n">
        <v>0</v>
      </c>
      <c r="M521" t="n">
        <v>0</v>
      </c>
      <c r="N521" t="n">
        <v>0</v>
      </c>
      <c r="O521" t="n">
        <v>0</v>
      </c>
      <c r="P521" t="n">
        <v>0</v>
      </c>
      <c r="Q521" t="n">
        <v>0</v>
      </c>
      <c r="R521" s="2" t="inlineStr"/>
    </row>
    <row r="522" ht="15" customHeight="1">
      <c r="A522" t="inlineStr">
        <is>
          <t>A 26545-2025</t>
        </is>
      </c>
      <c r="B522" s="1" t="n">
        <v>45807</v>
      </c>
      <c r="C522" s="1" t="n">
        <v>45969</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20885-2024</t>
        </is>
      </c>
      <c r="B523" s="1" t="n">
        <v>45439.45527777778</v>
      </c>
      <c r="C523" s="1" t="n">
        <v>45969</v>
      </c>
      <c r="D523" t="inlineStr">
        <is>
          <t>DALARNAS LÄN</t>
        </is>
      </c>
      <c r="E523" t="inlineStr">
        <is>
          <t>MORA</t>
        </is>
      </c>
      <c r="G523" t="n">
        <v>5</v>
      </c>
      <c r="H523" t="n">
        <v>0</v>
      </c>
      <c r="I523" t="n">
        <v>0</v>
      </c>
      <c r="J523" t="n">
        <v>0</v>
      </c>
      <c r="K523" t="n">
        <v>0</v>
      </c>
      <c r="L523" t="n">
        <v>0</v>
      </c>
      <c r="M523" t="n">
        <v>0</v>
      </c>
      <c r="N523" t="n">
        <v>0</v>
      </c>
      <c r="O523" t="n">
        <v>0</v>
      </c>
      <c r="P523" t="n">
        <v>0</v>
      </c>
      <c r="Q523" t="n">
        <v>0</v>
      </c>
      <c r="R523" s="2" t="inlineStr"/>
    </row>
    <row r="524" ht="15" customHeight="1">
      <c r="A524" t="inlineStr">
        <is>
          <t>A 26630-2025</t>
        </is>
      </c>
      <c r="B524" s="1" t="n">
        <v>45809</v>
      </c>
      <c r="C524" s="1" t="n">
        <v>45969</v>
      </c>
      <c r="D524" t="inlineStr">
        <is>
          <t>DALARNAS LÄN</t>
        </is>
      </c>
      <c r="E524" t="inlineStr">
        <is>
          <t>MORA</t>
        </is>
      </c>
      <c r="G524" t="n">
        <v>32.1</v>
      </c>
      <c r="H524" t="n">
        <v>0</v>
      </c>
      <c r="I524" t="n">
        <v>0</v>
      </c>
      <c r="J524" t="n">
        <v>0</v>
      </c>
      <c r="K524" t="n">
        <v>0</v>
      </c>
      <c r="L524" t="n">
        <v>0</v>
      </c>
      <c r="M524" t="n">
        <v>0</v>
      </c>
      <c r="N524" t="n">
        <v>0</v>
      </c>
      <c r="O524" t="n">
        <v>0</v>
      </c>
      <c r="P524" t="n">
        <v>0</v>
      </c>
      <c r="Q524" t="n">
        <v>0</v>
      </c>
      <c r="R524" s="2" t="inlineStr"/>
    </row>
    <row r="525" ht="15" customHeight="1">
      <c r="A525" t="inlineStr">
        <is>
          <t>A 26577-2025</t>
        </is>
      </c>
      <c r="B525" s="1" t="n">
        <v>45807</v>
      </c>
      <c r="C525" s="1" t="n">
        <v>45969</v>
      </c>
      <c r="D525" t="inlineStr">
        <is>
          <t>DALARNAS LÄN</t>
        </is>
      </c>
      <c r="E525" t="inlineStr">
        <is>
          <t>MORA</t>
        </is>
      </c>
      <c r="G525" t="n">
        <v>2.8</v>
      </c>
      <c r="H525" t="n">
        <v>0</v>
      </c>
      <c r="I525" t="n">
        <v>0</v>
      </c>
      <c r="J525" t="n">
        <v>0</v>
      </c>
      <c r="K525" t="n">
        <v>0</v>
      </c>
      <c r="L525" t="n">
        <v>0</v>
      </c>
      <c r="M525" t="n">
        <v>0</v>
      </c>
      <c r="N525" t="n">
        <v>0</v>
      </c>
      <c r="O525" t="n">
        <v>0</v>
      </c>
      <c r="P525" t="n">
        <v>0</v>
      </c>
      <c r="Q525" t="n">
        <v>0</v>
      </c>
      <c r="R525" s="2" t="inlineStr"/>
    </row>
    <row r="526" ht="15" customHeight="1">
      <c r="A526" t="inlineStr">
        <is>
          <t>A 26854-2025</t>
        </is>
      </c>
      <c r="B526" s="1" t="n">
        <v>45810.67462962963</v>
      </c>
      <c r="C526" s="1" t="n">
        <v>45969</v>
      </c>
      <c r="D526" t="inlineStr">
        <is>
          <t>DALARNAS LÄN</t>
        </is>
      </c>
      <c r="E526" t="inlineStr">
        <is>
          <t>MORA</t>
        </is>
      </c>
      <c r="G526" t="n">
        <v>4.4</v>
      </c>
      <c r="H526" t="n">
        <v>0</v>
      </c>
      <c r="I526" t="n">
        <v>0</v>
      </c>
      <c r="J526" t="n">
        <v>0</v>
      </c>
      <c r="K526" t="n">
        <v>0</v>
      </c>
      <c r="L526" t="n">
        <v>0</v>
      </c>
      <c r="M526" t="n">
        <v>0</v>
      </c>
      <c r="N526" t="n">
        <v>0</v>
      </c>
      <c r="O526" t="n">
        <v>0</v>
      </c>
      <c r="P526" t="n">
        <v>0</v>
      </c>
      <c r="Q526" t="n">
        <v>0</v>
      </c>
      <c r="R526" s="2" t="inlineStr"/>
    </row>
    <row r="527" ht="15" customHeight="1">
      <c r="A527" t="inlineStr">
        <is>
          <t>A 42035-2022</t>
        </is>
      </c>
      <c r="B527" s="1" t="n">
        <v>44830</v>
      </c>
      <c r="C527" s="1" t="n">
        <v>45969</v>
      </c>
      <c r="D527" t="inlineStr">
        <is>
          <t>DALARNAS LÄN</t>
        </is>
      </c>
      <c r="E527" t="inlineStr">
        <is>
          <t>MORA</t>
        </is>
      </c>
      <c r="G527" t="n">
        <v>2.7</v>
      </c>
      <c r="H527" t="n">
        <v>0</v>
      </c>
      <c r="I527" t="n">
        <v>0</v>
      </c>
      <c r="J527" t="n">
        <v>0</v>
      </c>
      <c r="K527" t="n">
        <v>0</v>
      </c>
      <c r="L527" t="n">
        <v>0</v>
      </c>
      <c r="M527" t="n">
        <v>0</v>
      </c>
      <c r="N527" t="n">
        <v>0</v>
      </c>
      <c r="O527" t="n">
        <v>0</v>
      </c>
      <c r="P527" t="n">
        <v>0</v>
      </c>
      <c r="Q527" t="n">
        <v>0</v>
      </c>
      <c r="R527" s="2" t="inlineStr"/>
    </row>
    <row r="528" ht="15" customHeight="1">
      <c r="A528" t="inlineStr">
        <is>
          <t>A 26731-2025</t>
        </is>
      </c>
      <c r="B528" s="1" t="n">
        <v>45810.50702546296</v>
      </c>
      <c r="C528" s="1" t="n">
        <v>45969</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26711-2025</t>
        </is>
      </c>
      <c r="B529" s="1" t="n">
        <v>45810.46144675926</v>
      </c>
      <c r="C529" s="1" t="n">
        <v>45969</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42830-2025</t>
        </is>
      </c>
      <c r="B530" s="1" t="n">
        <v>45908.57753472222</v>
      </c>
      <c r="C530" s="1" t="n">
        <v>45969</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42947-2025</t>
        </is>
      </c>
      <c r="B531" s="1" t="n">
        <v>45909.34799768519</v>
      </c>
      <c r="C531" s="1" t="n">
        <v>45969</v>
      </c>
      <c r="D531" t="inlineStr">
        <is>
          <t>DALARNAS LÄN</t>
        </is>
      </c>
      <c r="E531" t="inlineStr">
        <is>
          <t>MORA</t>
        </is>
      </c>
      <c r="F531" t="inlineStr">
        <is>
          <t>Allmännings- och besparingsskogar</t>
        </is>
      </c>
      <c r="G531" t="n">
        <v>6.2</v>
      </c>
      <c r="H531" t="n">
        <v>0</v>
      </c>
      <c r="I531" t="n">
        <v>0</v>
      </c>
      <c r="J531" t="n">
        <v>0</v>
      </c>
      <c r="K531" t="n">
        <v>0</v>
      </c>
      <c r="L531" t="n">
        <v>0</v>
      </c>
      <c r="M531" t="n">
        <v>0</v>
      </c>
      <c r="N531" t="n">
        <v>0</v>
      </c>
      <c r="O531" t="n">
        <v>0</v>
      </c>
      <c r="P531" t="n">
        <v>0</v>
      </c>
      <c r="Q531" t="n">
        <v>0</v>
      </c>
      <c r="R531" s="2" t="inlineStr"/>
    </row>
    <row r="532" ht="15" customHeight="1">
      <c r="A532" t="inlineStr">
        <is>
          <t>A 42954-2025</t>
        </is>
      </c>
      <c r="B532" s="1" t="n">
        <v>45909.3578125</v>
      </c>
      <c r="C532" s="1" t="n">
        <v>45969</v>
      </c>
      <c r="D532" t="inlineStr">
        <is>
          <t>DALARNAS LÄN</t>
        </is>
      </c>
      <c r="E532" t="inlineStr">
        <is>
          <t>MORA</t>
        </is>
      </c>
      <c r="G532" t="n">
        <v>2.5</v>
      </c>
      <c r="H532" t="n">
        <v>0</v>
      </c>
      <c r="I532" t="n">
        <v>0</v>
      </c>
      <c r="J532" t="n">
        <v>0</v>
      </c>
      <c r="K532" t="n">
        <v>0</v>
      </c>
      <c r="L532" t="n">
        <v>0</v>
      </c>
      <c r="M532" t="n">
        <v>0</v>
      </c>
      <c r="N532" t="n">
        <v>0</v>
      </c>
      <c r="O532" t="n">
        <v>0</v>
      </c>
      <c r="P532" t="n">
        <v>0</v>
      </c>
      <c r="Q532" t="n">
        <v>0</v>
      </c>
      <c r="R532" s="2" t="inlineStr"/>
    </row>
    <row r="533" ht="15" customHeight="1">
      <c r="A533" t="inlineStr">
        <is>
          <t>A 42960-2025</t>
        </is>
      </c>
      <c r="B533" s="1" t="n">
        <v>45909.36631944445</v>
      </c>
      <c r="C533" s="1" t="n">
        <v>45969</v>
      </c>
      <c r="D533" t="inlineStr">
        <is>
          <t>DALARNAS LÄN</t>
        </is>
      </c>
      <c r="E533" t="inlineStr">
        <is>
          <t>MORA</t>
        </is>
      </c>
      <c r="G533" t="n">
        <v>0.7</v>
      </c>
      <c r="H533" t="n">
        <v>0</v>
      </c>
      <c r="I533" t="n">
        <v>0</v>
      </c>
      <c r="J533" t="n">
        <v>0</v>
      </c>
      <c r="K533" t="n">
        <v>0</v>
      </c>
      <c r="L533" t="n">
        <v>0</v>
      </c>
      <c r="M533" t="n">
        <v>0</v>
      </c>
      <c r="N533" t="n">
        <v>0</v>
      </c>
      <c r="O533" t="n">
        <v>0</v>
      </c>
      <c r="P533" t="n">
        <v>0</v>
      </c>
      <c r="Q533" t="n">
        <v>0</v>
      </c>
      <c r="R533" s="2" t="inlineStr"/>
    </row>
    <row r="534" ht="15" customHeight="1">
      <c r="A534" t="inlineStr">
        <is>
          <t>A 51771-2025</t>
        </is>
      </c>
      <c r="B534" s="1" t="n">
        <v>45951.64653935185</v>
      </c>
      <c r="C534" s="1" t="n">
        <v>45969</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5980-2025</t>
        </is>
      </c>
      <c r="B535" s="1" t="n">
        <v>45695.54651620371</v>
      </c>
      <c r="C535" s="1" t="n">
        <v>45969</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52110-2025</t>
        </is>
      </c>
      <c r="B536" s="1" t="n">
        <v>45952.69306712963</v>
      </c>
      <c r="C536" s="1" t="n">
        <v>45969</v>
      </c>
      <c r="D536" t="inlineStr">
        <is>
          <t>DALARNAS LÄN</t>
        </is>
      </c>
      <c r="E536" t="inlineStr">
        <is>
          <t>MORA</t>
        </is>
      </c>
      <c r="G536" t="n">
        <v>2.2</v>
      </c>
      <c r="H536" t="n">
        <v>0</v>
      </c>
      <c r="I536" t="n">
        <v>0</v>
      </c>
      <c r="J536" t="n">
        <v>0</v>
      </c>
      <c r="K536" t="n">
        <v>0</v>
      </c>
      <c r="L536" t="n">
        <v>0</v>
      </c>
      <c r="M536" t="n">
        <v>0</v>
      </c>
      <c r="N536" t="n">
        <v>0</v>
      </c>
      <c r="O536" t="n">
        <v>0</v>
      </c>
      <c r="P536" t="n">
        <v>0</v>
      </c>
      <c r="Q536" t="n">
        <v>0</v>
      </c>
      <c r="R536" s="2" t="inlineStr"/>
    </row>
    <row r="537" ht="15" customHeight="1">
      <c r="A537" t="inlineStr">
        <is>
          <t>A 9599-2022</t>
        </is>
      </c>
      <c r="B537" s="1" t="n">
        <v>44617.48909722222</v>
      </c>
      <c r="C537" s="1" t="n">
        <v>45969</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27177-2025</t>
        </is>
      </c>
      <c r="B538" s="1" t="n">
        <v>45812.3533912037</v>
      </c>
      <c r="C538" s="1" t="n">
        <v>45969</v>
      </c>
      <c r="D538" t="inlineStr">
        <is>
          <t>DALARNAS LÄN</t>
        </is>
      </c>
      <c r="E538" t="inlineStr">
        <is>
          <t>MORA</t>
        </is>
      </c>
      <c r="F538" t="inlineStr">
        <is>
          <t>Bergvik skog öst AB</t>
        </is>
      </c>
      <c r="G538" t="n">
        <v>2.5</v>
      </c>
      <c r="H538" t="n">
        <v>0</v>
      </c>
      <c r="I538" t="n">
        <v>0</v>
      </c>
      <c r="J538" t="n">
        <v>0</v>
      </c>
      <c r="K538" t="n">
        <v>0</v>
      </c>
      <c r="L538" t="n">
        <v>0</v>
      </c>
      <c r="M538" t="n">
        <v>0</v>
      </c>
      <c r="N538" t="n">
        <v>0</v>
      </c>
      <c r="O538" t="n">
        <v>0</v>
      </c>
      <c r="P538" t="n">
        <v>0</v>
      </c>
      <c r="Q538" t="n">
        <v>0</v>
      </c>
      <c r="R538" s="2" t="inlineStr"/>
    </row>
    <row r="539" ht="15" customHeight="1">
      <c r="A539" t="inlineStr">
        <is>
          <t>A 27194-2025</t>
        </is>
      </c>
      <c r="B539" s="1" t="n">
        <v>45812.37965277778</v>
      </c>
      <c r="C539" s="1" t="n">
        <v>45969</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51883-2024</t>
        </is>
      </c>
      <c r="B540" s="1" t="n">
        <v>45607</v>
      </c>
      <c r="C540" s="1" t="n">
        <v>45969</v>
      </c>
      <c r="D540" t="inlineStr">
        <is>
          <t>DALARNAS LÄN</t>
        </is>
      </c>
      <c r="E540" t="inlineStr">
        <is>
          <t>MORA</t>
        </is>
      </c>
      <c r="G540" t="n">
        <v>0.2</v>
      </c>
      <c r="H540" t="n">
        <v>0</v>
      </c>
      <c r="I540" t="n">
        <v>0</v>
      </c>
      <c r="J540" t="n">
        <v>0</v>
      </c>
      <c r="K540" t="n">
        <v>0</v>
      </c>
      <c r="L540" t="n">
        <v>0</v>
      </c>
      <c r="M540" t="n">
        <v>0</v>
      </c>
      <c r="N540" t="n">
        <v>0</v>
      </c>
      <c r="O540" t="n">
        <v>0</v>
      </c>
      <c r="P540" t="n">
        <v>0</v>
      </c>
      <c r="Q540" t="n">
        <v>0</v>
      </c>
      <c r="R540" s="2" t="inlineStr"/>
    </row>
    <row r="541" ht="15" customHeight="1">
      <c r="A541" t="inlineStr">
        <is>
          <t>A 14611-2025</t>
        </is>
      </c>
      <c r="B541" s="1" t="n">
        <v>45742.38511574074</v>
      </c>
      <c r="C541" s="1" t="n">
        <v>45969</v>
      </c>
      <c r="D541" t="inlineStr">
        <is>
          <t>DALARNAS LÄN</t>
        </is>
      </c>
      <c r="E541" t="inlineStr">
        <is>
          <t>MORA</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43153-2025</t>
        </is>
      </c>
      <c r="B542" s="1" t="n">
        <v>45910.34449074074</v>
      </c>
      <c r="C542" s="1" t="n">
        <v>45969</v>
      </c>
      <c r="D542" t="inlineStr">
        <is>
          <t>DALARNAS LÄN</t>
        </is>
      </c>
      <c r="E542" t="inlineStr">
        <is>
          <t>MORA</t>
        </is>
      </c>
      <c r="G542" t="n">
        <v>3.9</v>
      </c>
      <c r="H542" t="n">
        <v>0</v>
      </c>
      <c r="I542" t="n">
        <v>0</v>
      </c>
      <c r="J542" t="n">
        <v>0</v>
      </c>
      <c r="K542" t="n">
        <v>0</v>
      </c>
      <c r="L542" t="n">
        <v>0</v>
      </c>
      <c r="M542" t="n">
        <v>0</v>
      </c>
      <c r="N542" t="n">
        <v>0</v>
      </c>
      <c r="O542" t="n">
        <v>0</v>
      </c>
      <c r="P542" t="n">
        <v>0</v>
      </c>
      <c r="Q542" t="n">
        <v>0</v>
      </c>
      <c r="R542" s="2" t="inlineStr"/>
    </row>
    <row r="543" ht="15" customHeight="1">
      <c r="A543" t="inlineStr">
        <is>
          <t>A 51888-2024</t>
        </is>
      </c>
      <c r="B543" s="1" t="n">
        <v>45607.57142361111</v>
      </c>
      <c r="C543" s="1" t="n">
        <v>45969</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43157-2025</t>
        </is>
      </c>
      <c r="B544" s="1" t="n">
        <v>45910.34953703704</v>
      </c>
      <c r="C544" s="1" t="n">
        <v>45969</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27175-2025</t>
        </is>
      </c>
      <c r="B545" s="1" t="n">
        <v>45812.35072916667</v>
      </c>
      <c r="C545" s="1" t="n">
        <v>45969</v>
      </c>
      <c r="D545" t="inlineStr">
        <is>
          <t>DALARNAS LÄN</t>
        </is>
      </c>
      <c r="E545" t="inlineStr">
        <is>
          <t>MORA</t>
        </is>
      </c>
      <c r="F545" t="inlineStr">
        <is>
          <t>Bergvik skog öst AB</t>
        </is>
      </c>
      <c r="G545" t="n">
        <v>4</v>
      </c>
      <c r="H545" t="n">
        <v>0</v>
      </c>
      <c r="I545" t="n">
        <v>0</v>
      </c>
      <c r="J545" t="n">
        <v>0</v>
      </c>
      <c r="K545" t="n">
        <v>0</v>
      </c>
      <c r="L545" t="n">
        <v>0</v>
      </c>
      <c r="M545" t="n">
        <v>0</v>
      </c>
      <c r="N545" t="n">
        <v>0</v>
      </c>
      <c r="O545" t="n">
        <v>0</v>
      </c>
      <c r="P545" t="n">
        <v>0</v>
      </c>
      <c r="Q545" t="n">
        <v>0</v>
      </c>
      <c r="R545" s="2" t="inlineStr"/>
    </row>
    <row r="546" ht="15" customHeight="1">
      <c r="A546" t="inlineStr">
        <is>
          <t>A 7565-2025</t>
        </is>
      </c>
      <c r="B546" s="1" t="n">
        <v>45705.59269675926</v>
      </c>
      <c r="C546" s="1" t="n">
        <v>45969</v>
      </c>
      <c r="D546" t="inlineStr">
        <is>
          <t>DALARNAS LÄN</t>
        </is>
      </c>
      <c r="E546" t="inlineStr">
        <is>
          <t>MORA</t>
        </is>
      </c>
      <c r="G546" t="n">
        <v>3</v>
      </c>
      <c r="H546" t="n">
        <v>0</v>
      </c>
      <c r="I546" t="n">
        <v>0</v>
      </c>
      <c r="J546" t="n">
        <v>0</v>
      </c>
      <c r="K546" t="n">
        <v>0</v>
      </c>
      <c r="L546" t="n">
        <v>0</v>
      </c>
      <c r="M546" t="n">
        <v>0</v>
      </c>
      <c r="N546" t="n">
        <v>0</v>
      </c>
      <c r="O546" t="n">
        <v>0</v>
      </c>
      <c r="P546" t="n">
        <v>0</v>
      </c>
      <c r="Q546" t="n">
        <v>0</v>
      </c>
      <c r="R546" s="2" t="inlineStr"/>
    </row>
    <row r="547" ht="15" customHeight="1">
      <c r="A547" t="inlineStr">
        <is>
          <t>A 27184-2025</t>
        </is>
      </c>
      <c r="B547" s="1" t="n">
        <v>45812.36133101852</v>
      </c>
      <c r="C547" s="1" t="n">
        <v>45969</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17268-2025</t>
        </is>
      </c>
      <c r="B548" s="1" t="n">
        <v>45756</v>
      </c>
      <c r="C548" s="1" t="n">
        <v>45969</v>
      </c>
      <c r="D548" t="inlineStr">
        <is>
          <t>DALARNAS LÄN</t>
        </is>
      </c>
      <c r="E548" t="inlineStr">
        <is>
          <t>MORA</t>
        </is>
      </c>
      <c r="G548" t="n">
        <v>6.8</v>
      </c>
      <c r="H548" t="n">
        <v>0</v>
      </c>
      <c r="I548" t="n">
        <v>0</v>
      </c>
      <c r="J548" t="n">
        <v>0</v>
      </c>
      <c r="K548" t="n">
        <v>0</v>
      </c>
      <c r="L548" t="n">
        <v>0</v>
      </c>
      <c r="M548" t="n">
        <v>0</v>
      </c>
      <c r="N548" t="n">
        <v>0</v>
      </c>
      <c r="O548" t="n">
        <v>0</v>
      </c>
      <c r="P548" t="n">
        <v>0</v>
      </c>
      <c r="Q548" t="n">
        <v>0</v>
      </c>
      <c r="R548" s="2" t="inlineStr"/>
    </row>
    <row r="549" ht="15" customHeight="1">
      <c r="A549" t="inlineStr">
        <is>
          <t>A 43474-2025</t>
        </is>
      </c>
      <c r="B549" s="1" t="n">
        <v>45911.48967592593</v>
      </c>
      <c r="C549" s="1" t="n">
        <v>45969</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27642-2025</t>
        </is>
      </c>
      <c r="B550" s="1" t="n">
        <v>45813.59405092592</v>
      </c>
      <c r="C550" s="1" t="n">
        <v>45969</v>
      </c>
      <c r="D550" t="inlineStr">
        <is>
          <t>DALARNAS LÄN</t>
        </is>
      </c>
      <c r="E550" t="inlineStr">
        <is>
          <t>MORA</t>
        </is>
      </c>
      <c r="G550" t="n">
        <v>2.5</v>
      </c>
      <c r="H550" t="n">
        <v>0</v>
      </c>
      <c r="I550" t="n">
        <v>0</v>
      </c>
      <c r="J550" t="n">
        <v>0</v>
      </c>
      <c r="K550" t="n">
        <v>0</v>
      </c>
      <c r="L550" t="n">
        <v>0</v>
      </c>
      <c r="M550" t="n">
        <v>0</v>
      </c>
      <c r="N550" t="n">
        <v>0</v>
      </c>
      <c r="O550" t="n">
        <v>0</v>
      </c>
      <c r="P550" t="n">
        <v>0</v>
      </c>
      <c r="Q550" t="n">
        <v>0</v>
      </c>
      <c r="R550" s="2" t="inlineStr"/>
    </row>
    <row r="551" ht="15" customHeight="1">
      <c r="A551" t="inlineStr">
        <is>
          <t>A 38627-2023</t>
        </is>
      </c>
      <c r="B551" s="1" t="n">
        <v>45162.68787037037</v>
      </c>
      <c r="C551" s="1" t="n">
        <v>45969</v>
      </c>
      <c r="D551" t="inlineStr">
        <is>
          <t>DALARNAS LÄN</t>
        </is>
      </c>
      <c r="E551" t="inlineStr">
        <is>
          <t>MORA</t>
        </is>
      </c>
      <c r="G551" t="n">
        <v>6.5</v>
      </c>
      <c r="H551" t="n">
        <v>0</v>
      </c>
      <c r="I551" t="n">
        <v>0</v>
      </c>
      <c r="J551" t="n">
        <v>0</v>
      </c>
      <c r="K551" t="n">
        <v>0</v>
      </c>
      <c r="L551" t="n">
        <v>0</v>
      </c>
      <c r="M551" t="n">
        <v>0</v>
      </c>
      <c r="N551" t="n">
        <v>0</v>
      </c>
      <c r="O551" t="n">
        <v>0</v>
      </c>
      <c r="P551" t="n">
        <v>0</v>
      </c>
      <c r="Q551" t="n">
        <v>0</v>
      </c>
      <c r="R551" s="2" t="inlineStr"/>
    </row>
    <row r="552" ht="15" customHeight="1">
      <c r="A552" t="inlineStr">
        <is>
          <t>A 16637-2025</t>
        </is>
      </c>
      <c r="B552" s="1" t="n">
        <v>45754.36738425926</v>
      </c>
      <c r="C552" s="1" t="n">
        <v>45969</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48570-2022</t>
        </is>
      </c>
      <c r="B553" s="1" t="n">
        <v>44859</v>
      </c>
      <c r="C553" s="1" t="n">
        <v>45969</v>
      </c>
      <c r="D553" t="inlineStr">
        <is>
          <t>DALARNAS LÄN</t>
        </is>
      </c>
      <c r="E553" t="inlineStr">
        <is>
          <t>MORA</t>
        </is>
      </c>
      <c r="G553" t="n">
        <v>6.2</v>
      </c>
      <c r="H553" t="n">
        <v>0</v>
      </c>
      <c r="I553" t="n">
        <v>0</v>
      </c>
      <c r="J553" t="n">
        <v>0</v>
      </c>
      <c r="K553" t="n">
        <v>0</v>
      </c>
      <c r="L553" t="n">
        <v>0</v>
      </c>
      <c r="M553" t="n">
        <v>0</v>
      </c>
      <c r="N553" t="n">
        <v>0</v>
      </c>
      <c r="O553" t="n">
        <v>0</v>
      </c>
      <c r="P553" t="n">
        <v>0</v>
      </c>
      <c r="Q553" t="n">
        <v>0</v>
      </c>
      <c r="R553" s="2" t="inlineStr"/>
    </row>
    <row r="554" ht="15" customHeight="1">
      <c r="A554" t="inlineStr">
        <is>
          <t>A 49991-2023</t>
        </is>
      </c>
      <c r="B554" s="1" t="n">
        <v>45215.43879629629</v>
      </c>
      <c r="C554" s="1" t="n">
        <v>45969</v>
      </c>
      <c r="D554" t="inlineStr">
        <is>
          <t>DALARNAS LÄN</t>
        </is>
      </c>
      <c r="E554" t="inlineStr">
        <is>
          <t>MORA</t>
        </is>
      </c>
      <c r="G554" t="n">
        <v>1.8</v>
      </c>
      <c r="H554" t="n">
        <v>0</v>
      </c>
      <c r="I554" t="n">
        <v>0</v>
      </c>
      <c r="J554" t="n">
        <v>0</v>
      </c>
      <c r="K554" t="n">
        <v>0</v>
      </c>
      <c r="L554" t="n">
        <v>0</v>
      </c>
      <c r="M554" t="n">
        <v>0</v>
      </c>
      <c r="N554" t="n">
        <v>0</v>
      </c>
      <c r="O554" t="n">
        <v>0</v>
      </c>
      <c r="P554" t="n">
        <v>0</v>
      </c>
      <c r="Q554" t="n">
        <v>0</v>
      </c>
      <c r="R554" s="2" t="inlineStr"/>
    </row>
    <row r="555" ht="15" customHeight="1">
      <c r="A555" t="inlineStr">
        <is>
          <t>A 62268-2020</t>
        </is>
      </c>
      <c r="B555" s="1" t="n">
        <v>44160</v>
      </c>
      <c r="C555" s="1" t="n">
        <v>45969</v>
      </c>
      <c r="D555" t="inlineStr">
        <is>
          <t>DALARNAS LÄN</t>
        </is>
      </c>
      <c r="E555" t="inlineStr">
        <is>
          <t>MORA</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28033-2025</t>
        </is>
      </c>
      <c r="B556" s="1" t="n">
        <v>45817.6325462963</v>
      </c>
      <c r="C556" s="1" t="n">
        <v>45969</v>
      </c>
      <c r="D556" t="inlineStr">
        <is>
          <t>DALARNAS LÄN</t>
        </is>
      </c>
      <c r="E556" t="inlineStr">
        <is>
          <t>MORA</t>
        </is>
      </c>
      <c r="F556" t="inlineStr">
        <is>
          <t>Bergvik skog öst AB</t>
        </is>
      </c>
      <c r="G556" t="n">
        <v>12.8</v>
      </c>
      <c r="H556" t="n">
        <v>0</v>
      </c>
      <c r="I556" t="n">
        <v>0</v>
      </c>
      <c r="J556" t="n">
        <v>0</v>
      </c>
      <c r="K556" t="n">
        <v>0</v>
      </c>
      <c r="L556" t="n">
        <v>0</v>
      </c>
      <c r="M556" t="n">
        <v>0</v>
      </c>
      <c r="N556" t="n">
        <v>0</v>
      </c>
      <c r="O556" t="n">
        <v>0</v>
      </c>
      <c r="P556" t="n">
        <v>0</v>
      </c>
      <c r="Q556" t="n">
        <v>0</v>
      </c>
      <c r="R556" s="2" t="inlineStr"/>
    </row>
    <row r="557" ht="15" customHeight="1">
      <c r="A557" t="inlineStr">
        <is>
          <t>A 20401-2022</t>
        </is>
      </c>
      <c r="B557" s="1" t="n">
        <v>44699</v>
      </c>
      <c r="C557" s="1" t="n">
        <v>45969</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18120-2025</t>
        </is>
      </c>
      <c r="B558" s="1" t="n">
        <v>45761</v>
      </c>
      <c r="C558" s="1" t="n">
        <v>45969</v>
      </c>
      <c r="D558" t="inlineStr">
        <is>
          <t>DALARNAS LÄN</t>
        </is>
      </c>
      <c r="E558" t="inlineStr">
        <is>
          <t>MORA</t>
        </is>
      </c>
      <c r="F558" t="inlineStr">
        <is>
          <t>Bergvik skog väst AB</t>
        </is>
      </c>
      <c r="G558" t="n">
        <v>6.4</v>
      </c>
      <c r="H558" t="n">
        <v>0</v>
      </c>
      <c r="I558" t="n">
        <v>0</v>
      </c>
      <c r="J558" t="n">
        <v>0</v>
      </c>
      <c r="K558" t="n">
        <v>0</v>
      </c>
      <c r="L558" t="n">
        <v>0</v>
      </c>
      <c r="M558" t="n">
        <v>0</v>
      </c>
      <c r="N558" t="n">
        <v>0</v>
      </c>
      <c r="O558" t="n">
        <v>0</v>
      </c>
      <c r="P558" t="n">
        <v>0</v>
      </c>
      <c r="Q558" t="n">
        <v>0</v>
      </c>
      <c r="R558" s="2" t="inlineStr"/>
    </row>
    <row r="559" ht="15" customHeight="1">
      <c r="A559" t="inlineStr">
        <is>
          <t>A 18127-2025</t>
        </is>
      </c>
      <c r="B559" s="1" t="n">
        <v>45761.59523148148</v>
      </c>
      <c r="C559" s="1" t="n">
        <v>45969</v>
      </c>
      <c r="D559" t="inlineStr">
        <is>
          <t>DALARNAS LÄN</t>
        </is>
      </c>
      <c r="E559" t="inlineStr">
        <is>
          <t>MORA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45090.62493055555</v>
      </c>
      <c r="C560" s="1" t="n">
        <v>45969</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20544-2025</t>
        </is>
      </c>
      <c r="B561" s="1" t="n">
        <v>45775.63119212963</v>
      </c>
      <c r="C561" s="1" t="n">
        <v>45969</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43569-2025</t>
        </is>
      </c>
      <c r="B562" s="1" t="n">
        <v>45911.63363425926</v>
      </c>
      <c r="C562" s="1" t="n">
        <v>45969</v>
      </c>
      <c r="D562" t="inlineStr">
        <is>
          <t>DALARNAS LÄN</t>
        </is>
      </c>
      <c r="E562" t="inlineStr">
        <is>
          <t>MORA</t>
        </is>
      </c>
      <c r="G562" t="n">
        <v>4.7</v>
      </c>
      <c r="H562" t="n">
        <v>0</v>
      </c>
      <c r="I562" t="n">
        <v>0</v>
      </c>
      <c r="J562" t="n">
        <v>0</v>
      </c>
      <c r="K562" t="n">
        <v>0</v>
      </c>
      <c r="L562" t="n">
        <v>0</v>
      </c>
      <c r="M562" t="n">
        <v>0</v>
      </c>
      <c r="N562" t="n">
        <v>0</v>
      </c>
      <c r="O562" t="n">
        <v>0</v>
      </c>
      <c r="P562" t="n">
        <v>0</v>
      </c>
      <c r="Q562" t="n">
        <v>0</v>
      </c>
      <c r="R562" s="2" t="inlineStr"/>
    </row>
    <row r="563" ht="15" customHeight="1">
      <c r="A563" t="inlineStr">
        <is>
          <t>A 36740-2023</t>
        </is>
      </c>
      <c r="B563" s="1" t="n">
        <v>45153</v>
      </c>
      <c r="C563" s="1" t="n">
        <v>45969</v>
      </c>
      <c r="D563" t="inlineStr">
        <is>
          <t>DALARNAS LÄN</t>
        </is>
      </c>
      <c r="E563" t="inlineStr">
        <is>
          <t>MORA</t>
        </is>
      </c>
      <c r="G563" t="n">
        <v>0.2</v>
      </c>
      <c r="H563" t="n">
        <v>0</v>
      </c>
      <c r="I563" t="n">
        <v>0</v>
      </c>
      <c r="J563" t="n">
        <v>0</v>
      </c>
      <c r="K563" t="n">
        <v>0</v>
      </c>
      <c r="L563" t="n">
        <v>0</v>
      </c>
      <c r="M563" t="n">
        <v>0</v>
      </c>
      <c r="N563" t="n">
        <v>0</v>
      </c>
      <c r="O563" t="n">
        <v>0</v>
      </c>
      <c r="P563" t="n">
        <v>0</v>
      </c>
      <c r="Q563" t="n">
        <v>0</v>
      </c>
      <c r="R563" s="2" t="inlineStr"/>
    </row>
    <row r="564" ht="15" customHeight="1">
      <c r="A564" t="inlineStr">
        <is>
          <t>A 28751-2025</t>
        </is>
      </c>
      <c r="B564" s="1" t="n">
        <v>45820.40034722222</v>
      </c>
      <c r="C564" s="1" t="n">
        <v>45969</v>
      </c>
      <c r="D564" t="inlineStr">
        <is>
          <t>DALARNAS LÄN</t>
        </is>
      </c>
      <c r="E564" t="inlineStr">
        <is>
          <t>MORA</t>
        </is>
      </c>
      <c r="F564" t="inlineStr">
        <is>
          <t>Bergvik skog öst AB</t>
        </is>
      </c>
      <c r="G564" t="n">
        <v>1</v>
      </c>
      <c r="H564" t="n">
        <v>0</v>
      </c>
      <c r="I564" t="n">
        <v>0</v>
      </c>
      <c r="J564" t="n">
        <v>0</v>
      </c>
      <c r="K564" t="n">
        <v>0</v>
      </c>
      <c r="L564" t="n">
        <v>0</v>
      </c>
      <c r="M564" t="n">
        <v>0</v>
      </c>
      <c r="N564" t="n">
        <v>0</v>
      </c>
      <c r="O564" t="n">
        <v>0</v>
      </c>
      <c r="P564" t="n">
        <v>0</v>
      </c>
      <c r="Q564" t="n">
        <v>0</v>
      </c>
      <c r="R564" s="2" t="inlineStr"/>
    </row>
    <row r="565" ht="15" customHeight="1">
      <c r="A565" t="inlineStr">
        <is>
          <t>A 52599-2025</t>
        </is>
      </c>
      <c r="B565" s="1" t="n">
        <v>45954.65564814815</v>
      </c>
      <c r="C565" s="1" t="n">
        <v>45969</v>
      </c>
      <c r="D565" t="inlineStr">
        <is>
          <t>DALARNAS LÄN</t>
        </is>
      </c>
      <c r="E565" t="inlineStr">
        <is>
          <t>MORA</t>
        </is>
      </c>
      <c r="G565" t="n">
        <v>10.8</v>
      </c>
      <c r="H565" t="n">
        <v>0</v>
      </c>
      <c r="I565" t="n">
        <v>0</v>
      </c>
      <c r="J565" t="n">
        <v>0</v>
      </c>
      <c r="K565" t="n">
        <v>0</v>
      </c>
      <c r="L565" t="n">
        <v>0</v>
      </c>
      <c r="M565" t="n">
        <v>0</v>
      </c>
      <c r="N565" t="n">
        <v>0</v>
      </c>
      <c r="O565" t="n">
        <v>0</v>
      </c>
      <c r="P565" t="n">
        <v>0</v>
      </c>
      <c r="Q565" t="n">
        <v>0</v>
      </c>
      <c r="R565" s="2" t="inlineStr"/>
    </row>
    <row r="566" ht="15" customHeight="1">
      <c r="A566" t="inlineStr">
        <is>
          <t>A 48342-2023</t>
        </is>
      </c>
      <c r="B566" s="1" t="n">
        <v>45205</v>
      </c>
      <c r="C566" s="1" t="n">
        <v>45969</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28925-2025</t>
        </is>
      </c>
      <c r="B567" s="1" t="n">
        <v>45820.67107638889</v>
      </c>
      <c r="C567" s="1" t="n">
        <v>45969</v>
      </c>
      <c r="D567" t="inlineStr">
        <is>
          <t>DALARNAS LÄN</t>
        </is>
      </c>
      <c r="E567" t="inlineStr">
        <is>
          <t>MORA</t>
        </is>
      </c>
      <c r="G567" t="n">
        <v>3.7</v>
      </c>
      <c r="H567" t="n">
        <v>0</v>
      </c>
      <c r="I567" t="n">
        <v>0</v>
      </c>
      <c r="J567" t="n">
        <v>0</v>
      </c>
      <c r="K567" t="n">
        <v>0</v>
      </c>
      <c r="L567" t="n">
        <v>0</v>
      </c>
      <c r="M567" t="n">
        <v>0</v>
      </c>
      <c r="N567" t="n">
        <v>0</v>
      </c>
      <c r="O567" t="n">
        <v>0</v>
      </c>
      <c r="P567" t="n">
        <v>0</v>
      </c>
      <c r="Q567" t="n">
        <v>0</v>
      </c>
      <c r="R567" s="2" t="inlineStr"/>
    </row>
    <row r="568" ht="15" customHeight="1">
      <c r="A568" t="inlineStr">
        <is>
          <t>A 28927-2025</t>
        </is>
      </c>
      <c r="B568" s="1" t="n">
        <v>45820.67221064815</v>
      </c>
      <c r="C568" s="1" t="n">
        <v>45969</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43811-2025</t>
        </is>
      </c>
      <c r="B569" s="1" t="n">
        <v>45912.58710648148</v>
      </c>
      <c r="C569" s="1" t="n">
        <v>45969</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28924-2025</t>
        </is>
      </c>
      <c r="B570" s="1" t="n">
        <v>45820.66846064815</v>
      </c>
      <c r="C570" s="1" t="n">
        <v>45969</v>
      </c>
      <c r="D570" t="inlineStr">
        <is>
          <t>DALARNAS LÄN</t>
        </is>
      </c>
      <c r="E570" t="inlineStr">
        <is>
          <t>MORA</t>
        </is>
      </c>
      <c r="G570" t="n">
        <v>0.6</v>
      </c>
      <c r="H570" t="n">
        <v>0</v>
      </c>
      <c r="I570" t="n">
        <v>0</v>
      </c>
      <c r="J570" t="n">
        <v>0</v>
      </c>
      <c r="K570" t="n">
        <v>0</v>
      </c>
      <c r="L570" t="n">
        <v>0</v>
      </c>
      <c r="M570" t="n">
        <v>0</v>
      </c>
      <c r="N570" t="n">
        <v>0</v>
      </c>
      <c r="O570" t="n">
        <v>0</v>
      </c>
      <c r="P570" t="n">
        <v>0</v>
      </c>
      <c r="Q570" t="n">
        <v>0</v>
      </c>
      <c r="R570" s="2" t="inlineStr"/>
    </row>
    <row r="571" ht="15" customHeight="1">
      <c r="A571" t="inlineStr">
        <is>
          <t>A 17393-2025</t>
        </is>
      </c>
      <c r="B571" s="1" t="n">
        <v>45757.34350694445</v>
      </c>
      <c r="C571" s="1" t="n">
        <v>45969</v>
      </c>
      <c r="D571" t="inlineStr">
        <is>
          <t>DALARNAS LÄN</t>
        </is>
      </c>
      <c r="E571" t="inlineStr">
        <is>
          <t>MORA</t>
        </is>
      </c>
      <c r="G571" t="n">
        <v>10.1</v>
      </c>
      <c r="H571" t="n">
        <v>0</v>
      </c>
      <c r="I571" t="n">
        <v>0</v>
      </c>
      <c r="J571" t="n">
        <v>0</v>
      </c>
      <c r="K571" t="n">
        <v>0</v>
      </c>
      <c r="L571" t="n">
        <v>0</v>
      </c>
      <c r="M571" t="n">
        <v>0</v>
      </c>
      <c r="N571" t="n">
        <v>0</v>
      </c>
      <c r="O571" t="n">
        <v>0</v>
      </c>
      <c r="P571" t="n">
        <v>0</v>
      </c>
      <c r="Q571" t="n">
        <v>0</v>
      </c>
      <c r="R571" s="2" t="inlineStr"/>
    </row>
    <row r="572" ht="15" customHeight="1">
      <c r="A572" t="inlineStr">
        <is>
          <t>A 29425-2025</t>
        </is>
      </c>
      <c r="B572" s="1" t="n">
        <v>45824.64524305556</v>
      </c>
      <c r="C572" s="1" t="n">
        <v>45969</v>
      </c>
      <c r="D572" t="inlineStr">
        <is>
          <t>DALARNAS LÄN</t>
        </is>
      </c>
      <c r="E572" t="inlineStr">
        <is>
          <t>MORA</t>
        </is>
      </c>
      <c r="G572" t="n">
        <v>4.4</v>
      </c>
      <c r="H572" t="n">
        <v>0</v>
      </c>
      <c r="I572" t="n">
        <v>0</v>
      </c>
      <c r="J572" t="n">
        <v>0</v>
      </c>
      <c r="K572" t="n">
        <v>0</v>
      </c>
      <c r="L572" t="n">
        <v>0</v>
      </c>
      <c r="M572" t="n">
        <v>0</v>
      </c>
      <c r="N572" t="n">
        <v>0</v>
      </c>
      <c r="O572" t="n">
        <v>0</v>
      </c>
      <c r="P572" t="n">
        <v>0</v>
      </c>
      <c r="Q572" t="n">
        <v>0</v>
      </c>
      <c r="R572" s="2" t="inlineStr"/>
    </row>
    <row r="573" ht="15" customHeight="1">
      <c r="A573" t="inlineStr">
        <is>
          <t>A 28976-2025</t>
        </is>
      </c>
      <c r="B573" s="1" t="n">
        <v>45821.34855324074</v>
      </c>
      <c r="C573" s="1" t="n">
        <v>45969</v>
      </c>
      <c r="D573" t="inlineStr">
        <is>
          <t>DALARNAS LÄN</t>
        </is>
      </c>
      <c r="E573" t="inlineStr">
        <is>
          <t>MORA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14936-2025</t>
        </is>
      </c>
      <c r="B574" s="1" t="n">
        <v>45743.55756944444</v>
      </c>
      <c r="C574" s="1" t="n">
        <v>45969</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29440-2025</t>
        </is>
      </c>
      <c r="B575" s="1" t="n">
        <v>45824.65862268519</v>
      </c>
      <c r="C575" s="1" t="n">
        <v>45969</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29068-2025</t>
        </is>
      </c>
      <c r="B576" s="1" t="n">
        <v>45821.50900462963</v>
      </c>
      <c r="C576" s="1" t="n">
        <v>45969</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35381-2024</t>
        </is>
      </c>
      <c r="B577" s="1" t="n">
        <v>45531.38372685185</v>
      </c>
      <c r="C577" s="1" t="n">
        <v>45969</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29870-2025</t>
        </is>
      </c>
      <c r="B578" s="1" t="n">
        <v>45826.35716435185</v>
      </c>
      <c r="C578" s="1" t="n">
        <v>45969</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29873-2025</t>
        </is>
      </c>
      <c r="B579" s="1" t="n">
        <v>45826</v>
      </c>
      <c r="C579" s="1" t="n">
        <v>45969</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15817-2024</t>
        </is>
      </c>
      <c r="B580" s="1" t="n">
        <v>45404.67387731482</v>
      </c>
      <c r="C580" s="1" t="n">
        <v>45969</v>
      </c>
      <c r="D580" t="inlineStr">
        <is>
          <t>DALARNAS LÄN</t>
        </is>
      </c>
      <c r="E580" t="inlineStr">
        <is>
          <t>MORA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46755-2023</t>
        </is>
      </c>
      <c r="B581" s="1" t="n">
        <v>45198.61314814815</v>
      </c>
      <c r="C581" s="1" t="n">
        <v>45969</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14372-2025</t>
        </is>
      </c>
      <c r="B582" s="1" t="n">
        <v>45741.4050462963</v>
      </c>
      <c r="C582" s="1" t="n">
        <v>45969</v>
      </c>
      <c r="D582" t="inlineStr">
        <is>
          <t>DALARNAS LÄN</t>
        </is>
      </c>
      <c r="E582" t="inlineStr">
        <is>
          <t>MORA</t>
        </is>
      </c>
      <c r="G582" t="n">
        <v>5.1</v>
      </c>
      <c r="H582" t="n">
        <v>0</v>
      </c>
      <c r="I582" t="n">
        <v>0</v>
      </c>
      <c r="J582" t="n">
        <v>0</v>
      </c>
      <c r="K582" t="n">
        <v>0</v>
      </c>
      <c r="L582" t="n">
        <v>0</v>
      </c>
      <c r="M582" t="n">
        <v>0</v>
      </c>
      <c r="N582" t="n">
        <v>0</v>
      </c>
      <c r="O582" t="n">
        <v>0</v>
      </c>
      <c r="P582" t="n">
        <v>0</v>
      </c>
      <c r="Q582" t="n">
        <v>0</v>
      </c>
      <c r="R582" s="2" t="inlineStr"/>
    </row>
    <row r="583" ht="15" customHeight="1">
      <c r="A583" t="inlineStr">
        <is>
          <t>A 14378-2025</t>
        </is>
      </c>
      <c r="B583" s="1" t="n">
        <v>45741</v>
      </c>
      <c r="C583" s="1" t="n">
        <v>45969</v>
      </c>
      <c r="D583" t="inlineStr">
        <is>
          <t>DALARNAS LÄN</t>
        </is>
      </c>
      <c r="E583" t="inlineStr">
        <is>
          <t>MORA</t>
        </is>
      </c>
      <c r="G583" t="n">
        <v>5.2</v>
      </c>
      <c r="H583" t="n">
        <v>0</v>
      </c>
      <c r="I583" t="n">
        <v>0</v>
      </c>
      <c r="J583" t="n">
        <v>0</v>
      </c>
      <c r="K583" t="n">
        <v>0</v>
      </c>
      <c r="L583" t="n">
        <v>0</v>
      </c>
      <c r="M583" t="n">
        <v>0</v>
      </c>
      <c r="N583" t="n">
        <v>0</v>
      </c>
      <c r="O583" t="n">
        <v>0</v>
      </c>
      <c r="P583" t="n">
        <v>0</v>
      </c>
      <c r="Q583" t="n">
        <v>0</v>
      </c>
      <c r="R583" s="2" t="inlineStr"/>
    </row>
    <row r="584" ht="15" customHeight="1">
      <c r="A584" t="inlineStr">
        <is>
          <t>A 29528-2025</t>
        </is>
      </c>
      <c r="B584" s="1" t="n">
        <v>45825.34322916667</v>
      </c>
      <c r="C584" s="1" t="n">
        <v>45969</v>
      </c>
      <c r="D584" t="inlineStr">
        <is>
          <t>DALARNAS LÄN</t>
        </is>
      </c>
      <c r="E584" t="inlineStr">
        <is>
          <t>MORA</t>
        </is>
      </c>
      <c r="G584" t="n">
        <v>2.2</v>
      </c>
      <c r="H584" t="n">
        <v>0</v>
      </c>
      <c r="I584" t="n">
        <v>0</v>
      </c>
      <c r="J584" t="n">
        <v>0</v>
      </c>
      <c r="K584" t="n">
        <v>0</v>
      </c>
      <c r="L584" t="n">
        <v>0</v>
      </c>
      <c r="M584" t="n">
        <v>0</v>
      </c>
      <c r="N584" t="n">
        <v>0</v>
      </c>
      <c r="O584" t="n">
        <v>0</v>
      </c>
      <c r="P584" t="n">
        <v>0</v>
      </c>
      <c r="Q584" t="n">
        <v>0</v>
      </c>
      <c r="R584" s="2" t="inlineStr"/>
    </row>
    <row r="585" ht="15" customHeight="1">
      <c r="A585" t="inlineStr">
        <is>
          <t>A 30087-2025</t>
        </is>
      </c>
      <c r="B585" s="1" t="n">
        <v>45826.6575</v>
      </c>
      <c r="C585" s="1" t="n">
        <v>45969</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45969</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44201-2023</t>
        </is>
      </c>
      <c r="B587" s="1" t="n">
        <v>45188</v>
      </c>
      <c r="C587" s="1" t="n">
        <v>45969</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55222-2023</t>
        </is>
      </c>
      <c r="B588" s="1" t="n">
        <v>45237.60775462963</v>
      </c>
      <c r="C588" s="1" t="n">
        <v>45969</v>
      </c>
      <c r="D588" t="inlineStr">
        <is>
          <t>DALARNAS LÄN</t>
        </is>
      </c>
      <c r="E588" t="inlineStr">
        <is>
          <t>MORA</t>
        </is>
      </c>
      <c r="F588" t="inlineStr">
        <is>
          <t>Allmännings- och besparingsskogar</t>
        </is>
      </c>
      <c r="G588" t="n">
        <v>19.8</v>
      </c>
      <c r="H588" t="n">
        <v>0</v>
      </c>
      <c r="I588" t="n">
        <v>0</v>
      </c>
      <c r="J588" t="n">
        <v>0</v>
      </c>
      <c r="K588" t="n">
        <v>0</v>
      </c>
      <c r="L588" t="n">
        <v>0</v>
      </c>
      <c r="M588" t="n">
        <v>0</v>
      </c>
      <c r="N588" t="n">
        <v>0</v>
      </c>
      <c r="O588" t="n">
        <v>0</v>
      </c>
      <c r="P588" t="n">
        <v>0</v>
      </c>
      <c r="Q588" t="n">
        <v>0</v>
      </c>
      <c r="R588" s="2" t="inlineStr"/>
    </row>
    <row r="589" ht="15" customHeight="1">
      <c r="A589" t="inlineStr">
        <is>
          <t>A 31177-2021</t>
        </is>
      </c>
      <c r="B589" s="1" t="n">
        <v>44368</v>
      </c>
      <c r="C589" s="1" t="n">
        <v>45969</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30166-2025</t>
        </is>
      </c>
      <c r="B590" s="1" t="n">
        <v>45827.33116898148</v>
      </c>
      <c r="C590" s="1" t="n">
        <v>45969</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51570-2023</t>
        </is>
      </c>
      <c r="B591" s="1" t="n">
        <v>45222</v>
      </c>
      <c r="C591" s="1" t="n">
        <v>45969</v>
      </c>
      <c r="D591" t="inlineStr">
        <is>
          <t>DALARNAS LÄN</t>
        </is>
      </c>
      <c r="E591" t="inlineStr">
        <is>
          <t>MORA</t>
        </is>
      </c>
      <c r="G591" t="n">
        <v>10.1</v>
      </c>
      <c r="H591" t="n">
        <v>0</v>
      </c>
      <c r="I591" t="n">
        <v>0</v>
      </c>
      <c r="J591" t="n">
        <v>0</v>
      </c>
      <c r="K591" t="n">
        <v>0</v>
      </c>
      <c r="L591" t="n">
        <v>0</v>
      </c>
      <c r="M591" t="n">
        <v>0</v>
      </c>
      <c r="N591" t="n">
        <v>0</v>
      </c>
      <c r="O591" t="n">
        <v>0</v>
      </c>
      <c r="P591" t="n">
        <v>0</v>
      </c>
      <c r="Q591" t="n">
        <v>0</v>
      </c>
      <c r="R591" s="2" t="inlineStr"/>
    </row>
    <row r="592" ht="15" customHeight="1">
      <c r="A592" t="inlineStr">
        <is>
          <t>A 32261-2022</t>
        </is>
      </c>
      <c r="B592" s="1" t="n">
        <v>44781.5350925926</v>
      </c>
      <c r="C592" s="1" t="n">
        <v>45969</v>
      </c>
      <c r="D592" t="inlineStr">
        <is>
          <t>DALARNAS LÄN</t>
        </is>
      </c>
      <c r="E592" t="inlineStr">
        <is>
          <t>MORA</t>
        </is>
      </c>
      <c r="G592" t="n">
        <v>2.7</v>
      </c>
      <c r="H592" t="n">
        <v>0</v>
      </c>
      <c r="I592" t="n">
        <v>0</v>
      </c>
      <c r="J592" t="n">
        <v>0</v>
      </c>
      <c r="K592" t="n">
        <v>0</v>
      </c>
      <c r="L592" t="n">
        <v>0</v>
      </c>
      <c r="M592" t="n">
        <v>0</v>
      </c>
      <c r="N592" t="n">
        <v>0</v>
      </c>
      <c r="O592" t="n">
        <v>0</v>
      </c>
      <c r="P592" t="n">
        <v>0</v>
      </c>
      <c r="Q592" t="n">
        <v>0</v>
      </c>
      <c r="R592" s="2" t="inlineStr"/>
    </row>
    <row r="593" ht="15" customHeight="1">
      <c r="A593" t="inlineStr">
        <is>
          <t>A 30507-2025</t>
        </is>
      </c>
      <c r="B593" s="1" t="n">
        <v>45831.24760416667</v>
      </c>
      <c r="C593" s="1" t="n">
        <v>45969</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48825-2023</t>
        </is>
      </c>
      <c r="B594" s="1" t="n">
        <v>45203</v>
      </c>
      <c r="C594" s="1" t="n">
        <v>45969</v>
      </c>
      <c r="D594" t="inlineStr">
        <is>
          <t>DALARNAS LÄN</t>
        </is>
      </c>
      <c r="E594" t="inlineStr">
        <is>
          <t>MORA</t>
        </is>
      </c>
      <c r="G594" t="n">
        <v>7.9</v>
      </c>
      <c r="H594" t="n">
        <v>0</v>
      </c>
      <c r="I594" t="n">
        <v>0</v>
      </c>
      <c r="J594" t="n">
        <v>0</v>
      </c>
      <c r="K594" t="n">
        <v>0</v>
      </c>
      <c r="L594" t="n">
        <v>0</v>
      </c>
      <c r="M594" t="n">
        <v>0</v>
      </c>
      <c r="N594" t="n">
        <v>0</v>
      </c>
      <c r="O594" t="n">
        <v>0</v>
      </c>
      <c r="P594" t="n">
        <v>0</v>
      </c>
      <c r="Q594" t="n">
        <v>0</v>
      </c>
      <c r="R594" s="2" t="inlineStr"/>
    </row>
    <row r="595" ht="15" customHeight="1">
      <c r="A595" t="inlineStr">
        <is>
          <t>A 30858-2025</t>
        </is>
      </c>
      <c r="B595" s="1" t="n">
        <v>45831.92416666666</v>
      </c>
      <c r="C595" s="1" t="n">
        <v>45969</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30859-2025</t>
        </is>
      </c>
      <c r="B596" s="1" t="n">
        <v>45831.93105324074</v>
      </c>
      <c r="C596" s="1" t="n">
        <v>45969</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52804-2025</t>
        </is>
      </c>
      <c r="B597" s="1" t="n">
        <v>45957.44552083333</v>
      </c>
      <c r="C597" s="1" t="n">
        <v>45969</v>
      </c>
      <c r="D597" t="inlineStr">
        <is>
          <t>DALARNAS LÄN</t>
        </is>
      </c>
      <c r="E597" t="inlineStr">
        <is>
          <t>MORA</t>
        </is>
      </c>
      <c r="G597" t="n">
        <v>2.9</v>
      </c>
      <c r="H597" t="n">
        <v>0</v>
      </c>
      <c r="I597" t="n">
        <v>0</v>
      </c>
      <c r="J597" t="n">
        <v>0</v>
      </c>
      <c r="K597" t="n">
        <v>0</v>
      </c>
      <c r="L597" t="n">
        <v>0</v>
      </c>
      <c r="M597" t="n">
        <v>0</v>
      </c>
      <c r="N597" t="n">
        <v>0</v>
      </c>
      <c r="O597" t="n">
        <v>0</v>
      </c>
      <c r="P597" t="n">
        <v>0</v>
      </c>
      <c r="Q597" t="n">
        <v>0</v>
      </c>
      <c r="R597" s="2" t="inlineStr"/>
    </row>
    <row r="598" ht="15" customHeight="1">
      <c r="A598" t="inlineStr">
        <is>
          <t>A 30989-2025</t>
        </is>
      </c>
      <c r="B598" s="1" t="n">
        <v>45832.48185185185</v>
      </c>
      <c r="C598" s="1" t="n">
        <v>45969</v>
      </c>
      <c r="D598" t="inlineStr">
        <is>
          <t>DALARNAS LÄN</t>
        </is>
      </c>
      <c r="E598" t="inlineStr">
        <is>
          <t>MORA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30509-2025</t>
        </is>
      </c>
      <c r="B599" s="1" t="n">
        <v>45831.25519675926</v>
      </c>
      <c r="C599" s="1" t="n">
        <v>45969</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44384-2025</t>
        </is>
      </c>
      <c r="B600" s="1" t="n">
        <v>45916.48513888889</v>
      </c>
      <c r="C600" s="1" t="n">
        <v>45969</v>
      </c>
      <c r="D600" t="inlineStr">
        <is>
          <t>DALARNAS LÄN</t>
        </is>
      </c>
      <c r="E600" t="inlineStr">
        <is>
          <t>MORA</t>
        </is>
      </c>
      <c r="F600" t="inlineStr">
        <is>
          <t>Kyrkan</t>
        </is>
      </c>
      <c r="G600" t="n">
        <v>5.1</v>
      </c>
      <c r="H600" t="n">
        <v>0</v>
      </c>
      <c r="I600" t="n">
        <v>0</v>
      </c>
      <c r="J600" t="n">
        <v>0</v>
      </c>
      <c r="K600" t="n">
        <v>0</v>
      </c>
      <c r="L600" t="n">
        <v>0</v>
      </c>
      <c r="M600" t="n">
        <v>0</v>
      </c>
      <c r="N600" t="n">
        <v>0</v>
      </c>
      <c r="O600" t="n">
        <v>0</v>
      </c>
      <c r="P600" t="n">
        <v>0</v>
      </c>
      <c r="Q600" t="n">
        <v>0</v>
      </c>
      <c r="R600" s="2" t="inlineStr"/>
    </row>
    <row r="601" ht="15" customHeight="1">
      <c r="A601" t="inlineStr">
        <is>
          <t>A 53150-2025</t>
        </is>
      </c>
      <c r="B601" s="1" t="n">
        <v>45958.48280092593</v>
      </c>
      <c r="C601" s="1" t="n">
        <v>45969</v>
      </c>
      <c r="D601" t="inlineStr">
        <is>
          <t>DALARNAS LÄN</t>
        </is>
      </c>
      <c r="E601" t="inlineStr">
        <is>
          <t>MORA</t>
        </is>
      </c>
      <c r="F601" t="inlineStr">
        <is>
          <t>Bergvik skog öst AB</t>
        </is>
      </c>
      <c r="G601" t="n">
        <v>0.8</v>
      </c>
      <c r="H601" t="n">
        <v>0</v>
      </c>
      <c r="I601" t="n">
        <v>0</v>
      </c>
      <c r="J601" t="n">
        <v>0</v>
      </c>
      <c r="K601" t="n">
        <v>0</v>
      </c>
      <c r="L601" t="n">
        <v>0</v>
      </c>
      <c r="M601" t="n">
        <v>0</v>
      </c>
      <c r="N601" t="n">
        <v>0</v>
      </c>
      <c r="O601" t="n">
        <v>0</v>
      </c>
      <c r="P601" t="n">
        <v>0</v>
      </c>
      <c r="Q601" t="n">
        <v>0</v>
      </c>
      <c r="R601" s="2" t="inlineStr"/>
    </row>
    <row r="602" ht="15" customHeight="1">
      <c r="A602" t="inlineStr">
        <is>
          <t>A 53151-2025</t>
        </is>
      </c>
      <c r="B602" s="1" t="n">
        <v>45958.48611111111</v>
      </c>
      <c r="C602" s="1" t="n">
        <v>45969</v>
      </c>
      <c r="D602" t="inlineStr">
        <is>
          <t>DALARNAS LÄN</t>
        </is>
      </c>
      <c r="E602" t="inlineStr">
        <is>
          <t>MORA</t>
        </is>
      </c>
      <c r="F602" t="inlineStr">
        <is>
          <t>Bergvik skog öst AB</t>
        </is>
      </c>
      <c r="G602" t="n">
        <v>0.8</v>
      </c>
      <c r="H602" t="n">
        <v>0</v>
      </c>
      <c r="I602" t="n">
        <v>0</v>
      </c>
      <c r="J602" t="n">
        <v>0</v>
      </c>
      <c r="K602" t="n">
        <v>0</v>
      </c>
      <c r="L602" t="n">
        <v>0</v>
      </c>
      <c r="M602" t="n">
        <v>0</v>
      </c>
      <c r="N602" t="n">
        <v>0</v>
      </c>
      <c r="O602" t="n">
        <v>0</v>
      </c>
      <c r="P602" t="n">
        <v>0</v>
      </c>
      <c r="Q602" t="n">
        <v>0</v>
      </c>
      <c r="R602" s="2" t="inlineStr"/>
    </row>
    <row r="603" ht="15" customHeight="1">
      <c r="A603" t="inlineStr">
        <is>
          <t>A 31849-2025</t>
        </is>
      </c>
      <c r="B603" s="1" t="n">
        <v>45834.60525462963</v>
      </c>
      <c r="C603" s="1" t="n">
        <v>45969</v>
      </c>
      <c r="D603" t="inlineStr">
        <is>
          <t>DALARNAS LÄN</t>
        </is>
      </c>
      <c r="E603" t="inlineStr">
        <is>
          <t>MORA</t>
        </is>
      </c>
      <c r="G603" t="n">
        <v>3.9</v>
      </c>
      <c r="H603" t="n">
        <v>0</v>
      </c>
      <c r="I603" t="n">
        <v>0</v>
      </c>
      <c r="J603" t="n">
        <v>0</v>
      </c>
      <c r="K603" t="n">
        <v>0</v>
      </c>
      <c r="L603" t="n">
        <v>0</v>
      </c>
      <c r="M603" t="n">
        <v>0</v>
      </c>
      <c r="N603" t="n">
        <v>0</v>
      </c>
      <c r="O603" t="n">
        <v>0</v>
      </c>
      <c r="P603" t="n">
        <v>0</v>
      </c>
      <c r="Q603" t="n">
        <v>0</v>
      </c>
      <c r="R603" s="2" t="inlineStr"/>
    </row>
    <row r="604" ht="15" customHeight="1">
      <c r="A604" t="inlineStr">
        <is>
          <t>A 18806-2025</t>
        </is>
      </c>
      <c r="B604" s="1" t="n">
        <v>45764.35269675926</v>
      </c>
      <c r="C604" s="1" t="n">
        <v>45969</v>
      </c>
      <c r="D604" t="inlineStr">
        <is>
          <t>DALARNAS LÄN</t>
        </is>
      </c>
      <c r="E604" t="inlineStr">
        <is>
          <t>MORA</t>
        </is>
      </c>
      <c r="G604" t="n">
        <v>1.7</v>
      </c>
      <c r="H604" t="n">
        <v>0</v>
      </c>
      <c r="I604" t="n">
        <v>0</v>
      </c>
      <c r="J604" t="n">
        <v>0</v>
      </c>
      <c r="K604" t="n">
        <v>0</v>
      </c>
      <c r="L604" t="n">
        <v>0</v>
      </c>
      <c r="M604" t="n">
        <v>0</v>
      </c>
      <c r="N604" t="n">
        <v>0</v>
      </c>
      <c r="O604" t="n">
        <v>0</v>
      </c>
      <c r="P604" t="n">
        <v>0</v>
      </c>
      <c r="Q604" t="n">
        <v>0</v>
      </c>
      <c r="R604" s="2" t="inlineStr"/>
    </row>
    <row r="605" ht="15" customHeight="1">
      <c r="A605" t="inlineStr">
        <is>
          <t>A 17163-2025</t>
        </is>
      </c>
      <c r="B605" s="1" t="n">
        <v>45756.35998842592</v>
      </c>
      <c r="C605" s="1" t="n">
        <v>45969</v>
      </c>
      <c r="D605" t="inlineStr">
        <is>
          <t>DALARNAS LÄN</t>
        </is>
      </c>
      <c r="E605" t="inlineStr">
        <is>
          <t>MORA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10777-2025</t>
        </is>
      </c>
      <c r="B606" s="1" t="n">
        <v>45722.47743055555</v>
      </c>
      <c r="C606" s="1" t="n">
        <v>45969</v>
      </c>
      <c r="D606" t="inlineStr">
        <is>
          <t>DALARNAS LÄN</t>
        </is>
      </c>
      <c r="E606" t="inlineStr">
        <is>
          <t>MORA</t>
        </is>
      </c>
      <c r="G606" t="n">
        <v>9.9</v>
      </c>
      <c r="H606" t="n">
        <v>0</v>
      </c>
      <c r="I606" t="n">
        <v>0</v>
      </c>
      <c r="J606" t="n">
        <v>0</v>
      </c>
      <c r="K606" t="n">
        <v>0</v>
      </c>
      <c r="L606" t="n">
        <v>0</v>
      </c>
      <c r="M606" t="n">
        <v>0</v>
      </c>
      <c r="N606" t="n">
        <v>0</v>
      </c>
      <c r="O606" t="n">
        <v>0</v>
      </c>
      <c r="P606" t="n">
        <v>0</v>
      </c>
      <c r="Q606" t="n">
        <v>0</v>
      </c>
      <c r="R606" s="2" t="inlineStr"/>
    </row>
    <row r="607" ht="15" customHeight="1">
      <c r="A607" t="inlineStr">
        <is>
          <t>A 31846-2025</t>
        </is>
      </c>
      <c r="B607" s="1" t="n">
        <v>45834.60209490741</v>
      </c>
      <c r="C607" s="1" t="n">
        <v>45969</v>
      </c>
      <c r="D607" t="inlineStr">
        <is>
          <t>DALARNAS LÄN</t>
        </is>
      </c>
      <c r="E607" t="inlineStr">
        <is>
          <t>MORA</t>
        </is>
      </c>
      <c r="G607" t="n">
        <v>3.6</v>
      </c>
      <c r="H607" t="n">
        <v>0</v>
      </c>
      <c r="I607" t="n">
        <v>0</v>
      </c>
      <c r="J607" t="n">
        <v>0</v>
      </c>
      <c r="K607" t="n">
        <v>0</v>
      </c>
      <c r="L607" t="n">
        <v>0</v>
      </c>
      <c r="M607" t="n">
        <v>0</v>
      </c>
      <c r="N607" t="n">
        <v>0</v>
      </c>
      <c r="O607" t="n">
        <v>0</v>
      </c>
      <c r="P607" t="n">
        <v>0</v>
      </c>
      <c r="Q607" t="n">
        <v>0</v>
      </c>
      <c r="R607" s="2" t="inlineStr"/>
    </row>
    <row r="608" ht="15" customHeight="1">
      <c r="A608" t="inlineStr">
        <is>
          <t>A 53556-2025</t>
        </is>
      </c>
      <c r="B608" s="1" t="n">
        <v>45960.3921875</v>
      </c>
      <c r="C608" s="1" t="n">
        <v>45969</v>
      </c>
      <c r="D608" t="inlineStr">
        <is>
          <t>DALARNAS LÄN</t>
        </is>
      </c>
      <c r="E608" t="inlineStr">
        <is>
          <t>MORA</t>
        </is>
      </c>
      <c r="G608" t="n">
        <v>3.3</v>
      </c>
      <c r="H608" t="n">
        <v>0</v>
      </c>
      <c r="I608" t="n">
        <v>0</v>
      </c>
      <c r="J608" t="n">
        <v>0</v>
      </c>
      <c r="K608" t="n">
        <v>0</v>
      </c>
      <c r="L608" t="n">
        <v>0</v>
      </c>
      <c r="M608" t="n">
        <v>0</v>
      </c>
      <c r="N608" t="n">
        <v>0</v>
      </c>
      <c r="O608" t="n">
        <v>0</v>
      </c>
      <c r="P608" t="n">
        <v>0</v>
      </c>
      <c r="Q608" t="n">
        <v>0</v>
      </c>
      <c r="R608" s="2" t="inlineStr"/>
    </row>
    <row r="609" ht="15" customHeight="1">
      <c r="A609" t="inlineStr">
        <is>
          <t>A 53632-2025</t>
        </is>
      </c>
      <c r="B609" s="1" t="n">
        <v>45960.49972222222</v>
      </c>
      <c r="C609" s="1" t="n">
        <v>45969</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31842-2025</t>
        </is>
      </c>
      <c r="B610" s="1" t="n">
        <v>45834.59822916667</v>
      </c>
      <c r="C610" s="1" t="n">
        <v>45969</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53591-2025</t>
        </is>
      </c>
      <c r="B611" s="1" t="n">
        <v>45960.43893518519</v>
      </c>
      <c r="C611" s="1" t="n">
        <v>45969</v>
      </c>
      <c r="D611" t="inlineStr">
        <is>
          <t>DALARNAS LÄN</t>
        </is>
      </c>
      <c r="E611" t="inlineStr">
        <is>
          <t>MORA</t>
        </is>
      </c>
      <c r="G611" t="n">
        <v>3.8</v>
      </c>
      <c r="H611" t="n">
        <v>0</v>
      </c>
      <c r="I611" t="n">
        <v>0</v>
      </c>
      <c r="J611" t="n">
        <v>0</v>
      </c>
      <c r="K611" t="n">
        <v>0</v>
      </c>
      <c r="L611" t="n">
        <v>0</v>
      </c>
      <c r="M611" t="n">
        <v>0</v>
      </c>
      <c r="N611" t="n">
        <v>0</v>
      </c>
      <c r="O611" t="n">
        <v>0</v>
      </c>
      <c r="P611" t="n">
        <v>0</v>
      </c>
      <c r="Q611" t="n">
        <v>0</v>
      </c>
      <c r="R611" s="2" t="inlineStr"/>
    </row>
    <row r="612" ht="15" customHeight="1">
      <c r="A612" t="inlineStr">
        <is>
          <t>A 54253-2023</t>
        </is>
      </c>
      <c r="B612" s="1" t="n">
        <v>45232.63217592592</v>
      </c>
      <c r="C612" s="1" t="n">
        <v>45969</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44817-2023</t>
        </is>
      </c>
      <c r="B613" s="1" t="n">
        <v>45190.51887731482</v>
      </c>
      <c r="C613" s="1" t="n">
        <v>45969</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17865-2025</t>
        </is>
      </c>
      <c r="B614" s="1" t="n">
        <v>45758.62951388889</v>
      </c>
      <c r="C614" s="1" t="n">
        <v>45969</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44621-2025</t>
        </is>
      </c>
      <c r="B615" s="1" t="n">
        <v>45917.466875</v>
      </c>
      <c r="C615" s="1" t="n">
        <v>45969</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17167-2025</t>
        </is>
      </c>
      <c r="B616" s="1" t="n">
        <v>45756.36844907407</v>
      </c>
      <c r="C616" s="1" t="n">
        <v>45969</v>
      </c>
      <c r="D616" t="inlineStr">
        <is>
          <t>DALARNAS LÄN</t>
        </is>
      </c>
      <c r="E616" t="inlineStr">
        <is>
          <t>MORA</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17176-2025</t>
        </is>
      </c>
      <c r="B617" s="1" t="n">
        <v>45756.37520833333</v>
      </c>
      <c r="C617" s="1" t="n">
        <v>45969</v>
      </c>
      <c r="D617" t="inlineStr">
        <is>
          <t>DALARNAS LÄN</t>
        </is>
      </c>
      <c r="E617" t="inlineStr">
        <is>
          <t>MORA</t>
        </is>
      </c>
      <c r="F617" t="inlineStr">
        <is>
          <t>Bergvik skog öst AB</t>
        </is>
      </c>
      <c r="G617" t="n">
        <v>1.7</v>
      </c>
      <c r="H617" t="n">
        <v>0</v>
      </c>
      <c r="I617" t="n">
        <v>0</v>
      </c>
      <c r="J617" t="n">
        <v>0</v>
      </c>
      <c r="K617" t="n">
        <v>0</v>
      </c>
      <c r="L617" t="n">
        <v>0</v>
      </c>
      <c r="M617" t="n">
        <v>0</v>
      </c>
      <c r="N617" t="n">
        <v>0</v>
      </c>
      <c r="O617" t="n">
        <v>0</v>
      </c>
      <c r="P617" t="n">
        <v>0</v>
      </c>
      <c r="Q617" t="n">
        <v>0</v>
      </c>
      <c r="R617" s="2" t="inlineStr"/>
    </row>
    <row r="618" ht="15" customHeight="1">
      <c r="A618" t="inlineStr">
        <is>
          <t>A 57999-2023</t>
        </is>
      </c>
      <c r="B618" s="1" t="n">
        <v>45247</v>
      </c>
      <c r="C618" s="1" t="n">
        <v>45969</v>
      </c>
      <c r="D618" t="inlineStr">
        <is>
          <t>DALARNAS LÄN</t>
        </is>
      </c>
      <c r="E618" t="inlineStr">
        <is>
          <t>MORA</t>
        </is>
      </c>
      <c r="G618" t="n">
        <v>0.4</v>
      </c>
      <c r="H618" t="n">
        <v>0</v>
      </c>
      <c r="I618" t="n">
        <v>0</v>
      </c>
      <c r="J618" t="n">
        <v>0</v>
      </c>
      <c r="K618" t="n">
        <v>0</v>
      </c>
      <c r="L618" t="n">
        <v>0</v>
      </c>
      <c r="M618" t="n">
        <v>0</v>
      </c>
      <c r="N618" t="n">
        <v>0</v>
      </c>
      <c r="O618" t="n">
        <v>0</v>
      </c>
      <c r="P618" t="n">
        <v>0</v>
      </c>
      <c r="Q618" t="n">
        <v>0</v>
      </c>
      <c r="R618" s="2" t="inlineStr"/>
    </row>
    <row r="619" ht="15" customHeight="1">
      <c r="A619" t="inlineStr">
        <is>
          <t>A 53418-2025</t>
        </is>
      </c>
      <c r="B619" s="1" t="n">
        <v>45959.58747685186</v>
      </c>
      <c r="C619" s="1" t="n">
        <v>45969</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53560-2025</t>
        </is>
      </c>
      <c r="B620" s="1" t="n">
        <v>45960.39960648148</v>
      </c>
      <c r="C620" s="1" t="n">
        <v>45969</v>
      </c>
      <c r="D620" t="inlineStr">
        <is>
          <t>DALARNAS LÄN</t>
        </is>
      </c>
      <c r="E620" t="inlineStr">
        <is>
          <t>MORA</t>
        </is>
      </c>
      <c r="G620" t="n">
        <v>5.2</v>
      </c>
      <c r="H620" t="n">
        <v>0</v>
      </c>
      <c r="I620" t="n">
        <v>0</v>
      </c>
      <c r="J620" t="n">
        <v>0</v>
      </c>
      <c r="K620" t="n">
        <v>0</v>
      </c>
      <c r="L620" t="n">
        <v>0</v>
      </c>
      <c r="M620" t="n">
        <v>0</v>
      </c>
      <c r="N620" t="n">
        <v>0</v>
      </c>
      <c r="O620" t="n">
        <v>0</v>
      </c>
      <c r="P620" t="n">
        <v>0</v>
      </c>
      <c r="Q620" t="n">
        <v>0</v>
      </c>
      <c r="R620" s="2" t="inlineStr"/>
    </row>
    <row r="621" ht="15" customHeight="1">
      <c r="A621" t="inlineStr">
        <is>
          <t>A 57319-2023</t>
        </is>
      </c>
      <c r="B621" s="1" t="n">
        <v>45245.64877314815</v>
      </c>
      <c r="C621" s="1" t="n">
        <v>45969</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62853-2023</t>
        </is>
      </c>
      <c r="B622" s="1" t="n">
        <v>45272</v>
      </c>
      <c r="C622" s="1" t="n">
        <v>45969</v>
      </c>
      <c r="D622" t="inlineStr">
        <is>
          <t>DALARNAS LÄN</t>
        </is>
      </c>
      <c r="E622" t="inlineStr">
        <is>
          <t>MORA</t>
        </is>
      </c>
      <c r="G622" t="n">
        <v>13.6</v>
      </c>
      <c r="H622" t="n">
        <v>0</v>
      </c>
      <c r="I622" t="n">
        <v>0</v>
      </c>
      <c r="J622" t="n">
        <v>0</v>
      </c>
      <c r="K622" t="n">
        <v>0</v>
      </c>
      <c r="L622" t="n">
        <v>0</v>
      </c>
      <c r="M622" t="n">
        <v>0</v>
      </c>
      <c r="N622" t="n">
        <v>0</v>
      </c>
      <c r="O622" t="n">
        <v>0</v>
      </c>
      <c r="P622" t="n">
        <v>0</v>
      </c>
      <c r="Q622" t="n">
        <v>0</v>
      </c>
      <c r="R622" s="2" t="inlineStr"/>
    </row>
    <row r="623" ht="15" customHeight="1">
      <c r="A623" t="inlineStr">
        <is>
          <t>A 43826-2022</t>
        </is>
      </c>
      <c r="B623" s="1" t="n">
        <v>44838</v>
      </c>
      <c r="C623" s="1" t="n">
        <v>45969</v>
      </c>
      <c r="D623" t="inlineStr">
        <is>
          <t>DALARNAS LÄN</t>
        </is>
      </c>
      <c r="E623" t="inlineStr">
        <is>
          <t>MORA</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29754-2022</t>
        </is>
      </c>
      <c r="B624" s="1" t="n">
        <v>44755.59188657408</v>
      </c>
      <c r="C624" s="1" t="n">
        <v>45969</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32852-2025</t>
        </is>
      </c>
      <c r="B625" s="1" t="n">
        <v>45839.57559027777</v>
      </c>
      <c r="C625" s="1" t="n">
        <v>45969</v>
      </c>
      <c r="D625" t="inlineStr">
        <is>
          <t>DALARNAS LÄN</t>
        </is>
      </c>
      <c r="E625" t="inlineStr">
        <is>
          <t>MORA</t>
        </is>
      </c>
      <c r="G625" t="n">
        <v>1.7</v>
      </c>
      <c r="H625" t="n">
        <v>0</v>
      </c>
      <c r="I625" t="n">
        <v>0</v>
      </c>
      <c r="J625" t="n">
        <v>0</v>
      </c>
      <c r="K625" t="n">
        <v>0</v>
      </c>
      <c r="L625" t="n">
        <v>0</v>
      </c>
      <c r="M625" t="n">
        <v>0</v>
      </c>
      <c r="N625" t="n">
        <v>0</v>
      </c>
      <c r="O625" t="n">
        <v>0</v>
      </c>
      <c r="P625" t="n">
        <v>0</v>
      </c>
      <c r="Q625" t="n">
        <v>0</v>
      </c>
      <c r="R625" s="2" t="inlineStr"/>
    </row>
    <row r="626" ht="15" customHeight="1">
      <c r="A626" t="inlineStr">
        <is>
          <t>A 33443-2025</t>
        </is>
      </c>
      <c r="B626" s="1" t="n">
        <v>45841</v>
      </c>
      <c r="C626" s="1" t="n">
        <v>45969</v>
      </c>
      <c r="D626" t="inlineStr">
        <is>
          <t>DALARNAS LÄN</t>
        </is>
      </c>
      <c r="E626" t="inlineStr">
        <is>
          <t>MORA</t>
        </is>
      </c>
      <c r="G626" t="n">
        <v>2.7</v>
      </c>
      <c r="H626" t="n">
        <v>0</v>
      </c>
      <c r="I626" t="n">
        <v>0</v>
      </c>
      <c r="J626" t="n">
        <v>0</v>
      </c>
      <c r="K626" t="n">
        <v>0</v>
      </c>
      <c r="L626" t="n">
        <v>0</v>
      </c>
      <c r="M626" t="n">
        <v>0</v>
      </c>
      <c r="N626" t="n">
        <v>0</v>
      </c>
      <c r="O626" t="n">
        <v>0</v>
      </c>
      <c r="P626" t="n">
        <v>0</v>
      </c>
      <c r="Q626" t="n">
        <v>0</v>
      </c>
      <c r="R626" s="2" t="inlineStr"/>
    </row>
    <row r="627" ht="15" customHeight="1">
      <c r="A627" t="inlineStr">
        <is>
          <t>A 53565-2025</t>
        </is>
      </c>
      <c r="B627" s="1" t="n">
        <v>45960.40711805555</v>
      </c>
      <c r="C627" s="1" t="n">
        <v>45969</v>
      </c>
      <c r="D627" t="inlineStr">
        <is>
          <t>DALARNAS LÄN</t>
        </is>
      </c>
      <c r="E627" t="inlineStr">
        <is>
          <t>MORA</t>
        </is>
      </c>
      <c r="G627" t="n">
        <v>5.1</v>
      </c>
      <c r="H627" t="n">
        <v>0</v>
      </c>
      <c r="I627" t="n">
        <v>0</v>
      </c>
      <c r="J627" t="n">
        <v>0</v>
      </c>
      <c r="K627" t="n">
        <v>0</v>
      </c>
      <c r="L627" t="n">
        <v>0</v>
      </c>
      <c r="M627" t="n">
        <v>0</v>
      </c>
      <c r="N627" t="n">
        <v>0</v>
      </c>
      <c r="O627" t="n">
        <v>0</v>
      </c>
      <c r="P627" t="n">
        <v>0</v>
      </c>
      <c r="Q627" t="n">
        <v>0</v>
      </c>
      <c r="R627" s="2" t="inlineStr"/>
    </row>
    <row r="628" ht="15" customHeight="1">
      <c r="A628" t="inlineStr">
        <is>
          <t>A 53562-2025</t>
        </is>
      </c>
      <c r="B628" s="1" t="n">
        <v>45960.40662037037</v>
      </c>
      <c r="C628" s="1" t="n">
        <v>45969</v>
      </c>
      <c r="D628" t="inlineStr">
        <is>
          <t>DALARNAS LÄN</t>
        </is>
      </c>
      <c r="E628" t="inlineStr">
        <is>
          <t>MORA</t>
        </is>
      </c>
      <c r="G628" t="n">
        <v>5.1</v>
      </c>
      <c r="H628" t="n">
        <v>0</v>
      </c>
      <c r="I628" t="n">
        <v>0</v>
      </c>
      <c r="J628" t="n">
        <v>0</v>
      </c>
      <c r="K628" t="n">
        <v>0</v>
      </c>
      <c r="L628" t="n">
        <v>0</v>
      </c>
      <c r="M628" t="n">
        <v>0</v>
      </c>
      <c r="N628" t="n">
        <v>0</v>
      </c>
      <c r="O628" t="n">
        <v>0</v>
      </c>
      <c r="P628" t="n">
        <v>0</v>
      </c>
      <c r="Q628" t="n">
        <v>0</v>
      </c>
      <c r="R628" s="2" t="inlineStr"/>
    </row>
    <row r="629" ht="15" customHeight="1">
      <c r="A629" t="inlineStr">
        <is>
          <t>A 36579-2022</t>
        </is>
      </c>
      <c r="B629" s="1" t="n">
        <v>44804.61636574074</v>
      </c>
      <c r="C629" s="1" t="n">
        <v>45969</v>
      </c>
      <c r="D629" t="inlineStr">
        <is>
          <t>DALARNAS LÄN</t>
        </is>
      </c>
      <c r="E629" t="inlineStr">
        <is>
          <t>MORA</t>
        </is>
      </c>
      <c r="G629" t="n">
        <v>2.3</v>
      </c>
      <c r="H629" t="n">
        <v>0</v>
      </c>
      <c r="I629" t="n">
        <v>0</v>
      </c>
      <c r="J629" t="n">
        <v>0</v>
      </c>
      <c r="K629" t="n">
        <v>0</v>
      </c>
      <c r="L629" t="n">
        <v>0</v>
      </c>
      <c r="M629" t="n">
        <v>0</v>
      </c>
      <c r="N629" t="n">
        <v>0</v>
      </c>
      <c r="O629" t="n">
        <v>0</v>
      </c>
      <c r="P629" t="n">
        <v>0</v>
      </c>
      <c r="Q629" t="n">
        <v>0</v>
      </c>
      <c r="R629" s="2" t="inlineStr"/>
    </row>
    <row r="630" ht="15" customHeight="1">
      <c r="A630" t="inlineStr">
        <is>
          <t>A 3531-2024</t>
        </is>
      </c>
      <c r="B630" s="1" t="n">
        <v>45320</v>
      </c>
      <c r="C630" s="1" t="n">
        <v>45969</v>
      </c>
      <c r="D630" t="inlineStr">
        <is>
          <t>DALARNAS LÄN</t>
        </is>
      </c>
      <c r="E630" t="inlineStr">
        <is>
          <t>MORA</t>
        </is>
      </c>
      <c r="G630" t="n">
        <v>1.4</v>
      </c>
      <c r="H630" t="n">
        <v>0</v>
      </c>
      <c r="I630" t="n">
        <v>0</v>
      </c>
      <c r="J630" t="n">
        <v>0</v>
      </c>
      <c r="K630" t="n">
        <v>0</v>
      </c>
      <c r="L630" t="n">
        <v>0</v>
      </c>
      <c r="M630" t="n">
        <v>0</v>
      </c>
      <c r="N630" t="n">
        <v>0</v>
      </c>
      <c r="O630" t="n">
        <v>0</v>
      </c>
      <c r="P630" t="n">
        <v>0</v>
      </c>
      <c r="Q630" t="n">
        <v>0</v>
      </c>
      <c r="R630" s="2" t="inlineStr"/>
      <c r="U630">
        <f>HYPERLINK("https://klasma.github.io/Logging_2062/knärot/A 3531-2024 karta knärot.png", "A 3531-2024")</f>
        <v/>
      </c>
      <c r="V630">
        <f>HYPERLINK("https://klasma.github.io/Logging_2062/klagomål/A 3531-2024 FSC-klagomål.docx", "A 3531-2024")</f>
        <v/>
      </c>
      <c r="W630">
        <f>HYPERLINK("https://klasma.github.io/Logging_2062/klagomålsmail/A 3531-2024 FSC-klagomål mail.docx", "A 3531-2024")</f>
        <v/>
      </c>
      <c r="X630">
        <f>HYPERLINK("https://klasma.github.io/Logging_2062/tillsyn/A 3531-2024 tillsynsbegäran.docx", "A 3531-2024")</f>
        <v/>
      </c>
      <c r="Y630">
        <f>HYPERLINK("https://klasma.github.io/Logging_2062/tillsynsmail/A 3531-2024 tillsynsbegäran mail.docx", "A 3531-2024")</f>
        <v/>
      </c>
    </row>
    <row r="631" ht="15" customHeight="1">
      <c r="A631" t="inlineStr">
        <is>
          <t>A 34005-2025</t>
        </is>
      </c>
      <c r="B631" s="1" t="n">
        <v>45844.58890046296</v>
      </c>
      <c r="C631" s="1" t="n">
        <v>45969</v>
      </c>
      <c r="D631" t="inlineStr">
        <is>
          <t>DALARNAS LÄN</t>
        </is>
      </c>
      <c r="E631" t="inlineStr">
        <is>
          <t>MORA</t>
        </is>
      </c>
      <c r="G631" t="n">
        <v>7.2</v>
      </c>
      <c r="H631" t="n">
        <v>0</v>
      </c>
      <c r="I631" t="n">
        <v>0</v>
      </c>
      <c r="J631" t="n">
        <v>0</v>
      </c>
      <c r="K631" t="n">
        <v>0</v>
      </c>
      <c r="L631" t="n">
        <v>0</v>
      </c>
      <c r="M631" t="n">
        <v>0</v>
      </c>
      <c r="N631" t="n">
        <v>0</v>
      </c>
      <c r="O631" t="n">
        <v>0</v>
      </c>
      <c r="P631" t="n">
        <v>0</v>
      </c>
      <c r="Q631" t="n">
        <v>0</v>
      </c>
      <c r="R631" s="2" t="inlineStr"/>
    </row>
    <row r="632" ht="15" customHeight="1">
      <c r="A632" t="inlineStr">
        <is>
          <t>A 34382-2025</t>
        </is>
      </c>
      <c r="B632" s="1" t="n">
        <v>45846</v>
      </c>
      <c r="C632" s="1" t="n">
        <v>45969</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39009-2023</t>
        </is>
      </c>
      <c r="B633" s="1" t="n">
        <v>45162</v>
      </c>
      <c r="C633" s="1" t="n">
        <v>45969</v>
      </c>
      <c r="D633" t="inlineStr">
        <is>
          <t>DALARNAS LÄN</t>
        </is>
      </c>
      <c r="E633" t="inlineStr">
        <is>
          <t>MORA</t>
        </is>
      </c>
      <c r="G633" t="n">
        <v>1.9</v>
      </c>
      <c r="H633" t="n">
        <v>0</v>
      </c>
      <c r="I633" t="n">
        <v>0</v>
      </c>
      <c r="J633" t="n">
        <v>0</v>
      </c>
      <c r="K633" t="n">
        <v>0</v>
      </c>
      <c r="L633" t="n">
        <v>0</v>
      </c>
      <c r="M633" t="n">
        <v>0</v>
      </c>
      <c r="N633" t="n">
        <v>0</v>
      </c>
      <c r="O633" t="n">
        <v>0</v>
      </c>
      <c r="P633" t="n">
        <v>0</v>
      </c>
      <c r="Q633" t="n">
        <v>0</v>
      </c>
      <c r="R633" s="2" t="inlineStr"/>
    </row>
    <row r="634" ht="15" customHeight="1">
      <c r="A634" t="inlineStr">
        <is>
          <t>A 34182-2025</t>
        </is>
      </c>
      <c r="B634" s="1" t="n">
        <v>45845.60520833333</v>
      </c>
      <c r="C634" s="1" t="n">
        <v>45969</v>
      </c>
      <c r="D634" t="inlineStr">
        <is>
          <t>DALARNAS LÄN</t>
        </is>
      </c>
      <c r="E634" t="inlineStr">
        <is>
          <t>MORA</t>
        </is>
      </c>
      <c r="G634" t="n">
        <v>3.4</v>
      </c>
      <c r="H634" t="n">
        <v>0</v>
      </c>
      <c r="I634" t="n">
        <v>0</v>
      </c>
      <c r="J634" t="n">
        <v>0</v>
      </c>
      <c r="K634" t="n">
        <v>0</v>
      </c>
      <c r="L634" t="n">
        <v>0</v>
      </c>
      <c r="M634" t="n">
        <v>0</v>
      </c>
      <c r="N634" t="n">
        <v>0</v>
      </c>
      <c r="O634" t="n">
        <v>0</v>
      </c>
      <c r="P634" t="n">
        <v>0</v>
      </c>
      <c r="Q634" t="n">
        <v>0</v>
      </c>
      <c r="R634" s="2" t="inlineStr"/>
    </row>
    <row r="635" ht="15" customHeight="1">
      <c r="A635" t="inlineStr">
        <is>
          <t>A 34482-2025</t>
        </is>
      </c>
      <c r="B635" s="1" t="n">
        <v>45847.38469907407</v>
      </c>
      <c r="C635" s="1" t="n">
        <v>45969</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53982-2025</t>
        </is>
      </c>
      <c r="B636" s="1" t="n">
        <v>45961.57019675926</v>
      </c>
      <c r="C636" s="1" t="n">
        <v>45969</v>
      </c>
      <c r="D636" t="inlineStr">
        <is>
          <t>DALARNAS LÄN</t>
        </is>
      </c>
      <c r="E636" t="inlineStr">
        <is>
          <t>MORA</t>
        </is>
      </c>
      <c r="G636" t="n">
        <v>0.8</v>
      </c>
      <c r="H636" t="n">
        <v>0</v>
      </c>
      <c r="I636" t="n">
        <v>0</v>
      </c>
      <c r="J636" t="n">
        <v>0</v>
      </c>
      <c r="K636" t="n">
        <v>0</v>
      </c>
      <c r="L636" t="n">
        <v>0</v>
      </c>
      <c r="M636" t="n">
        <v>0</v>
      </c>
      <c r="N636" t="n">
        <v>0</v>
      </c>
      <c r="O636" t="n">
        <v>0</v>
      </c>
      <c r="P636" t="n">
        <v>0</v>
      </c>
      <c r="Q636" t="n">
        <v>0</v>
      </c>
      <c r="R636" s="2" t="inlineStr"/>
    </row>
    <row r="637" ht="15" customHeight="1">
      <c r="A637" t="inlineStr">
        <is>
          <t>A 44769-2021</t>
        </is>
      </c>
      <c r="B637" s="1" t="n">
        <v>44438</v>
      </c>
      <c r="C637" s="1" t="n">
        <v>45969</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28487-2024</t>
        </is>
      </c>
      <c r="B638" s="1" t="n">
        <v>45477.75744212963</v>
      </c>
      <c r="C638" s="1" t="n">
        <v>45969</v>
      </c>
      <c r="D638" t="inlineStr">
        <is>
          <t>DALARNAS LÄN</t>
        </is>
      </c>
      <c r="E638" t="inlineStr">
        <is>
          <t>MORA</t>
        </is>
      </c>
      <c r="G638" t="n">
        <v>3.1</v>
      </c>
      <c r="H638" t="n">
        <v>0</v>
      </c>
      <c r="I638" t="n">
        <v>0</v>
      </c>
      <c r="J638" t="n">
        <v>0</v>
      </c>
      <c r="K638" t="n">
        <v>0</v>
      </c>
      <c r="L638" t="n">
        <v>0</v>
      </c>
      <c r="M638" t="n">
        <v>0</v>
      </c>
      <c r="N638" t="n">
        <v>0</v>
      </c>
      <c r="O638" t="n">
        <v>0</v>
      </c>
      <c r="P638" t="n">
        <v>0</v>
      </c>
      <c r="Q638" t="n">
        <v>0</v>
      </c>
      <c r="R638" s="2" t="inlineStr"/>
    </row>
    <row r="639" ht="15" customHeight="1">
      <c r="A639" t="inlineStr">
        <is>
          <t>A 34933-2025</t>
        </is>
      </c>
      <c r="B639" s="1" t="n">
        <v>45849.57297453703</v>
      </c>
      <c r="C639" s="1" t="n">
        <v>45969</v>
      </c>
      <c r="D639" t="inlineStr">
        <is>
          <t>DALARNAS LÄN</t>
        </is>
      </c>
      <c r="E639" t="inlineStr">
        <is>
          <t>MORA</t>
        </is>
      </c>
      <c r="F639" t="inlineStr">
        <is>
          <t>Bergvik skog väst AB</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48728-2022</t>
        </is>
      </c>
      <c r="B640" s="1" t="n">
        <v>44859.52145833334</v>
      </c>
      <c r="C640" s="1" t="n">
        <v>45969</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35121-2025</t>
        </is>
      </c>
      <c r="B641" s="1" t="n">
        <v>45852.60936342592</v>
      </c>
      <c r="C641" s="1" t="n">
        <v>45969</v>
      </c>
      <c r="D641" t="inlineStr">
        <is>
          <t>DALARNAS LÄN</t>
        </is>
      </c>
      <c r="E641" t="inlineStr">
        <is>
          <t>MORA</t>
        </is>
      </c>
      <c r="F641" t="inlineStr">
        <is>
          <t>Bergvik skog öst AB</t>
        </is>
      </c>
      <c r="G641" t="n">
        <v>15.9</v>
      </c>
      <c r="H641" t="n">
        <v>0</v>
      </c>
      <c r="I641" t="n">
        <v>0</v>
      </c>
      <c r="J641" t="n">
        <v>0</v>
      </c>
      <c r="K641" t="n">
        <v>0</v>
      </c>
      <c r="L641" t="n">
        <v>0</v>
      </c>
      <c r="M641" t="n">
        <v>0</v>
      </c>
      <c r="N641" t="n">
        <v>0</v>
      </c>
      <c r="O641" t="n">
        <v>0</v>
      </c>
      <c r="P641" t="n">
        <v>0</v>
      </c>
      <c r="Q641" t="n">
        <v>0</v>
      </c>
      <c r="R641" s="2" t="inlineStr"/>
    </row>
    <row r="642" ht="15" customHeight="1">
      <c r="A642" t="inlineStr">
        <is>
          <t>A 61222-2023</t>
        </is>
      </c>
      <c r="B642" s="1" t="n">
        <v>45264</v>
      </c>
      <c r="C642" s="1" t="n">
        <v>45969</v>
      </c>
      <c r="D642" t="inlineStr">
        <is>
          <t>DALARNAS LÄN</t>
        </is>
      </c>
      <c r="E642" t="inlineStr">
        <is>
          <t>MORA</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45191-2025</t>
        </is>
      </c>
      <c r="B643" s="1" t="n">
        <v>45919.54811342592</v>
      </c>
      <c r="C643" s="1" t="n">
        <v>45969</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35407-2025</t>
        </is>
      </c>
      <c r="B644" s="1" t="n">
        <v>45855.35989583333</v>
      </c>
      <c r="C644" s="1" t="n">
        <v>45969</v>
      </c>
      <c r="D644" t="inlineStr">
        <is>
          <t>DALARNAS LÄN</t>
        </is>
      </c>
      <c r="E644" t="inlineStr">
        <is>
          <t>MORA</t>
        </is>
      </c>
      <c r="G644" t="n">
        <v>1.4</v>
      </c>
      <c r="H644" t="n">
        <v>0</v>
      </c>
      <c r="I644" t="n">
        <v>0</v>
      </c>
      <c r="J644" t="n">
        <v>0</v>
      </c>
      <c r="K644" t="n">
        <v>0</v>
      </c>
      <c r="L644" t="n">
        <v>0</v>
      </c>
      <c r="M644" t="n">
        <v>0</v>
      </c>
      <c r="N644" t="n">
        <v>0</v>
      </c>
      <c r="O644" t="n">
        <v>0</v>
      </c>
      <c r="P644" t="n">
        <v>0</v>
      </c>
      <c r="Q644" t="n">
        <v>0</v>
      </c>
      <c r="R644" s="2" t="inlineStr"/>
    </row>
    <row r="645" ht="15" customHeight="1">
      <c r="A645" t="inlineStr">
        <is>
          <t>A 35611-2025</t>
        </is>
      </c>
      <c r="B645" s="1" t="n">
        <v>45859.35384259259</v>
      </c>
      <c r="C645" s="1" t="n">
        <v>45969</v>
      </c>
      <c r="D645" t="inlineStr">
        <is>
          <t>DALARNAS LÄN</t>
        </is>
      </c>
      <c r="E645" t="inlineStr">
        <is>
          <t>MORA</t>
        </is>
      </c>
      <c r="G645" t="n">
        <v>2.5</v>
      </c>
      <c r="H645" t="n">
        <v>0</v>
      </c>
      <c r="I645" t="n">
        <v>0</v>
      </c>
      <c r="J645" t="n">
        <v>0</v>
      </c>
      <c r="K645" t="n">
        <v>0</v>
      </c>
      <c r="L645" t="n">
        <v>0</v>
      </c>
      <c r="M645" t="n">
        <v>0</v>
      </c>
      <c r="N645" t="n">
        <v>0</v>
      </c>
      <c r="O645" t="n">
        <v>0</v>
      </c>
      <c r="P645" t="n">
        <v>0</v>
      </c>
      <c r="Q645" t="n">
        <v>0</v>
      </c>
      <c r="R645" s="2" t="inlineStr"/>
    </row>
    <row r="646" ht="15" customHeight="1">
      <c r="A646" t="inlineStr">
        <is>
          <t>A 35622-2025</t>
        </is>
      </c>
      <c r="B646" s="1" t="n">
        <v>45859</v>
      </c>
      <c r="C646" s="1" t="n">
        <v>45969</v>
      </c>
      <c r="D646" t="inlineStr">
        <is>
          <t>DALARNAS LÄN</t>
        </is>
      </c>
      <c r="E646" t="inlineStr">
        <is>
          <t>MORA</t>
        </is>
      </c>
      <c r="F646" t="inlineStr">
        <is>
          <t>Bergvik skog öst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45181-2025</t>
        </is>
      </c>
      <c r="B647" s="1" t="n">
        <v>45919.53329861111</v>
      </c>
      <c r="C647" s="1" t="n">
        <v>45969</v>
      </c>
      <c r="D647" t="inlineStr">
        <is>
          <t>DALARNAS LÄN</t>
        </is>
      </c>
      <c r="E647" t="inlineStr">
        <is>
          <t>MORA</t>
        </is>
      </c>
      <c r="G647" t="n">
        <v>4.5</v>
      </c>
      <c r="H647" t="n">
        <v>0</v>
      </c>
      <c r="I647" t="n">
        <v>0</v>
      </c>
      <c r="J647" t="n">
        <v>0</v>
      </c>
      <c r="K647" t="n">
        <v>0</v>
      </c>
      <c r="L647" t="n">
        <v>0</v>
      </c>
      <c r="M647" t="n">
        <v>0</v>
      </c>
      <c r="N647" t="n">
        <v>0</v>
      </c>
      <c r="O647" t="n">
        <v>0</v>
      </c>
      <c r="P647" t="n">
        <v>0</v>
      </c>
      <c r="Q647" t="n">
        <v>0</v>
      </c>
      <c r="R647" s="2" t="inlineStr"/>
    </row>
    <row r="648" ht="15" customHeight="1">
      <c r="A648" t="inlineStr">
        <is>
          <t>A 35734-2025</t>
        </is>
      </c>
      <c r="B648" s="1" t="n">
        <v>45860.471875</v>
      </c>
      <c r="C648" s="1" t="n">
        <v>45969</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9277-2024</t>
        </is>
      </c>
      <c r="B649" s="1" t="n">
        <v>45358.63265046296</v>
      </c>
      <c r="C649" s="1" t="n">
        <v>45969</v>
      </c>
      <c r="D649" t="inlineStr">
        <is>
          <t>DALARNAS LÄN</t>
        </is>
      </c>
      <c r="E649" t="inlineStr">
        <is>
          <t>MORA</t>
        </is>
      </c>
      <c r="G649" t="n">
        <v>1.7</v>
      </c>
      <c r="H649" t="n">
        <v>0</v>
      </c>
      <c r="I649" t="n">
        <v>0</v>
      </c>
      <c r="J649" t="n">
        <v>0</v>
      </c>
      <c r="K649" t="n">
        <v>0</v>
      </c>
      <c r="L649" t="n">
        <v>0</v>
      </c>
      <c r="M649" t="n">
        <v>0</v>
      </c>
      <c r="N649" t="n">
        <v>0</v>
      </c>
      <c r="O649" t="n">
        <v>0</v>
      </c>
      <c r="P649" t="n">
        <v>0</v>
      </c>
      <c r="Q649" t="n">
        <v>0</v>
      </c>
      <c r="R649" s="2" t="inlineStr"/>
    </row>
    <row r="650" ht="15" customHeight="1">
      <c r="A650" t="inlineStr">
        <is>
          <t>A 54099-2025</t>
        </is>
      </c>
      <c r="B650" s="1" t="n">
        <v>45964.41665509259</v>
      </c>
      <c r="C650" s="1" t="n">
        <v>45969</v>
      </c>
      <c r="D650" t="inlineStr">
        <is>
          <t>DALARNAS LÄN</t>
        </is>
      </c>
      <c r="E650" t="inlineStr">
        <is>
          <t>MORA</t>
        </is>
      </c>
      <c r="G650" t="n">
        <v>5.3</v>
      </c>
      <c r="H650" t="n">
        <v>0</v>
      </c>
      <c r="I650" t="n">
        <v>0</v>
      </c>
      <c r="J650" t="n">
        <v>0</v>
      </c>
      <c r="K650" t="n">
        <v>0</v>
      </c>
      <c r="L650" t="n">
        <v>0</v>
      </c>
      <c r="M650" t="n">
        <v>0</v>
      </c>
      <c r="N650" t="n">
        <v>0</v>
      </c>
      <c r="O650" t="n">
        <v>0</v>
      </c>
      <c r="P650" t="n">
        <v>0</v>
      </c>
      <c r="Q650" t="n">
        <v>0</v>
      </c>
      <c r="R650" s="2" t="inlineStr"/>
    </row>
    <row r="651" ht="15" customHeight="1">
      <c r="A651" t="inlineStr">
        <is>
          <t>A 35623-2025</t>
        </is>
      </c>
      <c r="B651" s="1" t="n">
        <v>45859</v>
      </c>
      <c r="C651" s="1" t="n">
        <v>45969</v>
      </c>
      <c r="D651" t="inlineStr">
        <is>
          <t>DALARNAS LÄN</t>
        </is>
      </c>
      <c r="E651" t="inlineStr">
        <is>
          <t>MORA</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60526-2023</t>
        </is>
      </c>
      <c r="B652" s="1" t="n">
        <v>45259</v>
      </c>
      <c r="C652" s="1" t="n">
        <v>45969</v>
      </c>
      <c r="D652" t="inlineStr">
        <is>
          <t>DALARNAS LÄN</t>
        </is>
      </c>
      <c r="E652" t="inlineStr">
        <is>
          <t>MORA</t>
        </is>
      </c>
      <c r="G652" t="n">
        <v>6.7</v>
      </c>
      <c r="H652" t="n">
        <v>0</v>
      </c>
      <c r="I652" t="n">
        <v>0</v>
      </c>
      <c r="J652" t="n">
        <v>0</v>
      </c>
      <c r="K652" t="n">
        <v>0</v>
      </c>
      <c r="L652" t="n">
        <v>0</v>
      </c>
      <c r="M652" t="n">
        <v>0</v>
      </c>
      <c r="N652" t="n">
        <v>0</v>
      </c>
      <c r="O652" t="n">
        <v>0</v>
      </c>
      <c r="P652" t="n">
        <v>0</v>
      </c>
      <c r="Q652" t="n">
        <v>0</v>
      </c>
      <c r="R652" s="2" t="inlineStr"/>
    </row>
    <row r="653" ht="15" customHeight="1">
      <c r="A653" t="inlineStr">
        <is>
          <t>A 35624-2025</t>
        </is>
      </c>
      <c r="B653" s="1" t="n">
        <v>45859</v>
      </c>
      <c r="C653" s="1" t="n">
        <v>45969</v>
      </c>
      <c r="D653" t="inlineStr">
        <is>
          <t>DALARNAS LÄN</t>
        </is>
      </c>
      <c r="E653" t="inlineStr">
        <is>
          <t>MORA</t>
        </is>
      </c>
      <c r="F653" t="inlineStr">
        <is>
          <t>Bergvik skog öst AB</t>
        </is>
      </c>
      <c r="G653" t="n">
        <v>0.8</v>
      </c>
      <c r="H653" t="n">
        <v>0</v>
      </c>
      <c r="I653" t="n">
        <v>0</v>
      </c>
      <c r="J653" t="n">
        <v>0</v>
      </c>
      <c r="K653" t="n">
        <v>0</v>
      </c>
      <c r="L653" t="n">
        <v>0</v>
      </c>
      <c r="M653" t="n">
        <v>0</v>
      </c>
      <c r="N653" t="n">
        <v>0</v>
      </c>
      <c r="O653" t="n">
        <v>0</v>
      </c>
      <c r="P653" t="n">
        <v>0</v>
      </c>
      <c r="Q653" t="n">
        <v>0</v>
      </c>
      <c r="R653" s="2" t="inlineStr"/>
    </row>
    <row r="654" ht="15" customHeight="1">
      <c r="A654" t="inlineStr">
        <is>
          <t>A 63958-2023</t>
        </is>
      </c>
      <c r="B654" s="1" t="n">
        <v>45278</v>
      </c>
      <c r="C654" s="1" t="n">
        <v>45969</v>
      </c>
      <c r="D654" t="inlineStr">
        <is>
          <t>DALARNAS LÄN</t>
        </is>
      </c>
      <c r="E654" t="inlineStr">
        <is>
          <t>MORA</t>
        </is>
      </c>
      <c r="G654" t="n">
        <v>1.9</v>
      </c>
      <c r="H654" t="n">
        <v>0</v>
      </c>
      <c r="I654" t="n">
        <v>0</v>
      </c>
      <c r="J654" t="n">
        <v>0</v>
      </c>
      <c r="K654" t="n">
        <v>0</v>
      </c>
      <c r="L654" t="n">
        <v>0</v>
      </c>
      <c r="M654" t="n">
        <v>0</v>
      </c>
      <c r="N654" t="n">
        <v>0</v>
      </c>
      <c r="O654" t="n">
        <v>0</v>
      </c>
      <c r="P654" t="n">
        <v>0</v>
      </c>
      <c r="Q654" t="n">
        <v>0</v>
      </c>
      <c r="R654" s="2" t="inlineStr"/>
    </row>
    <row r="655" ht="15" customHeight="1">
      <c r="A655" t="inlineStr">
        <is>
          <t>A 52908-2023</t>
        </is>
      </c>
      <c r="B655" s="1" t="n">
        <v>45226.49950231481</v>
      </c>
      <c r="C655" s="1" t="n">
        <v>45969</v>
      </c>
      <c r="D655" t="inlineStr">
        <is>
          <t>DALARNAS LÄN</t>
        </is>
      </c>
      <c r="E655" t="inlineStr">
        <is>
          <t>MORA</t>
        </is>
      </c>
      <c r="G655" t="n">
        <v>3.3</v>
      </c>
      <c r="H655" t="n">
        <v>0</v>
      </c>
      <c r="I655" t="n">
        <v>0</v>
      </c>
      <c r="J655" t="n">
        <v>0</v>
      </c>
      <c r="K655" t="n">
        <v>0</v>
      </c>
      <c r="L655" t="n">
        <v>0</v>
      </c>
      <c r="M655" t="n">
        <v>0</v>
      </c>
      <c r="N655" t="n">
        <v>0</v>
      </c>
      <c r="O655" t="n">
        <v>0</v>
      </c>
      <c r="P655" t="n">
        <v>0</v>
      </c>
      <c r="Q655" t="n">
        <v>0</v>
      </c>
      <c r="R655" s="2" t="inlineStr"/>
    </row>
    <row r="656" ht="15" customHeight="1">
      <c r="A656" t="inlineStr">
        <is>
          <t>A 19896-2021</t>
        </is>
      </c>
      <c r="B656" s="1" t="n">
        <v>44313.54942129629</v>
      </c>
      <c r="C656" s="1" t="n">
        <v>45969</v>
      </c>
      <c r="D656" t="inlineStr">
        <is>
          <t>DALARNAS LÄN</t>
        </is>
      </c>
      <c r="E656" t="inlineStr">
        <is>
          <t>MORA</t>
        </is>
      </c>
      <c r="G656" t="n">
        <v>1.8</v>
      </c>
      <c r="H656" t="n">
        <v>0</v>
      </c>
      <c r="I656" t="n">
        <v>0</v>
      </c>
      <c r="J656" t="n">
        <v>0</v>
      </c>
      <c r="K656" t="n">
        <v>0</v>
      </c>
      <c r="L656" t="n">
        <v>0</v>
      </c>
      <c r="M656" t="n">
        <v>0</v>
      </c>
      <c r="N656" t="n">
        <v>0</v>
      </c>
      <c r="O656" t="n">
        <v>0</v>
      </c>
      <c r="P656" t="n">
        <v>0</v>
      </c>
      <c r="Q656" t="n">
        <v>0</v>
      </c>
      <c r="R656" s="2" t="inlineStr"/>
    </row>
    <row r="657" ht="15" customHeight="1">
      <c r="A657" t="inlineStr">
        <is>
          <t>A 36041-2025</t>
        </is>
      </c>
      <c r="B657" s="1" t="n">
        <v>45866.34385416667</v>
      </c>
      <c r="C657" s="1" t="n">
        <v>45969</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51253-2023</t>
        </is>
      </c>
      <c r="B658" s="1" t="n">
        <v>45219</v>
      </c>
      <c r="C658" s="1" t="n">
        <v>45969</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58116-2022</t>
        </is>
      </c>
      <c r="B659" s="1" t="n">
        <v>44900.65716435185</v>
      </c>
      <c r="C659" s="1" t="n">
        <v>45969</v>
      </c>
      <c r="D659" t="inlineStr">
        <is>
          <t>DALARNAS LÄN</t>
        </is>
      </c>
      <c r="E659" t="inlineStr">
        <is>
          <t>MORA</t>
        </is>
      </c>
      <c r="G659" t="n">
        <v>2.9</v>
      </c>
      <c r="H659" t="n">
        <v>0</v>
      </c>
      <c r="I659" t="n">
        <v>0</v>
      </c>
      <c r="J659" t="n">
        <v>0</v>
      </c>
      <c r="K659" t="n">
        <v>0</v>
      </c>
      <c r="L659" t="n">
        <v>0</v>
      </c>
      <c r="M659" t="n">
        <v>0</v>
      </c>
      <c r="N659" t="n">
        <v>0</v>
      </c>
      <c r="O659" t="n">
        <v>0</v>
      </c>
      <c r="P659" t="n">
        <v>0</v>
      </c>
      <c r="Q659" t="n">
        <v>0</v>
      </c>
      <c r="R659" s="2" t="inlineStr"/>
    </row>
    <row r="660" ht="15" customHeight="1">
      <c r="A660" t="inlineStr">
        <is>
          <t>A 16174-2025</t>
        </is>
      </c>
      <c r="B660" s="1" t="n">
        <v>45750</v>
      </c>
      <c r="C660" s="1" t="n">
        <v>45969</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46090-2025</t>
        </is>
      </c>
      <c r="B661" s="1" t="n">
        <v>45924.5253125</v>
      </c>
      <c r="C661" s="1" t="n">
        <v>45969</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36586-2025</t>
        </is>
      </c>
      <c r="B662" s="1" t="n">
        <v>45869</v>
      </c>
      <c r="C662" s="1" t="n">
        <v>45969</v>
      </c>
      <c r="D662" t="inlineStr">
        <is>
          <t>DALARNAS LÄN</t>
        </is>
      </c>
      <c r="E662" t="inlineStr">
        <is>
          <t>MORA</t>
        </is>
      </c>
      <c r="G662" t="n">
        <v>1.8</v>
      </c>
      <c r="H662" t="n">
        <v>0</v>
      </c>
      <c r="I662" t="n">
        <v>0</v>
      </c>
      <c r="J662" t="n">
        <v>0</v>
      </c>
      <c r="K662" t="n">
        <v>0</v>
      </c>
      <c r="L662" t="n">
        <v>0</v>
      </c>
      <c r="M662" t="n">
        <v>0</v>
      </c>
      <c r="N662" t="n">
        <v>0</v>
      </c>
      <c r="O662" t="n">
        <v>0</v>
      </c>
      <c r="P662" t="n">
        <v>0</v>
      </c>
      <c r="Q662" t="n">
        <v>0</v>
      </c>
      <c r="R662" s="2" t="inlineStr"/>
    </row>
    <row r="663" ht="15" customHeight="1">
      <c r="A663" t="inlineStr">
        <is>
          <t>A 33666-2024</t>
        </is>
      </c>
      <c r="B663" s="1" t="n">
        <v>45520.48304398148</v>
      </c>
      <c r="C663" s="1" t="n">
        <v>45969</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42941-2024</t>
        </is>
      </c>
      <c r="B664" s="1" t="n">
        <v>45567.3515162037</v>
      </c>
      <c r="C664" s="1" t="n">
        <v>45969</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36760-2025</t>
        </is>
      </c>
      <c r="B665" s="1" t="n">
        <v>45873.57319444444</v>
      </c>
      <c r="C665" s="1" t="n">
        <v>45969</v>
      </c>
      <c r="D665" t="inlineStr">
        <is>
          <t>DALARNAS LÄN</t>
        </is>
      </c>
      <c r="E665" t="inlineStr">
        <is>
          <t>MORA</t>
        </is>
      </c>
      <c r="G665" t="n">
        <v>4.6</v>
      </c>
      <c r="H665" t="n">
        <v>0</v>
      </c>
      <c r="I665" t="n">
        <v>0</v>
      </c>
      <c r="J665" t="n">
        <v>0</v>
      </c>
      <c r="K665" t="n">
        <v>0</v>
      </c>
      <c r="L665" t="n">
        <v>0</v>
      </c>
      <c r="M665" t="n">
        <v>0</v>
      </c>
      <c r="N665" t="n">
        <v>0</v>
      </c>
      <c r="O665" t="n">
        <v>0</v>
      </c>
      <c r="P665" t="n">
        <v>0</v>
      </c>
      <c r="Q665" t="n">
        <v>0</v>
      </c>
      <c r="R665" s="2" t="inlineStr"/>
    </row>
    <row r="666" ht="15" customHeight="1">
      <c r="A666" t="inlineStr">
        <is>
          <t>A 39674-2023</t>
        </is>
      </c>
      <c r="B666" s="1" t="n">
        <v>45167</v>
      </c>
      <c r="C666" s="1" t="n">
        <v>45969</v>
      </c>
      <c r="D666" t="inlineStr">
        <is>
          <t>DALARNAS LÄN</t>
        </is>
      </c>
      <c r="E666" t="inlineStr">
        <is>
          <t>MORA</t>
        </is>
      </c>
      <c r="G666" t="n">
        <v>2.4</v>
      </c>
      <c r="H666" t="n">
        <v>0</v>
      </c>
      <c r="I666" t="n">
        <v>0</v>
      </c>
      <c r="J666" t="n">
        <v>0</v>
      </c>
      <c r="K666" t="n">
        <v>0</v>
      </c>
      <c r="L666" t="n">
        <v>0</v>
      </c>
      <c r="M666" t="n">
        <v>0</v>
      </c>
      <c r="N666" t="n">
        <v>0</v>
      </c>
      <c r="O666" t="n">
        <v>0</v>
      </c>
      <c r="P666" t="n">
        <v>0</v>
      </c>
      <c r="Q666" t="n">
        <v>0</v>
      </c>
      <c r="R666" s="2" t="inlineStr"/>
    </row>
    <row r="667" ht="15" customHeight="1">
      <c r="A667" t="inlineStr">
        <is>
          <t>A 53341-2023</t>
        </is>
      </c>
      <c r="B667" s="1" t="n">
        <v>45229</v>
      </c>
      <c r="C667" s="1" t="n">
        <v>45969</v>
      </c>
      <c r="D667" t="inlineStr">
        <is>
          <t>DALARNAS LÄN</t>
        </is>
      </c>
      <c r="E667" t="inlineStr">
        <is>
          <t>MORA</t>
        </is>
      </c>
      <c r="G667" t="n">
        <v>2.1</v>
      </c>
      <c r="H667" t="n">
        <v>0</v>
      </c>
      <c r="I667" t="n">
        <v>0</v>
      </c>
      <c r="J667" t="n">
        <v>0</v>
      </c>
      <c r="K667" t="n">
        <v>0</v>
      </c>
      <c r="L667" t="n">
        <v>0</v>
      </c>
      <c r="M667" t="n">
        <v>0</v>
      </c>
      <c r="N667" t="n">
        <v>0</v>
      </c>
      <c r="O667" t="n">
        <v>0</v>
      </c>
      <c r="P667" t="n">
        <v>0</v>
      </c>
      <c r="Q667" t="n">
        <v>0</v>
      </c>
      <c r="R667" s="2" t="inlineStr"/>
    </row>
    <row r="668" ht="15" customHeight="1">
      <c r="A668" t="inlineStr">
        <is>
          <t>A 22854-2023</t>
        </is>
      </c>
      <c r="B668" s="1" t="n">
        <v>45072</v>
      </c>
      <c r="C668" s="1" t="n">
        <v>45969</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46091-2025</t>
        </is>
      </c>
      <c r="B669" s="1" t="n">
        <v>45924.52871527777</v>
      </c>
      <c r="C669" s="1" t="n">
        <v>45969</v>
      </c>
      <c r="D669" t="inlineStr">
        <is>
          <t>DALARNAS LÄN</t>
        </is>
      </c>
      <c r="E669" t="inlineStr">
        <is>
          <t>MORA</t>
        </is>
      </c>
      <c r="G669" t="n">
        <v>1.2</v>
      </c>
      <c r="H669" t="n">
        <v>0</v>
      </c>
      <c r="I669" t="n">
        <v>0</v>
      </c>
      <c r="J669" t="n">
        <v>0</v>
      </c>
      <c r="K669" t="n">
        <v>0</v>
      </c>
      <c r="L669" t="n">
        <v>0</v>
      </c>
      <c r="M669" t="n">
        <v>0</v>
      </c>
      <c r="N669" t="n">
        <v>0</v>
      </c>
      <c r="O669" t="n">
        <v>0</v>
      </c>
      <c r="P669" t="n">
        <v>0</v>
      </c>
      <c r="Q669" t="n">
        <v>0</v>
      </c>
      <c r="R669" s="2" t="inlineStr"/>
    </row>
    <row r="670" ht="15" customHeight="1">
      <c r="A670" t="inlineStr">
        <is>
          <t>A 36846-2025</t>
        </is>
      </c>
      <c r="B670" s="1" t="n">
        <v>45874.38655092593</v>
      </c>
      <c r="C670" s="1" t="n">
        <v>45969</v>
      </c>
      <c r="D670" t="inlineStr">
        <is>
          <t>DALARNAS LÄN</t>
        </is>
      </c>
      <c r="E670" t="inlineStr">
        <is>
          <t>MORA</t>
        </is>
      </c>
      <c r="G670" t="n">
        <v>10.7</v>
      </c>
      <c r="H670" t="n">
        <v>0</v>
      </c>
      <c r="I670" t="n">
        <v>0</v>
      </c>
      <c r="J670" t="n">
        <v>0</v>
      </c>
      <c r="K670" t="n">
        <v>0</v>
      </c>
      <c r="L670" t="n">
        <v>0</v>
      </c>
      <c r="M670" t="n">
        <v>0</v>
      </c>
      <c r="N670" t="n">
        <v>0</v>
      </c>
      <c r="O670" t="n">
        <v>0</v>
      </c>
      <c r="P670" t="n">
        <v>0</v>
      </c>
      <c r="Q670" t="n">
        <v>0</v>
      </c>
      <c r="R670" s="2" t="inlineStr"/>
    </row>
    <row r="671" ht="15" customHeight="1">
      <c r="A671" t="inlineStr">
        <is>
          <t>A 5001-2025</t>
        </is>
      </c>
      <c r="B671" s="1" t="n">
        <v>45691.36403935185</v>
      </c>
      <c r="C671" s="1" t="n">
        <v>45969</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54903-2024</t>
        </is>
      </c>
      <c r="B672" s="1" t="n">
        <v>45618</v>
      </c>
      <c r="C672" s="1" t="n">
        <v>45969</v>
      </c>
      <c r="D672" t="inlineStr">
        <is>
          <t>DALARNAS LÄN</t>
        </is>
      </c>
      <c r="E672" t="inlineStr">
        <is>
          <t>MORA</t>
        </is>
      </c>
      <c r="G672" t="n">
        <v>28.2</v>
      </c>
      <c r="H672" t="n">
        <v>0</v>
      </c>
      <c r="I672" t="n">
        <v>0</v>
      </c>
      <c r="J672" t="n">
        <v>0</v>
      </c>
      <c r="K672" t="n">
        <v>0</v>
      </c>
      <c r="L672" t="n">
        <v>0</v>
      </c>
      <c r="M672" t="n">
        <v>0</v>
      </c>
      <c r="N672" t="n">
        <v>0</v>
      </c>
      <c r="O672" t="n">
        <v>0</v>
      </c>
      <c r="P672" t="n">
        <v>0</v>
      </c>
      <c r="Q672" t="n">
        <v>0</v>
      </c>
      <c r="R672" s="2" t="inlineStr"/>
    </row>
    <row r="673" ht="15" customHeight="1">
      <c r="A673" t="inlineStr">
        <is>
          <t>A 54862-2025</t>
        </is>
      </c>
      <c r="B673" s="1" t="n">
        <v>45966.76542824074</v>
      </c>
      <c r="C673" s="1" t="n">
        <v>45969</v>
      </c>
      <c r="D673" t="inlineStr">
        <is>
          <t>DALARNAS LÄN</t>
        </is>
      </c>
      <c r="E673" t="inlineStr">
        <is>
          <t>MORA</t>
        </is>
      </c>
      <c r="G673" t="n">
        <v>1.2</v>
      </c>
      <c r="H673" t="n">
        <v>0</v>
      </c>
      <c r="I673" t="n">
        <v>0</v>
      </c>
      <c r="J673" t="n">
        <v>0</v>
      </c>
      <c r="K673" t="n">
        <v>0</v>
      </c>
      <c r="L673" t="n">
        <v>0</v>
      </c>
      <c r="M673" t="n">
        <v>0</v>
      </c>
      <c r="N673" t="n">
        <v>0</v>
      </c>
      <c r="O673" t="n">
        <v>0</v>
      </c>
      <c r="P673" t="n">
        <v>0</v>
      </c>
      <c r="Q673" t="n">
        <v>0</v>
      </c>
      <c r="R673" s="2" t="inlineStr"/>
    </row>
    <row r="674" ht="15" customHeight="1">
      <c r="A674" t="inlineStr">
        <is>
          <t>A 54548-2025</t>
        </is>
      </c>
      <c r="B674" s="1" t="n">
        <v>45965.6534837963</v>
      </c>
      <c r="C674" s="1" t="n">
        <v>45969</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37268-2025</t>
        </is>
      </c>
      <c r="B675" s="1" t="n">
        <v>45876.46681712963</v>
      </c>
      <c r="C675" s="1" t="n">
        <v>45969</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37070-2025</t>
        </is>
      </c>
      <c r="B676" s="1" t="n">
        <v>45875.39822916667</v>
      </c>
      <c r="C676" s="1" t="n">
        <v>45969</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54508-2025</t>
        </is>
      </c>
      <c r="B677" s="1" t="n">
        <v>45965.61844907407</v>
      </c>
      <c r="C677" s="1" t="n">
        <v>45969</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54504-2025</t>
        </is>
      </c>
      <c r="B678" s="1" t="n">
        <v>45965.61686342592</v>
      </c>
      <c r="C678" s="1" t="n">
        <v>45969</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54367-2025</t>
        </is>
      </c>
      <c r="B679" s="1" t="n">
        <v>45965.4031712963</v>
      </c>
      <c r="C679" s="1" t="n">
        <v>45969</v>
      </c>
      <c r="D679" t="inlineStr">
        <is>
          <t>DALARNAS LÄN</t>
        </is>
      </c>
      <c r="E679" t="inlineStr">
        <is>
          <t>MORA</t>
        </is>
      </c>
      <c r="G679" t="n">
        <v>7</v>
      </c>
      <c r="H679" t="n">
        <v>0</v>
      </c>
      <c r="I679" t="n">
        <v>0</v>
      </c>
      <c r="J679" t="n">
        <v>0</v>
      </c>
      <c r="K679" t="n">
        <v>0</v>
      </c>
      <c r="L679" t="n">
        <v>0</v>
      </c>
      <c r="M679" t="n">
        <v>0</v>
      </c>
      <c r="N679" t="n">
        <v>0</v>
      </c>
      <c r="O679" t="n">
        <v>0</v>
      </c>
      <c r="P679" t="n">
        <v>0</v>
      </c>
      <c r="Q679" t="n">
        <v>0</v>
      </c>
      <c r="R679" s="2" t="inlineStr"/>
    </row>
    <row r="680" ht="15" customHeight="1">
      <c r="A680" t="inlineStr">
        <is>
          <t>A 14040-2023</t>
        </is>
      </c>
      <c r="B680" s="1" t="n">
        <v>45008.64575231481</v>
      </c>
      <c r="C680" s="1" t="n">
        <v>45969</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55331-2022</t>
        </is>
      </c>
      <c r="B681" s="1" t="n">
        <v>44887.43714120371</v>
      </c>
      <c r="C681" s="1" t="n">
        <v>45969</v>
      </c>
      <c r="D681" t="inlineStr">
        <is>
          <t>DALARNAS LÄN</t>
        </is>
      </c>
      <c r="E681" t="inlineStr">
        <is>
          <t>MORA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45475-2023</t>
        </is>
      </c>
      <c r="B682" s="1" t="n">
        <v>45188</v>
      </c>
      <c r="C682" s="1" t="n">
        <v>45969</v>
      </c>
      <c r="D682" t="inlineStr">
        <is>
          <t>DALARNAS LÄN</t>
        </is>
      </c>
      <c r="E682" t="inlineStr">
        <is>
          <t>MORA</t>
        </is>
      </c>
      <c r="G682" t="n">
        <v>1.1</v>
      </c>
      <c r="H682" t="n">
        <v>0</v>
      </c>
      <c r="I682" t="n">
        <v>0</v>
      </c>
      <c r="J682" t="n">
        <v>0</v>
      </c>
      <c r="K682" t="n">
        <v>0</v>
      </c>
      <c r="L682" t="n">
        <v>0</v>
      </c>
      <c r="M682" t="n">
        <v>0</v>
      </c>
      <c r="N682" t="n">
        <v>0</v>
      </c>
      <c r="O682" t="n">
        <v>0</v>
      </c>
      <c r="P682" t="n">
        <v>0</v>
      </c>
      <c r="Q682" t="n">
        <v>0</v>
      </c>
      <c r="R682" s="2" t="inlineStr"/>
    </row>
    <row r="683" ht="15" customHeight="1">
      <c r="A683" t="inlineStr">
        <is>
          <t>A 38073-2025</t>
        </is>
      </c>
      <c r="B683" s="1" t="n">
        <v>45882</v>
      </c>
      <c r="C683" s="1" t="n">
        <v>45969</v>
      </c>
      <c r="D683" t="inlineStr">
        <is>
          <t>DALARNAS LÄN</t>
        </is>
      </c>
      <c r="E683" t="inlineStr">
        <is>
          <t>MORA</t>
        </is>
      </c>
      <c r="G683" t="n">
        <v>2.5</v>
      </c>
      <c r="H683" t="n">
        <v>0</v>
      </c>
      <c r="I683" t="n">
        <v>0</v>
      </c>
      <c r="J683" t="n">
        <v>0</v>
      </c>
      <c r="K683" t="n">
        <v>0</v>
      </c>
      <c r="L683" t="n">
        <v>0</v>
      </c>
      <c r="M683" t="n">
        <v>0</v>
      </c>
      <c r="N683" t="n">
        <v>0</v>
      </c>
      <c r="O683" t="n">
        <v>0</v>
      </c>
      <c r="P683" t="n">
        <v>0</v>
      </c>
      <c r="Q683" t="n">
        <v>0</v>
      </c>
      <c r="R683" s="2" t="inlineStr"/>
    </row>
    <row r="684" ht="15" customHeight="1">
      <c r="A684" t="inlineStr">
        <is>
          <t>A 38086-2025</t>
        </is>
      </c>
      <c r="B684" s="1" t="n">
        <v>45882.47625</v>
      </c>
      <c r="C684" s="1" t="n">
        <v>45969</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54518-2025</t>
        </is>
      </c>
      <c r="B685" s="1" t="n">
        <v>45965.62608796296</v>
      </c>
      <c r="C685" s="1" t="n">
        <v>45969</v>
      </c>
      <c r="D685" t="inlineStr">
        <is>
          <t>DALARNAS LÄN</t>
        </is>
      </c>
      <c r="E685" t="inlineStr">
        <is>
          <t>MORA</t>
        </is>
      </c>
      <c r="G685" t="n">
        <v>7.1</v>
      </c>
      <c r="H685" t="n">
        <v>0</v>
      </c>
      <c r="I685" t="n">
        <v>0</v>
      </c>
      <c r="J685" t="n">
        <v>0</v>
      </c>
      <c r="K685" t="n">
        <v>0</v>
      </c>
      <c r="L685" t="n">
        <v>0</v>
      </c>
      <c r="M685" t="n">
        <v>0</v>
      </c>
      <c r="N685" t="n">
        <v>0</v>
      </c>
      <c r="O685" t="n">
        <v>0</v>
      </c>
      <c r="P685" t="n">
        <v>0</v>
      </c>
      <c r="Q685" t="n">
        <v>0</v>
      </c>
      <c r="R685" s="2" t="inlineStr"/>
    </row>
    <row r="686" ht="15" customHeight="1">
      <c r="A686" t="inlineStr">
        <is>
          <t>A 11919-2024</t>
        </is>
      </c>
      <c r="B686" s="1" t="n">
        <v>45376.61019675926</v>
      </c>
      <c r="C686" s="1" t="n">
        <v>45969</v>
      </c>
      <c r="D686" t="inlineStr">
        <is>
          <t>DALARNAS LÄN</t>
        </is>
      </c>
      <c r="E686" t="inlineStr">
        <is>
          <t>MORA</t>
        </is>
      </c>
      <c r="G686" t="n">
        <v>3.5</v>
      </c>
      <c r="H686" t="n">
        <v>0</v>
      </c>
      <c r="I686" t="n">
        <v>0</v>
      </c>
      <c r="J686" t="n">
        <v>0</v>
      </c>
      <c r="K686" t="n">
        <v>0</v>
      </c>
      <c r="L686" t="n">
        <v>0</v>
      </c>
      <c r="M686" t="n">
        <v>0</v>
      </c>
      <c r="N686" t="n">
        <v>0</v>
      </c>
      <c r="O686" t="n">
        <v>0</v>
      </c>
      <c r="P686" t="n">
        <v>0</v>
      </c>
      <c r="Q686" t="n">
        <v>0</v>
      </c>
      <c r="R686" s="2" t="inlineStr"/>
    </row>
    <row r="687" ht="15" customHeight="1">
      <c r="A687" t="inlineStr">
        <is>
          <t>A 37879-2025</t>
        </is>
      </c>
      <c r="B687" s="1" t="n">
        <v>45881.48791666667</v>
      </c>
      <c r="C687" s="1" t="n">
        <v>45969</v>
      </c>
      <c r="D687" t="inlineStr">
        <is>
          <t>DALARNAS LÄN</t>
        </is>
      </c>
      <c r="E687" t="inlineStr">
        <is>
          <t>MORA</t>
        </is>
      </c>
      <c r="G687" t="n">
        <v>1.4</v>
      </c>
      <c r="H687" t="n">
        <v>0</v>
      </c>
      <c r="I687" t="n">
        <v>0</v>
      </c>
      <c r="J687" t="n">
        <v>0</v>
      </c>
      <c r="K687" t="n">
        <v>0</v>
      </c>
      <c r="L687" t="n">
        <v>0</v>
      </c>
      <c r="M687" t="n">
        <v>0</v>
      </c>
      <c r="N687" t="n">
        <v>0</v>
      </c>
      <c r="O687" t="n">
        <v>0</v>
      </c>
      <c r="P687" t="n">
        <v>0</v>
      </c>
      <c r="Q687" t="n">
        <v>0</v>
      </c>
      <c r="R687" s="2" t="inlineStr"/>
    </row>
    <row r="688" ht="15" customHeight="1">
      <c r="A688" t="inlineStr">
        <is>
          <t>A 53527-2024</t>
        </is>
      </c>
      <c r="B688" s="1" t="n">
        <v>45614.61569444444</v>
      </c>
      <c r="C688" s="1" t="n">
        <v>45969</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45315-2024</t>
        </is>
      </c>
      <c r="B689" s="1" t="n">
        <v>45576.43782407408</v>
      </c>
      <c r="C689" s="1" t="n">
        <v>45969</v>
      </c>
      <c r="D689" t="inlineStr">
        <is>
          <t>DALARNAS LÄN</t>
        </is>
      </c>
      <c r="E689" t="inlineStr">
        <is>
          <t>MORA</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54868-2025</t>
        </is>
      </c>
      <c r="B690" s="1" t="n">
        <v>45966.85649305556</v>
      </c>
      <c r="C690" s="1" t="n">
        <v>45969</v>
      </c>
      <c r="D690" t="inlineStr">
        <is>
          <t>DALARNAS LÄN</t>
        </is>
      </c>
      <c r="E690" t="inlineStr">
        <is>
          <t>MORA</t>
        </is>
      </c>
      <c r="F690" t="inlineStr">
        <is>
          <t>Bergvik skog väst AB</t>
        </is>
      </c>
      <c r="G690" t="n">
        <v>5.6</v>
      </c>
      <c r="H690" t="n">
        <v>0</v>
      </c>
      <c r="I690" t="n">
        <v>0</v>
      </c>
      <c r="J690" t="n">
        <v>0</v>
      </c>
      <c r="K690" t="n">
        <v>0</v>
      </c>
      <c r="L690" t="n">
        <v>0</v>
      </c>
      <c r="M690" t="n">
        <v>0</v>
      </c>
      <c r="N690" t="n">
        <v>0</v>
      </c>
      <c r="O690" t="n">
        <v>0</v>
      </c>
      <c r="P690" t="n">
        <v>0</v>
      </c>
      <c r="Q690" t="n">
        <v>0</v>
      </c>
      <c r="R690" s="2" t="inlineStr"/>
    </row>
    <row r="691" ht="15" customHeight="1">
      <c r="A691" t="inlineStr">
        <is>
          <t>A 54919-2025</t>
        </is>
      </c>
      <c r="B691" s="1" t="n">
        <v>45967.38884259259</v>
      </c>
      <c r="C691" s="1" t="n">
        <v>45969</v>
      </c>
      <c r="D691" t="inlineStr">
        <is>
          <t>DALARNAS LÄN</t>
        </is>
      </c>
      <c r="E691" t="inlineStr">
        <is>
          <t>MORA</t>
        </is>
      </c>
      <c r="F691" t="inlineStr">
        <is>
          <t>Bergvik skog väst AB</t>
        </is>
      </c>
      <c r="G691" t="n">
        <v>5.6</v>
      </c>
      <c r="H691" t="n">
        <v>0</v>
      </c>
      <c r="I691" t="n">
        <v>0</v>
      </c>
      <c r="J691" t="n">
        <v>0</v>
      </c>
      <c r="K691" t="n">
        <v>0</v>
      </c>
      <c r="L691" t="n">
        <v>0</v>
      </c>
      <c r="M691" t="n">
        <v>0</v>
      </c>
      <c r="N691" t="n">
        <v>0</v>
      </c>
      <c r="O691" t="n">
        <v>0</v>
      </c>
      <c r="P691" t="n">
        <v>0</v>
      </c>
      <c r="Q691" t="n">
        <v>0</v>
      </c>
      <c r="R691" s="2" t="inlineStr"/>
    </row>
    <row r="692" ht="15" customHeight="1">
      <c r="A692" t="inlineStr">
        <is>
          <t>A 55284-2025</t>
        </is>
      </c>
      <c r="B692" s="1" t="n">
        <v>45968.8227662037</v>
      </c>
      <c r="C692" s="1" t="n">
        <v>45969</v>
      </c>
      <c r="D692" t="inlineStr">
        <is>
          <t>DALARNAS LÄN</t>
        </is>
      </c>
      <c r="E692" t="inlineStr">
        <is>
          <t>MORA</t>
        </is>
      </c>
      <c r="G692" t="n">
        <v>2</v>
      </c>
      <c r="H692" t="n">
        <v>0</v>
      </c>
      <c r="I692" t="n">
        <v>0</v>
      </c>
      <c r="J692" t="n">
        <v>0</v>
      </c>
      <c r="K692" t="n">
        <v>0</v>
      </c>
      <c r="L692" t="n">
        <v>0</v>
      </c>
      <c r="M692" t="n">
        <v>0</v>
      </c>
      <c r="N692" t="n">
        <v>0</v>
      </c>
      <c r="O692" t="n">
        <v>0</v>
      </c>
      <c r="P692" t="n">
        <v>0</v>
      </c>
      <c r="Q692" t="n">
        <v>0</v>
      </c>
      <c r="R692" s="2" t="inlineStr"/>
    </row>
    <row r="693" ht="15" customHeight="1">
      <c r="A693" t="inlineStr">
        <is>
          <t>A 54905-2025</t>
        </is>
      </c>
      <c r="B693" s="1" t="n">
        <v>45967.3700462963</v>
      </c>
      <c r="C693" s="1" t="n">
        <v>45969</v>
      </c>
      <c r="D693" t="inlineStr">
        <is>
          <t>DALARNAS LÄN</t>
        </is>
      </c>
      <c r="E693" t="inlineStr">
        <is>
          <t>MORA</t>
        </is>
      </c>
      <c r="G693" t="n">
        <v>0.4</v>
      </c>
      <c r="H693" t="n">
        <v>0</v>
      </c>
      <c r="I693" t="n">
        <v>0</v>
      </c>
      <c r="J693" t="n">
        <v>0</v>
      </c>
      <c r="K693" t="n">
        <v>0</v>
      </c>
      <c r="L693" t="n">
        <v>0</v>
      </c>
      <c r="M693" t="n">
        <v>0</v>
      </c>
      <c r="N693" t="n">
        <v>0</v>
      </c>
      <c r="O693" t="n">
        <v>0</v>
      </c>
      <c r="P693" t="n">
        <v>0</v>
      </c>
      <c r="Q693" t="n">
        <v>0</v>
      </c>
      <c r="R693" s="2" t="inlineStr"/>
    </row>
    <row r="694" ht="15" customHeight="1">
      <c r="A694" t="inlineStr">
        <is>
          <t>A 54909-2025</t>
        </is>
      </c>
      <c r="B694" s="1" t="n">
        <v>45967.374375</v>
      </c>
      <c r="C694" s="1" t="n">
        <v>45969</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46525-2025</t>
        </is>
      </c>
      <c r="B695" s="1" t="n">
        <v>45926.3312962963</v>
      </c>
      <c r="C695" s="1" t="n">
        <v>45969</v>
      </c>
      <c r="D695" t="inlineStr">
        <is>
          <t>DALARNAS LÄN</t>
        </is>
      </c>
      <c r="E695" t="inlineStr">
        <is>
          <t>MORA</t>
        </is>
      </c>
      <c r="G695" t="n">
        <v>6.3</v>
      </c>
      <c r="H695" t="n">
        <v>0</v>
      </c>
      <c r="I695" t="n">
        <v>0</v>
      </c>
      <c r="J695" t="n">
        <v>0</v>
      </c>
      <c r="K695" t="n">
        <v>0</v>
      </c>
      <c r="L695" t="n">
        <v>0</v>
      </c>
      <c r="M695" t="n">
        <v>0</v>
      </c>
      <c r="N695" t="n">
        <v>0</v>
      </c>
      <c r="O695" t="n">
        <v>0</v>
      </c>
      <c r="P695" t="n">
        <v>0</v>
      </c>
      <c r="Q695" t="n">
        <v>0</v>
      </c>
      <c r="R695" s="2" t="inlineStr"/>
    </row>
    <row r="696" ht="15" customHeight="1">
      <c r="A696" t="inlineStr">
        <is>
          <t>A 46283-2025</t>
        </is>
      </c>
      <c r="B696" s="1" t="n">
        <v>45925</v>
      </c>
      <c r="C696" s="1" t="n">
        <v>45969</v>
      </c>
      <c r="D696" t="inlineStr">
        <is>
          <t>DALARNAS LÄN</t>
        </is>
      </c>
      <c r="E696" t="inlineStr">
        <is>
          <t>MORA</t>
        </is>
      </c>
      <c r="G696" t="n">
        <v>0.5</v>
      </c>
      <c r="H696" t="n">
        <v>0</v>
      </c>
      <c r="I696" t="n">
        <v>0</v>
      </c>
      <c r="J696" t="n">
        <v>0</v>
      </c>
      <c r="K696" t="n">
        <v>0</v>
      </c>
      <c r="L696" t="n">
        <v>0</v>
      </c>
      <c r="M696" t="n">
        <v>0</v>
      </c>
      <c r="N696" t="n">
        <v>0</v>
      </c>
      <c r="O696" t="n">
        <v>0</v>
      </c>
      <c r="P696" t="n">
        <v>0</v>
      </c>
      <c r="Q696" t="n">
        <v>0</v>
      </c>
      <c r="R696" s="2" t="inlineStr"/>
    </row>
    <row r="697" ht="15" customHeight="1">
      <c r="A697" t="inlineStr">
        <is>
          <t>A 55262-2025</t>
        </is>
      </c>
      <c r="B697" s="1" t="n">
        <v>45968.64847222222</v>
      </c>
      <c r="C697" s="1" t="n">
        <v>45969</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55124-2025</t>
        </is>
      </c>
      <c r="B698" s="1" t="n">
        <v>45968.40621527778</v>
      </c>
      <c r="C698" s="1" t="n">
        <v>45969</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55135-2025</t>
        </is>
      </c>
      <c r="B699" s="1" t="n">
        <v>45968.42591435185</v>
      </c>
      <c r="C699" s="1" t="n">
        <v>45969</v>
      </c>
      <c r="D699" t="inlineStr">
        <is>
          <t>DALARNAS LÄN</t>
        </is>
      </c>
      <c r="E699" t="inlineStr">
        <is>
          <t>MORA</t>
        </is>
      </c>
      <c r="G699" t="n">
        <v>5.1</v>
      </c>
      <c r="H699" t="n">
        <v>0</v>
      </c>
      <c r="I699" t="n">
        <v>0</v>
      </c>
      <c r="J699" t="n">
        <v>0</v>
      </c>
      <c r="K699" t="n">
        <v>0</v>
      </c>
      <c r="L699" t="n">
        <v>0</v>
      </c>
      <c r="M699" t="n">
        <v>0</v>
      </c>
      <c r="N699" t="n">
        <v>0</v>
      </c>
      <c r="O699" t="n">
        <v>0</v>
      </c>
      <c r="P699" t="n">
        <v>0</v>
      </c>
      <c r="Q699" t="n">
        <v>0</v>
      </c>
      <c r="R699" s="2" t="inlineStr"/>
    </row>
    <row r="700" ht="15" customHeight="1">
      <c r="A700" t="inlineStr">
        <is>
          <t>A 55123-2025</t>
        </is>
      </c>
      <c r="B700" s="1" t="n">
        <v>45968.40056712963</v>
      </c>
      <c r="C700" s="1" t="n">
        <v>45969</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46537-2025</t>
        </is>
      </c>
      <c r="B701" s="1" t="n">
        <v>45926.34195601852</v>
      </c>
      <c r="C701" s="1" t="n">
        <v>45969</v>
      </c>
      <c r="D701" t="inlineStr">
        <is>
          <t>DALARNAS LÄN</t>
        </is>
      </c>
      <c r="E701" t="inlineStr">
        <is>
          <t>MORA</t>
        </is>
      </c>
      <c r="G701" t="n">
        <v>10.6</v>
      </c>
      <c r="H701" t="n">
        <v>0</v>
      </c>
      <c r="I701" t="n">
        <v>0</v>
      </c>
      <c r="J701" t="n">
        <v>0</v>
      </c>
      <c r="K701" t="n">
        <v>0</v>
      </c>
      <c r="L701" t="n">
        <v>0</v>
      </c>
      <c r="M701" t="n">
        <v>0</v>
      </c>
      <c r="N701" t="n">
        <v>0</v>
      </c>
      <c r="O701" t="n">
        <v>0</v>
      </c>
      <c r="P701" t="n">
        <v>0</v>
      </c>
      <c r="Q701" t="n">
        <v>0</v>
      </c>
      <c r="R701" s="2" t="inlineStr"/>
    </row>
    <row r="702">
      <c r="A702" t="inlineStr">
        <is>
          <t>A 54910-2025</t>
        </is>
      </c>
      <c r="B702" s="1" t="n">
        <v>45967.37679398148</v>
      </c>
      <c r="C702" s="1" t="n">
        <v>45969</v>
      </c>
      <c r="D702" t="inlineStr">
        <is>
          <t>DALARNAS LÄN</t>
        </is>
      </c>
      <c r="E702" t="inlineStr">
        <is>
          <t>MORA</t>
        </is>
      </c>
      <c r="G702" t="n">
        <v>0.5</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2025-11-08T10:08:39Z</dcterms:created>
  <dcterms:modified xmlns:dcterms="http://purl.org/dc/terms/" xmlns:xsi="http://www.w3.org/2001/XMLSchema-instance" xsi:type="dcterms:W3CDTF">2025-11-08T10:08:40Z</dcterms:modified>
</cp:coreProperties>
</file>