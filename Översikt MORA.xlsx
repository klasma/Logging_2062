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46000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46000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46000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46000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46000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46000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46000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46000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46000</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46000</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45919.56107638889</v>
      </c>
      <c r="C12" s="1" t="n">
        <v>46000</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46000</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46000</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46000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46000</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46000</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46000</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23535-2025</t>
        </is>
      </c>
      <c r="B19" s="1" t="n">
        <v>45792</v>
      </c>
      <c r="C19" s="1" t="n">
        <v>46000</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46000</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46000</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46000</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46000</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5064-2023</t>
        </is>
      </c>
      <c r="B24" s="1" t="n">
        <v>44958.60337962963</v>
      </c>
      <c r="C24" s="1" t="n">
        <v>46000</v>
      </c>
      <c r="D24" t="inlineStr">
        <is>
          <t>DALARNAS LÄN</t>
        </is>
      </c>
      <c r="E24" t="inlineStr">
        <is>
          <t>MORA</t>
        </is>
      </c>
      <c r="G24" t="n">
        <v>3.9</v>
      </c>
      <c r="H24" t="n">
        <v>2</v>
      </c>
      <c r="I24" t="n">
        <v>1</v>
      </c>
      <c r="J24" t="n">
        <v>9</v>
      </c>
      <c r="K24" t="n">
        <v>0</v>
      </c>
      <c r="L24" t="n">
        <v>0</v>
      </c>
      <c r="M24" t="n">
        <v>0</v>
      </c>
      <c r="N24" t="n">
        <v>0</v>
      </c>
      <c r="O24" t="n">
        <v>9</v>
      </c>
      <c r="P24" t="n">
        <v>0</v>
      </c>
      <c r="Q24" t="n">
        <v>10</v>
      </c>
      <c r="R24" s="2" t="inlineStr">
        <is>
          <t>Garnlav
Granticka
Rosenticka
Spillkråka
Tallticka
Tretåig hackspett
Ullticka
Vedskivlav
Vitgrynig nållav
Bronshjon</t>
        </is>
      </c>
      <c r="S24">
        <f>HYPERLINK("https://klasma.github.io/Logging_2062/artfynd/A 5064-2023 artfynd.xlsx", "A 5064-2023")</f>
        <v/>
      </c>
      <c r="T24">
        <f>HYPERLINK("https://klasma.github.io/Logging_2062/kartor/A 5064-2023 karta.png", "A 5064-2023")</f>
        <v/>
      </c>
      <c r="V24">
        <f>HYPERLINK("https://klasma.github.io/Logging_2062/klagomål/A 5064-2023 FSC-klagomål.docx", "A 5064-2023")</f>
        <v/>
      </c>
      <c r="W24">
        <f>HYPERLINK("https://klasma.github.io/Logging_2062/klagomålsmail/A 5064-2023 FSC-klagomål mail.docx", "A 5064-2023")</f>
        <v/>
      </c>
      <c r="X24">
        <f>HYPERLINK("https://klasma.github.io/Logging_2062/tillsyn/A 5064-2023 tillsynsbegäran.docx", "A 5064-2023")</f>
        <v/>
      </c>
      <c r="Y24">
        <f>HYPERLINK("https://klasma.github.io/Logging_2062/tillsynsmail/A 5064-2023 tillsynsbegäran mail.docx", "A 5064-2023")</f>
        <v/>
      </c>
      <c r="Z24">
        <f>HYPERLINK("https://klasma.github.io/Logging_2062/fåglar/A 5064-2023 prioriterade fågelarter.docx", "A 5064-2023")</f>
        <v/>
      </c>
    </row>
    <row r="25" ht="15" customHeight="1">
      <c r="A25" t="inlineStr">
        <is>
          <t>A 56940-2025</t>
        </is>
      </c>
      <c r="B25" s="1" t="n">
        <v>45978.62241898148</v>
      </c>
      <c r="C25" s="1" t="n">
        <v>46000</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29934-2025</t>
        </is>
      </c>
      <c r="B26" s="1" t="n">
        <v>45826</v>
      </c>
      <c r="C26" s="1" t="n">
        <v>46000</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35944-2024</t>
        </is>
      </c>
      <c r="B27" s="1" t="n">
        <v>45533.45853009259</v>
      </c>
      <c r="C27" s="1" t="n">
        <v>46000</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34714-2025</t>
        </is>
      </c>
      <c r="B28" s="1" t="n">
        <v>45848</v>
      </c>
      <c r="C28" s="1" t="n">
        <v>46000</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41794-2025</t>
        </is>
      </c>
      <c r="B29" s="1" t="n">
        <v>45902.60008101852</v>
      </c>
      <c r="C29" s="1" t="n">
        <v>46000</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57661-2025</t>
        </is>
      </c>
      <c r="B30" s="1" t="n">
        <v>45981.41530092592</v>
      </c>
      <c r="C30" s="1" t="n">
        <v>46000</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46000</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40313-2025</t>
        </is>
      </c>
      <c r="B32" s="1" t="n">
        <v>45895.42209490741</v>
      </c>
      <c r="C32" s="1" t="n">
        <v>46000</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61943-2024</t>
        </is>
      </c>
      <c r="B33" s="1" t="n">
        <v>45653.49774305556</v>
      </c>
      <c r="C33" s="1" t="n">
        <v>46000</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21041-2023</t>
        </is>
      </c>
      <c r="B34" s="1" t="n">
        <v>45061.58952546296</v>
      </c>
      <c r="C34" s="1" t="n">
        <v>46000</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59983-2024</t>
        </is>
      </c>
      <c r="B35" s="1" t="n">
        <v>45642</v>
      </c>
      <c r="C35" s="1" t="n">
        <v>46000</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46000</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46000</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46000</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58003-2025</t>
        </is>
      </c>
      <c r="B39" s="1" t="n">
        <v>45982.44465277778</v>
      </c>
      <c r="C39" s="1" t="n">
        <v>46000</v>
      </c>
      <c r="D39" t="inlineStr">
        <is>
          <t>DALARNAS LÄN</t>
        </is>
      </c>
      <c r="E39" t="inlineStr">
        <is>
          <t>MORA</t>
        </is>
      </c>
      <c r="F39" t="inlineStr">
        <is>
          <t>Allmännings- och besparingsskogar</t>
        </is>
      </c>
      <c r="G39" t="n">
        <v>12.3</v>
      </c>
      <c r="H39" t="n">
        <v>2</v>
      </c>
      <c r="I39" t="n">
        <v>1</v>
      </c>
      <c r="J39" t="n">
        <v>7</v>
      </c>
      <c r="K39" t="n">
        <v>0</v>
      </c>
      <c r="L39" t="n">
        <v>0</v>
      </c>
      <c r="M39" t="n">
        <v>0</v>
      </c>
      <c r="N39" t="n">
        <v>0</v>
      </c>
      <c r="O39" t="n">
        <v>7</v>
      </c>
      <c r="P39" t="n">
        <v>0</v>
      </c>
      <c r="Q39" t="n">
        <v>8</v>
      </c>
      <c r="R39" s="2" t="inlineStr">
        <is>
          <t>Garnlav
Kolflarnlav
Spillkråka
Tallticka
Tretåig hackspett
Vedflamlav
Vedskivlav
Mindre märgborre</t>
        </is>
      </c>
      <c r="S39">
        <f>HYPERLINK("https://klasma.github.io/Logging_2062/artfynd/A 58003-2025 artfynd.xlsx", "A 58003-2025")</f>
        <v/>
      </c>
      <c r="T39">
        <f>HYPERLINK("https://klasma.github.io/Logging_2062/kartor/A 58003-2025 karta.png", "A 58003-2025")</f>
        <v/>
      </c>
      <c r="V39">
        <f>HYPERLINK("https://klasma.github.io/Logging_2062/klagomål/A 58003-2025 FSC-klagomål.docx", "A 58003-2025")</f>
        <v/>
      </c>
      <c r="W39">
        <f>HYPERLINK("https://klasma.github.io/Logging_2062/klagomålsmail/A 58003-2025 FSC-klagomål mail.docx", "A 58003-2025")</f>
        <v/>
      </c>
      <c r="X39">
        <f>HYPERLINK("https://klasma.github.io/Logging_2062/tillsyn/A 58003-2025 tillsynsbegäran.docx", "A 58003-2025")</f>
        <v/>
      </c>
      <c r="Y39">
        <f>HYPERLINK("https://klasma.github.io/Logging_2062/tillsynsmail/A 58003-2025 tillsynsbegäran mail.docx", "A 58003-2025")</f>
        <v/>
      </c>
      <c r="Z39">
        <f>HYPERLINK("https://klasma.github.io/Logging_2062/fåglar/A 58003-2025 prioriterade fågelarter.docx", "A 58003-2025")</f>
        <v/>
      </c>
    </row>
    <row r="40" ht="15" customHeight="1">
      <c r="A40" t="inlineStr">
        <is>
          <t>A 30904-2025</t>
        </is>
      </c>
      <c r="B40" s="1" t="n">
        <v>45832</v>
      </c>
      <c r="C40" s="1" t="n">
        <v>46000</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46000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46000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46000</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46000</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46000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46000</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46000</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46000</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35487-2025</t>
        </is>
      </c>
      <c r="B49" s="1" t="n">
        <v>45855</v>
      </c>
      <c r="C49" s="1" t="n">
        <v>46000</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46000</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46000</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46000</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46000</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46000</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46000</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46000</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46000</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46000</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46000</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46000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46000</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46000</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46000</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46000</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46000</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46000</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46000</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46000</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46000</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46000</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46000</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46000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46000</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46000</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46000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46000</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46000</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46000</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46000</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46000</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46000</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46000</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46000</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46000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46000</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72648-2021</t>
        </is>
      </c>
      <c r="B86" s="1" t="n">
        <v>44546.5862037037</v>
      </c>
      <c r="C86" s="1" t="n">
        <v>46000</v>
      </c>
      <c r="D86" t="inlineStr">
        <is>
          <t>DALARNAS LÄN</t>
        </is>
      </c>
      <c r="E86" t="inlineStr">
        <is>
          <t>MORA</t>
        </is>
      </c>
      <c r="G86" t="n">
        <v>0.2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46000</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46000</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46000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46000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46000</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46000</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46000</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46000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46000</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46000</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46000</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46000</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49583-2021</t>
        </is>
      </c>
      <c r="B99" s="1" t="n">
        <v>44455</v>
      </c>
      <c r="C99" s="1" t="n">
        <v>46000</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46000</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46000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46000</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46000</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46000</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46000</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46000</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46000</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46000</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46000</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46000</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46000</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46000</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46000</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46000</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46000</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46000</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46000</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46000</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46000</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46000</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46000</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46000</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46000</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46000</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46000</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46000</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46000</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46000</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46000</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46000</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46000</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46000</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46000</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46000</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46000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46000</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46000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46000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46000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46000</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46000</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46000</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46000</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46000</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46000</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46000</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46000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46000</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46000</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20594-2025</t>
        </is>
      </c>
      <c r="B150" s="1" t="n">
        <v>45775.74009259259</v>
      </c>
      <c r="C150" s="1" t="n">
        <v>46000</v>
      </c>
      <c r="D150" t="inlineStr">
        <is>
          <t>DALARNAS LÄN</t>
        </is>
      </c>
      <c r="E150" t="inlineStr">
        <is>
          <t>MORA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46000</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46000</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46000</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46000</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17176-2025</t>
        </is>
      </c>
      <c r="B155" s="1" t="n">
        <v>45756.37520833333</v>
      </c>
      <c r="C155" s="1" t="n">
        <v>46000</v>
      </c>
      <c r="D155" t="inlineStr">
        <is>
          <t>DALARNAS LÄN</t>
        </is>
      </c>
      <c r="E155" t="inlineStr">
        <is>
          <t>MORA</t>
        </is>
      </c>
      <c r="F155" t="inlineStr">
        <is>
          <t>Bergvik skog öst AB</t>
        </is>
      </c>
      <c r="G155" t="n">
        <v>1.7</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46000</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46000</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59101-2024</t>
        </is>
      </c>
      <c r="B158" s="1" t="n">
        <v>45637.34074074074</v>
      </c>
      <c r="C158" s="1" t="n">
        <v>46000</v>
      </c>
      <c r="D158" t="inlineStr">
        <is>
          <t>DALARNAS LÄN</t>
        </is>
      </c>
      <c r="E158" t="inlineStr">
        <is>
          <t>MORA</t>
        </is>
      </c>
      <c r="F158" t="inlineStr">
        <is>
          <t>Allmännings- och besparingsskogar</t>
        </is>
      </c>
      <c r="G158" t="n">
        <v>1.2</v>
      </c>
      <c r="H158" t="n">
        <v>0</v>
      </c>
      <c r="I158" t="n">
        <v>0</v>
      </c>
      <c r="J158" t="n">
        <v>0</v>
      </c>
      <c r="K158" t="n">
        <v>0</v>
      </c>
      <c r="L158" t="n">
        <v>0</v>
      </c>
      <c r="M158" t="n">
        <v>0</v>
      </c>
      <c r="N158" t="n">
        <v>0</v>
      </c>
      <c r="O158" t="n">
        <v>0</v>
      </c>
      <c r="P158" t="n">
        <v>0</v>
      </c>
      <c r="Q158" t="n">
        <v>0</v>
      </c>
      <c r="R158" s="2" t="inlineStr"/>
    </row>
    <row r="159" ht="15" customHeight="1">
      <c r="A159" t="inlineStr">
        <is>
          <t>A 35287-2024</t>
        </is>
      </c>
      <c r="B159" s="1" t="n">
        <v>45530</v>
      </c>
      <c r="C159" s="1" t="n">
        <v>46000</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46000</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46000</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46000</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63958-2023</t>
        </is>
      </c>
      <c r="B163" s="1" t="n">
        <v>45278</v>
      </c>
      <c r="C163" s="1" t="n">
        <v>46000</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46000</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61405-2023</t>
        </is>
      </c>
      <c r="B165" s="1" t="n">
        <v>45264.65987268519</v>
      </c>
      <c r="C165" s="1" t="n">
        <v>46000</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31929-2024</t>
        </is>
      </c>
      <c r="B166" s="1" t="n">
        <v>45510.40587962963</v>
      </c>
      <c r="C166" s="1" t="n">
        <v>46000</v>
      </c>
      <c r="D166" t="inlineStr">
        <is>
          <t>DALARNAS LÄN</t>
        </is>
      </c>
      <c r="E166" t="inlineStr">
        <is>
          <t>MORA</t>
        </is>
      </c>
      <c r="G166" t="n">
        <v>10.8</v>
      </c>
      <c r="H166" t="n">
        <v>0</v>
      </c>
      <c r="I166" t="n">
        <v>0</v>
      </c>
      <c r="J166" t="n">
        <v>0</v>
      </c>
      <c r="K166" t="n">
        <v>0</v>
      </c>
      <c r="L166" t="n">
        <v>0</v>
      </c>
      <c r="M166" t="n">
        <v>0</v>
      </c>
      <c r="N166" t="n">
        <v>0</v>
      </c>
      <c r="O166" t="n">
        <v>0</v>
      </c>
      <c r="P166" t="n">
        <v>0</v>
      </c>
      <c r="Q166" t="n">
        <v>0</v>
      </c>
      <c r="R166" s="2" t="inlineStr"/>
    </row>
    <row r="167" ht="15" customHeight="1">
      <c r="A167" t="inlineStr">
        <is>
          <t>A 14832-2025</t>
        </is>
      </c>
      <c r="B167" s="1" t="n">
        <v>45743</v>
      </c>
      <c r="C167" s="1" t="n">
        <v>46000</v>
      </c>
      <c r="D167" t="inlineStr">
        <is>
          <t>DALARNAS LÄN</t>
        </is>
      </c>
      <c r="E167" t="inlineStr">
        <is>
          <t>MORA</t>
        </is>
      </c>
      <c r="G167" t="n">
        <v>9.1</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46000</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22354-2025</t>
        </is>
      </c>
      <c r="B169" s="1" t="n">
        <v>45786.45721064815</v>
      </c>
      <c r="C169" s="1" t="n">
        <v>46000</v>
      </c>
      <c r="D169" t="inlineStr">
        <is>
          <t>DALARNAS LÄN</t>
        </is>
      </c>
      <c r="E169" t="inlineStr">
        <is>
          <t>MORA</t>
        </is>
      </c>
      <c r="F169" t="inlineStr">
        <is>
          <t>Bergvik skog öst AB</t>
        </is>
      </c>
      <c r="G169" t="n">
        <v>2</v>
      </c>
      <c r="H169" t="n">
        <v>0</v>
      </c>
      <c r="I169" t="n">
        <v>0</v>
      </c>
      <c r="J169" t="n">
        <v>0</v>
      </c>
      <c r="K169" t="n">
        <v>0</v>
      </c>
      <c r="L169" t="n">
        <v>0</v>
      </c>
      <c r="M169" t="n">
        <v>0</v>
      </c>
      <c r="N169" t="n">
        <v>0</v>
      </c>
      <c r="O169" t="n">
        <v>0</v>
      </c>
      <c r="P169" t="n">
        <v>0</v>
      </c>
      <c r="Q169" t="n">
        <v>0</v>
      </c>
      <c r="R169" s="2" t="inlineStr"/>
    </row>
    <row r="170" ht="15" customHeight="1">
      <c r="A170" t="inlineStr">
        <is>
          <t>A 18702-2025</t>
        </is>
      </c>
      <c r="B170" s="1" t="n">
        <v>45763.63166666667</v>
      </c>
      <c r="C170" s="1" t="n">
        <v>46000</v>
      </c>
      <c r="D170" t="inlineStr">
        <is>
          <t>DALARNAS LÄN</t>
        </is>
      </c>
      <c r="E170" t="inlineStr">
        <is>
          <t>MORA</t>
        </is>
      </c>
      <c r="G170" t="n">
        <v>3.6</v>
      </c>
      <c r="H170" t="n">
        <v>0</v>
      </c>
      <c r="I170" t="n">
        <v>0</v>
      </c>
      <c r="J170" t="n">
        <v>0</v>
      </c>
      <c r="K170" t="n">
        <v>0</v>
      </c>
      <c r="L170" t="n">
        <v>0</v>
      </c>
      <c r="M170" t="n">
        <v>0</v>
      </c>
      <c r="N170" t="n">
        <v>0</v>
      </c>
      <c r="O170" t="n">
        <v>0</v>
      </c>
      <c r="P170" t="n">
        <v>0</v>
      </c>
      <c r="Q170" t="n">
        <v>0</v>
      </c>
      <c r="R170" s="2" t="inlineStr"/>
    </row>
    <row r="171" ht="15" customHeight="1">
      <c r="A171" t="inlineStr">
        <is>
          <t>A 43432-2024</t>
        </is>
      </c>
      <c r="B171" s="1" t="n">
        <v>45568.64337962963</v>
      </c>
      <c r="C171" s="1" t="n">
        <v>46000</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22409-2025</t>
        </is>
      </c>
      <c r="B172" s="1" t="n">
        <v>45786.54940972223</v>
      </c>
      <c r="C172" s="1" t="n">
        <v>46000</v>
      </c>
      <c r="D172" t="inlineStr">
        <is>
          <t>DALARNAS LÄN</t>
        </is>
      </c>
      <c r="E172" t="inlineStr">
        <is>
          <t>MORA</t>
        </is>
      </c>
      <c r="F172" t="inlineStr">
        <is>
          <t>Bergvik skog öst AB</t>
        </is>
      </c>
      <c r="G172" t="n">
        <v>5</v>
      </c>
      <c r="H172" t="n">
        <v>0</v>
      </c>
      <c r="I172" t="n">
        <v>0</v>
      </c>
      <c r="J172" t="n">
        <v>0</v>
      </c>
      <c r="K172" t="n">
        <v>0</v>
      </c>
      <c r="L172" t="n">
        <v>0</v>
      </c>
      <c r="M172" t="n">
        <v>0</v>
      </c>
      <c r="N172" t="n">
        <v>0</v>
      </c>
      <c r="O172" t="n">
        <v>0</v>
      </c>
      <c r="P172" t="n">
        <v>0</v>
      </c>
      <c r="Q172" t="n">
        <v>0</v>
      </c>
      <c r="R172" s="2" t="inlineStr"/>
    </row>
    <row r="173" ht="15" customHeight="1">
      <c r="A173" t="inlineStr">
        <is>
          <t>A 48342-2023</t>
        </is>
      </c>
      <c r="B173" s="1" t="n">
        <v>45205</v>
      </c>
      <c r="C173" s="1" t="n">
        <v>46000</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37971-2024</t>
        </is>
      </c>
      <c r="B174" s="1" t="n">
        <v>45544</v>
      </c>
      <c r="C174" s="1" t="n">
        <v>46000</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12490-2025</t>
        </is>
      </c>
      <c r="B175" s="1" t="n">
        <v>45730.59239583334</v>
      </c>
      <c r="C175" s="1" t="n">
        <v>46000</v>
      </c>
      <c r="D175" t="inlineStr">
        <is>
          <t>DALARNAS LÄN</t>
        </is>
      </c>
      <c r="E175" t="inlineStr">
        <is>
          <t>MORA</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55671-2024</t>
        </is>
      </c>
      <c r="B176" s="1" t="n">
        <v>45622.65269675926</v>
      </c>
      <c r="C176" s="1" t="n">
        <v>46000</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23368-2025</t>
        </is>
      </c>
      <c r="B177" s="1" t="n">
        <v>45791.70299768518</v>
      </c>
      <c r="C177" s="1" t="n">
        <v>46000</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56935-2024</t>
        </is>
      </c>
      <c r="B178" s="1" t="n">
        <v>45625</v>
      </c>
      <c r="C178" s="1" t="n">
        <v>46000</v>
      </c>
      <c r="D178" t="inlineStr">
        <is>
          <t>DALARNAS LÄN</t>
        </is>
      </c>
      <c r="E178" t="inlineStr">
        <is>
          <t>MORA</t>
        </is>
      </c>
      <c r="G178" t="n">
        <v>1.1</v>
      </c>
      <c r="H178" t="n">
        <v>0</v>
      </c>
      <c r="I178" t="n">
        <v>0</v>
      </c>
      <c r="J178" t="n">
        <v>0</v>
      </c>
      <c r="K178" t="n">
        <v>0</v>
      </c>
      <c r="L178" t="n">
        <v>0</v>
      </c>
      <c r="M178" t="n">
        <v>0</v>
      </c>
      <c r="N178" t="n">
        <v>0</v>
      </c>
      <c r="O178" t="n">
        <v>0</v>
      </c>
      <c r="P178" t="n">
        <v>0</v>
      </c>
      <c r="Q178" t="n">
        <v>0</v>
      </c>
      <c r="R178" s="2" t="inlineStr"/>
    </row>
    <row r="179" ht="15" customHeight="1">
      <c r="A179" t="inlineStr">
        <is>
          <t>A 45349-2024</t>
        </is>
      </c>
      <c r="B179" s="1" t="n">
        <v>45576</v>
      </c>
      <c r="C179" s="1" t="n">
        <v>46000</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56927-2024</t>
        </is>
      </c>
      <c r="B180" s="1" t="n">
        <v>45625</v>
      </c>
      <c r="C180" s="1" t="n">
        <v>46000</v>
      </c>
      <c r="D180" t="inlineStr">
        <is>
          <t>DALARNAS LÄN</t>
        </is>
      </c>
      <c r="E180" t="inlineStr">
        <is>
          <t>MORA</t>
        </is>
      </c>
      <c r="G180" t="n">
        <v>2.8</v>
      </c>
      <c r="H180" t="n">
        <v>0</v>
      </c>
      <c r="I180" t="n">
        <v>0</v>
      </c>
      <c r="J180" t="n">
        <v>0</v>
      </c>
      <c r="K180" t="n">
        <v>0</v>
      </c>
      <c r="L180" t="n">
        <v>0</v>
      </c>
      <c r="M180" t="n">
        <v>0</v>
      </c>
      <c r="N180" t="n">
        <v>0</v>
      </c>
      <c r="O180" t="n">
        <v>0</v>
      </c>
      <c r="P180" t="n">
        <v>0</v>
      </c>
      <c r="Q180" t="n">
        <v>0</v>
      </c>
      <c r="R180" s="2" t="inlineStr"/>
    </row>
    <row r="181" ht="15" customHeight="1">
      <c r="A181" t="inlineStr">
        <is>
          <t>A 22185-2025</t>
        </is>
      </c>
      <c r="B181" s="1" t="n">
        <v>45785</v>
      </c>
      <c r="C181" s="1" t="n">
        <v>46000</v>
      </c>
      <c r="D181" t="inlineStr">
        <is>
          <t>DALARNAS LÄN</t>
        </is>
      </c>
      <c r="E181" t="inlineStr">
        <is>
          <t>MORA</t>
        </is>
      </c>
      <c r="G181" t="n">
        <v>2.4</v>
      </c>
      <c r="H181" t="n">
        <v>0</v>
      </c>
      <c r="I181" t="n">
        <v>0</v>
      </c>
      <c r="J181" t="n">
        <v>0</v>
      </c>
      <c r="K181" t="n">
        <v>0</v>
      </c>
      <c r="L181" t="n">
        <v>0</v>
      </c>
      <c r="M181" t="n">
        <v>0</v>
      </c>
      <c r="N181" t="n">
        <v>0</v>
      </c>
      <c r="O181" t="n">
        <v>0</v>
      </c>
      <c r="P181" t="n">
        <v>0</v>
      </c>
      <c r="Q181" t="n">
        <v>0</v>
      </c>
      <c r="R181" s="2" t="inlineStr"/>
    </row>
    <row r="182" ht="15" customHeight="1">
      <c r="A182" t="inlineStr">
        <is>
          <t>A 69483-2021</t>
        </is>
      </c>
      <c r="B182" s="1" t="n">
        <v>44531</v>
      </c>
      <c r="C182" s="1" t="n">
        <v>46000</v>
      </c>
      <c r="D182" t="inlineStr">
        <is>
          <t>DALARNAS LÄN</t>
        </is>
      </c>
      <c r="E182" t="inlineStr">
        <is>
          <t>MORA</t>
        </is>
      </c>
      <c r="G182" t="n">
        <v>1.5</v>
      </c>
      <c r="H182" t="n">
        <v>0</v>
      </c>
      <c r="I182" t="n">
        <v>0</v>
      </c>
      <c r="J182" t="n">
        <v>0</v>
      </c>
      <c r="K182" t="n">
        <v>0</v>
      </c>
      <c r="L182" t="n">
        <v>0</v>
      </c>
      <c r="M182" t="n">
        <v>0</v>
      </c>
      <c r="N182" t="n">
        <v>0</v>
      </c>
      <c r="O182" t="n">
        <v>0</v>
      </c>
      <c r="P182" t="n">
        <v>0</v>
      </c>
      <c r="Q182" t="n">
        <v>0</v>
      </c>
      <c r="R182" s="2" t="inlineStr"/>
    </row>
    <row r="183" ht="15" customHeight="1">
      <c r="A183" t="inlineStr">
        <is>
          <t>A 59404-2024</t>
        </is>
      </c>
      <c r="B183" s="1" t="n">
        <v>45638</v>
      </c>
      <c r="C183" s="1" t="n">
        <v>46000</v>
      </c>
      <c r="D183" t="inlineStr">
        <is>
          <t>DALARNAS LÄN</t>
        </is>
      </c>
      <c r="E183" t="inlineStr">
        <is>
          <t>MORA</t>
        </is>
      </c>
      <c r="G183" t="n">
        <v>2.6</v>
      </c>
      <c r="H183" t="n">
        <v>0</v>
      </c>
      <c r="I183" t="n">
        <v>0</v>
      </c>
      <c r="J183" t="n">
        <v>0</v>
      </c>
      <c r="K183" t="n">
        <v>0</v>
      </c>
      <c r="L183" t="n">
        <v>0</v>
      </c>
      <c r="M183" t="n">
        <v>0</v>
      </c>
      <c r="N183" t="n">
        <v>0</v>
      </c>
      <c r="O183" t="n">
        <v>0</v>
      </c>
      <c r="P183" t="n">
        <v>0</v>
      </c>
      <c r="Q183" t="n">
        <v>0</v>
      </c>
      <c r="R183" s="2" t="inlineStr"/>
    </row>
    <row r="184" ht="15" customHeight="1">
      <c r="A184" t="inlineStr">
        <is>
          <t>A 11193-2025</t>
        </is>
      </c>
      <c r="B184" s="1" t="n">
        <v>45725</v>
      </c>
      <c r="C184" s="1" t="n">
        <v>46000</v>
      </c>
      <c r="D184" t="inlineStr">
        <is>
          <t>DALARNAS LÄN</t>
        </is>
      </c>
      <c r="E184" t="inlineStr">
        <is>
          <t>MORA</t>
        </is>
      </c>
      <c r="G184" t="n">
        <v>4.1</v>
      </c>
      <c r="H184" t="n">
        <v>0</v>
      </c>
      <c r="I184" t="n">
        <v>0</v>
      </c>
      <c r="J184" t="n">
        <v>0</v>
      </c>
      <c r="K184" t="n">
        <v>0</v>
      </c>
      <c r="L184" t="n">
        <v>0</v>
      </c>
      <c r="M184" t="n">
        <v>0</v>
      </c>
      <c r="N184" t="n">
        <v>0</v>
      </c>
      <c r="O184" t="n">
        <v>0</v>
      </c>
      <c r="P184" t="n">
        <v>0</v>
      </c>
      <c r="Q184" t="n">
        <v>0</v>
      </c>
      <c r="R184" s="2" t="inlineStr"/>
    </row>
    <row r="185" ht="15" customHeight="1">
      <c r="A185" t="inlineStr">
        <is>
          <t>A 55691-2023</t>
        </is>
      </c>
      <c r="B185" s="1" t="n">
        <v>45239.36509259259</v>
      </c>
      <c r="C185" s="1" t="n">
        <v>46000</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56900-2024</t>
        </is>
      </c>
      <c r="B186" s="1" t="n">
        <v>45625</v>
      </c>
      <c r="C186" s="1" t="n">
        <v>46000</v>
      </c>
      <c r="D186" t="inlineStr">
        <is>
          <t>DALARNAS LÄN</t>
        </is>
      </c>
      <c r="E186" t="inlineStr">
        <is>
          <t>MORA</t>
        </is>
      </c>
      <c r="G186" t="n">
        <v>2.7</v>
      </c>
      <c r="H186" t="n">
        <v>0</v>
      </c>
      <c r="I186" t="n">
        <v>0</v>
      </c>
      <c r="J186" t="n">
        <v>0</v>
      </c>
      <c r="K186" t="n">
        <v>0</v>
      </c>
      <c r="L186" t="n">
        <v>0</v>
      </c>
      <c r="M186" t="n">
        <v>0</v>
      </c>
      <c r="N186" t="n">
        <v>0</v>
      </c>
      <c r="O186" t="n">
        <v>0</v>
      </c>
      <c r="P186" t="n">
        <v>0</v>
      </c>
      <c r="Q186" t="n">
        <v>0</v>
      </c>
      <c r="R186" s="2" t="inlineStr"/>
    </row>
    <row r="187" ht="15" customHeight="1">
      <c r="A187" t="inlineStr">
        <is>
          <t>A 23354-2022</t>
        </is>
      </c>
      <c r="B187" s="1" t="n">
        <v>44720</v>
      </c>
      <c r="C187" s="1" t="n">
        <v>46000</v>
      </c>
      <c r="D187" t="inlineStr">
        <is>
          <t>DALARNAS LÄN</t>
        </is>
      </c>
      <c r="E187" t="inlineStr">
        <is>
          <t>MORA</t>
        </is>
      </c>
      <c r="G187" t="n">
        <v>5.2</v>
      </c>
      <c r="H187" t="n">
        <v>0</v>
      </c>
      <c r="I187" t="n">
        <v>0</v>
      </c>
      <c r="J187" t="n">
        <v>0</v>
      </c>
      <c r="K187" t="n">
        <v>0</v>
      </c>
      <c r="L187" t="n">
        <v>0</v>
      </c>
      <c r="M187" t="n">
        <v>0</v>
      </c>
      <c r="N187" t="n">
        <v>0</v>
      </c>
      <c r="O187" t="n">
        <v>0</v>
      </c>
      <c r="P187" t="n">
        <v>0</v>
      </c>
      <c r="Q187" t="n">
        <v>0</v>
      </c>
      <c r="R187" s="2" t="inlineStr"/>
    </row>
    <row r="188" ht="15" customHeight="1">
      <c r="A188" t="inlineStr">
        <is>
          <t>A 54192-2023</t>
        </is>
      </c>
      <c r="B188" s="1" t="n">
        <v>45232.53052083333</v>
      </c>
      <c r="C188" s="1" t="n">
        <v>46000</v>
      </c>
      <c r="D188" t="inlineStr">
        <is>
          <t>DALARNAS LÄN</t>
        </is>
      </c>
      <c r="E188" t="inlineStr">
        <is>
          <t>MORA</t>
        </is>
      </c>
      <c r="G188" t="n">
        <v>3.4</v>
      </c>
      <c r="H188" t="n">
        <v>0</v>
      </c>
      <c r="I188" t="n">
        <v>0</v>
      </c>
      <c r="J188" t="n">
        <v>0</v>
      </c>
      <c r="K188" t="n">
        <v>0</v>
      </c>
      <c r="L188" t="n">
        <v>0</v>
      </c>
      <c r="M188" t="n">
        <v>0</v>
      </c>
      <c r="N188" t="n">
        <v>0</v>
      </c>
      <c r="O188" t="n">
        <v>0</v>
      </c>
      <c r="P188" t="n">
        <v>0</v>
      </c>
      <c r="Q188" t="n">
        <v>0</v>
      </c>
      <c r="R188" s="2" t="inlineStr"/>
    </row>
    <row r="189" ht="15" customHeight="1">
      <c r="A189" t="inlineStr">
        <is>
          <t>A 23229-2025</t>
        </is>
      </c>
      <c r="B189" s="1" t="n">
        <v>45791</v>
      </c>
      <c r="C189" s="1" t="n">
        <v>46000</v>
      </c>
      <c r="D189" t="inlineStr">
        <is>
          <t>DALARNAS LÄN</t>
        </is>
      </c>
      <c r="E189" t="inlineStr">
        <is>
          <t>MORA</t>
        </is>
      </c>
      <c r="G189" t="n">
        <v>2.2</v>
      </c>
      <c r="H189" t="n">
        <v>0</v>
      </c>
      <c r="I189" t="n">
        <v>0</v>
      </c>
      <c r="J189" t="n">
        <v>0</v>
      </c>
      <c r="K189" t="n">
        <v>0</v>
      </c>
      <c r="L189" t="n">
        <v>0</v>
      </c>
      <c r="M189" t="n">
        <v>0</v>
      </c>
      <c r="N189" t="n">
        <v>0</v>
      </c>
      <c r="O189" t="n">
        <v>0</v>
      </c>
      <c r="P189" t="n">
        <v>0</v>
      </c>
      <c r="Q189" t="n">
        <v>0</v>
      </c>
      <c r="R189" s="2" t="inlineStr"/>
    </row>
    <row r="190" ht="15" customHeight="1">
      <c r="A190" t="inlineStr">
        <is>
          <t>A 17494-2025</t>
        </is>
      </c>
      <c r="B190" s="1" t="n">
        <v>45757.52033564815</v>
      </c>
      <c r="C190" s="1" t="n">
        <v>46000</v>
      </c>
      <c r="D190" t="inlineStr">
        <is>
          <t>DALARNAS LÄN</t>
        </is>
      </c>
      <c r="E190" t="inlineStr">
        <is>
          <t>MORA</t>
        </is>
      </c>
      <c r="G190" t="n">
        <v>5.3</v>
      </c>
      <c r="H190" t="n">
        <v>0</v>
      </c>
      <c r="I190" t="n">
        <v>0</v>
      </c>
      <c r="J190" t="n">
        <v>0</v>
      </c>
      <c r="K190" t="n">
        <v>0</v>
      </c>
      <c r="L190" t="n">
        <v>0</v>
      </c>
      <c r="M190" t="n">
        <v>0</v>
      </c>
      <c r="N190" t="n">
        <v>0</v>
      </c>
      <c r="O190" t="n">
        <v>0</v>
      </c>
      <c r="P190" t="n">
        <v>0</v>
      </c>
      <c r="Q190" t="n">
        <v>0</v>
      </c>
      <c r="R190" s="2" t="inlineStr"/>
    </row>
    <row r="191" ht="15" customHeight="1">
      <c r="A191" t="inlineStr">
        <is>
          <t>A 62854-2023</t>
        </is>
      </c>
      <c r="B191" s="1" t="n">
        <v>45272</v>
      </c>
      <c r="C191" s="1" t="n">
        <v>46000</v>
      </c>
      <c r="D191" t="inlineStr">
        <is>
          <t>DALARNAS LÄN</t>
        </is>
      </c>
      <c r="E191" t="inlineStr">
        <is>
          <t>MORA</t>
        </is>
      </c>
      <c r="G191" t="n">
        <v>11.3</v>
      </c>
      <c r="H191" t="n">
        <v>0</v>
      </c>
      <c r="I191" t="n">
        <v>0</v>
      </c>
      <c r="J191" t="n">
        <v>0</v>
      </c>
      <c r="K191" t="n">
        <v>0</v>
      </c>
      <c r="L191" t="n">
        <v>0</v>
      </c>
      <c r="M191" t="n">
        <v>0</v>
      </c>
      <c r="N191" t="n">
        <v>0</v>
      </c>
      <c r="O191" t="n">
        <v>0</v>
      </c>
      <c r="P191" t="n">
        <v>0</v>
      </c>
      <c r="Q191" t="n">
        <v>0</v>
      </c>
      <c r="R191" s="2" t="inlineStr"/>
    </row>
    <row r="192" ht="15" customHeight="1">
      <c r="A192" t="inlineStr">
        <is>
          <t>A 24127-2025</t>
        </is>
      </c>
      <c r="B192" s="1" t="n">
        <v>45796.63137731481</v>
      </c>
      <c r="C192" s="1" t="n">
        <v>46000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30998-2022</t>
        </is>
      </c>
      <c r="B193" s="1" t="n">
        <v>44768</v>
      </c>
      <c r="C193" s="1" t="n">
        <v>46000</v>
      </c>
      <c r="D193" t="inlineStr">
        <is>
          <t>DALARNAS LÄN</t>
        </is>
      </c>
      <c r="E193" t="inlineStr">
        <is>
          <t>MORA</t>
        </is>
      </c>
      <c r="G193" t="n">
        <v>1.7</v>
      </c>
      <c r="H193" t="n">
        <v>0</v>
      </c>
      <c r="I193" t="n">
        <v>0</v>
      </c>
      <c r="J193" t="n">
        <v>0</v>
      </c>
      <c r="K193" t="n">
        <v>0</v>
      </c>
      <c r="L193" t="n">
        <v>0</v>
      </c>
      <c r="M193" t="n">
        <v>0</v>
      </c>
      <c r="N193" t="n">
        <v>0</v>
      </c>
      <c r="O193" t="n">
        <v>0</v>
      </c>
      <c r="P193" t="n">
        <v>0</v>
      </c>
      <c r="Q193" t="n">
        <v>0</v>
      </c>
      <c r="R193" s="2" t="inlineStr"/>
    </row>
    <row r="194" ht="15" customHeight="1">
      <c r="A194" t="inlineStr">
        <is>
          <t>A 24249-2025</t>
        </is>
      </c>
      <c r="B194" s="1" t="n">
        <v>45797.40260416667</v>
      </c>
      <c r="C194" s="1" t="n">
        <v>46000</v>
      </c>
      <c r="D194" t="inlineStr">
        <is>
          <t>DALARNAS LÄN</t>
        </is>
      </c>
      <c r="E194" t="inlineStr">
        <is>
          <t>MORA</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47143-2022</t>
        </is>
      </c>
      <c r="B195" s="1" t="n">
        <v>44852</v>
      </c>
      <c r="C195" s="1" t="n">
        <v>46000</v>
      </c>
      <c r="D195" t="inlineStr">
        <is>
          <t>DALARNAS LÄN</t>
        </is>
      </c>
      <c r="E195" t="inlineStr">
        <is>
          <t>MORA</t>
        </is>
      </c>
      <c r="G195" t="n">
        <v>3.9</v>
      </c>
      <c r="H195" t="n">
        <v>0</v>
      </c>
      <c r="I195" t="n">
        <v>0</v>
      </c>
      <c r="J195" t="n">
        <v>0</v>
      </c>
      <c r="K195" t="n">
        <v>0</v>
      </c>
      <c r="L195" t="n">
        <v>0</v>
      </c>
      <c r="M195" t="n">
        <v>0</v>
      </c>
      <c r="N195" t="n">
        <v>0</v>
      </c>
      <c r="O195" t="n">
        <v>0</v>
      </c>
      <c r="P195" t="n">
        <v>0</v>
      </c>
      <c r="Q195" t="n">
        <v>0</v>
      </c>
      <c r="R195" s="2" t="inlineStr"/>
    </row>
    <row r="196" ht="15" customHeight="1">
      <c r="A196" t="inlineStr">
        <is>
          <t>A 9461-2025</t>
        </is>
      </c>
      <c r="B196" s="1" t="n">
        <v>45715.45341435185</v>
      </c>
      <c r="C196" s="1" t="n">
        <v>46000</v>
      </c>
      <c r="D196" t="inlineStr">
        <is>
          <t>DALARNAS LÄN</t>
        </is>
      </c>
      <c r="E196" t="inlineStr">
        <is>
          <t>MORA</t>
        </is>
      </c>
      <c r="G196" t="n">
        <v>1.8</v>
      </c>
      <c r="H196" t="n">
        <v>0</v>
      </c>
      <c r="I196" t="n">
        <v>0</v>
      </c>
      <c r="J196" t="n">
        <v>0</v>
      </c>
      <c r="K196" t="n">
        <v>0</v>
      </c>
      <c r="L196" t="n">
        <v>0</v>
      </c>
      <c r="M196" t="n">
        <v>0</v>
      </c>
      <c r="N196" t="n">
        <v>0</v>
      </c>
      <c r="O196" t="n">
        <v>0</v>
      </c>
      <c r="P196" t="n">
        <v>0</v>
      </c>
      <c r="Q196" t="n">
        <v>0</v>
      </c>
      <c r="R196" s="2" t="inlineStr"/>
    </row>
    <row r="197" ht="15" customHeight="1">
      <c r="A197" t="inlineStr">
        <is>
          <t>A 34928-2022</t>
        </is>
      </c>
      <c r="B197" s="1" t="n">
        <v>44796.60479166666</v>
      </c>
      <c r="C197" s="1" t="n">
        <v>46000</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46000</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24230-2025</t>
        </is>
      </c>
      <c r="B199" s="1" t="n">
        <v>45797.37607638889</v>
      </c>
      <c r="C199" s="1" t="n">
        <v>46000</v>
      </c>
      <c r="D199" t="inlineStr">
        <is>
          <t>DALARNAS LÄN</t>
        </is>
      </c>
      <c r="E199" t="inlineStr">
        <is>
          <t>MORA</t>
        </is>
      </c>
      <c r="G199" t="n">
        <v>6.8</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46000</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50911-2024</t>
        </is>
      </c>
      <c r="B201" s="1" t="n">
        <v>45602.7022337963</v>
      </c>
      <c r="C201" s="1" t="n">
        <v>46000</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15440-2024</t>
        </is>
      </c>
      <c r="B202" s="1" t="n">
        <v>45401.4194212963</v>
      </c>
      <c r="C202" s="1" t="n">
        <v>46000</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39456-2025</t>
        </is>
      </c>
      <c r="B203" s="1" t="n">
        <v>45889.76200231481</v>
      </c>
      <c r="C203" s="1" t="n">
        <v>46000</v>
      </c>
      <c r="D203" t="inlineStr">
        <is>
          <t>DALARNAS LÄN</t>
        </is>
      </c>
      <c r="E203" t="inlineStr">
        <is>
          <t>MORA</t>
        </is>
      </c>
      <c r="F203" t="inlineStr">
        <is>
          <t>Bergvik skog öst AB</t>
        </is>
      </c>
      <c r="G203" t="n">
        <v>16.7</v>
      </c>
      <c r="H203" t="n">
        <v>0</v>
      </c>
      <c r="I203" t="n">
        <v>0</v>
      </c>
      <c r="J203" t="n">
        <v>0</v>
      </c>
      <c r="K203" t="n">
        <v>0</v>
      </c>
      <c r="L203" t="n">
        <v>0</v>
      </c>
      <c r="M203" t="n">
        <v>0</v>
      </c>
      <c r="N203" t="n">
        <v>0</v>
      </c>
      <c r="O203" t="n">
        <v>0</v>
      </c>
      <c r="P203" t="n">
        <v>0</v>
      </c>
      <c r="Q203" t="n">
        <v>0</v>
      </c>
      <c r="R203" s="2" t="inlineStr"/>
    </row>
    <row r="204" ht="15" customHeight="1">
      <c r="A204" t="inlineStr">
        <is>
          <t>A 39824-2025</t>
        </is>
      </c>
      <c r="B204" s="1" t="n">
        <v>45891</v>
      </c>
      <c r="C204" s="1" t="n">
        <v>46000</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19183-2025</t>
        </is>
      </c>
      <c r="B205" s="1" t="n">
        <v>45769</v>
      </c>
      <c r="C205" s="1" t="n">
        <v>46000</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46000</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40471-2025</t>
        </is>
      </c>
      <c r="B207" s="1" t="n">
        <v>45895.67356481482</v>
      </c>
      <c r="C207" s="1" t="n">
        <v>46000</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24640-2025</t>
        </is>
      </c>
      <c r="B208" s="1" t="n">
        <v>45798.62243055556</v>
      </c>
      <c r="C208" s="1" t="n">
        <v>46000</v>
      </c>
      <c r="D208" t="inlineStr">
        <is>
          <t>DALARNAS LÄN</t>
        </is>
      </c>
      <c r="E208" t="inlineStr">
        <is>
          <t>MORA</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57475-2022</t>
        </is>
      </c>
      <c r="B209" s="1" t="n">
        <v>44896</v>
      </c>
      <c r="C209" s="1" t="n">
        <v>46000</v>
      </c>
      <c r="D209" t="inlineStr">
        <is>
          <t>DALARNAS LÄN</t>
        </is>
      </c>
      <c r="E209" t="inlineStr">
        <is>
          <t>MORA</t>
        </is>
      </c>
      <c r="G209" t="n">
        <v>5.7</v>
      </c>
      <c r="H209" t="n">
        <v>0</v>
      </c>
      <c r="I209" t="n">
        <v>0</v>
      </c>
      <c r="J209" t="n">
        <v>0</v>
      </c>
      <c r="K209" t="n">
        <v>0</v>
      </c>
      <c r="L209" t="n">
        <v>0</v>
      </c>
      <c r="M209" t="n">
        <v>0</v>
      </c>
      <c r="N209" t="n">
        <v>0</v>
      </c>
      <c r="O209" t="n">
        <v>0</v>
      </c>
      <c r="P209" t="n">
        <v>0</v>
      </c>
      <c r="Q209" t="n">
        <v>0</v>
      </c>
      <c r="R209" s="2" t="inlineStr"/>
    </row>
    <row r="210" ht="15" customHeight="1">
      <c r="A210" t="inlineStr">
        <is>
          <t>A 25737-2025</t>
        </is>
      </c>
      <c r="B210" s="1" t="n">
        <v>45800</v>
      </c>
      <c r="C210" s="1" t="n">
        <v>46000</v>
      </c>
      <c r="D210" t="inlineStr">
        <is>
          <t>DALARNAS LÄN</t>
        </is>
      </c>
      <c r="E210" t="inlineStr">
        <is>
          <t>MORA</t>
        </is>
      </c>
      <c r="G210" t="n">
        <v>9.6</v>
      </c>
      <c r="H210" t="n">
        <v>0</v>
      </c>
      <c r="I210" t="n">
        <v>0</v>
      </c>
      <c r="J210" t="n">
        <v>0</v>
      </c>
      <c r="K210" t="n">
        <v>0</v>
      </c>
      <c r="L210" t="n">
        <v>0</v>
      </c>
      <c r="M210" t="n">
        <v>0</v>
      </c>
      <c r="N210" t="n">
        <v>0</v>
      </c>
      <c r="O210" t="n">
        <v>0</v>
      </c>
      <c r="P210" t="n">
        <v>0</v>
      </c>
      <c r="Q210" t="n">
        <v>0</v>
      </c>
      <c r="R210" s="2" t="inlineStr"/>
    </row>
    <row r="211" ht="15" customHeight="1">
      <c r="A211" t="inlineStr">
        <is>
          <t>A 40140-2025</t>
        </is>
      </c>
      <c r="B211" s="1" t="n">
        <v>45894.57016203704</v>
      </c>
      <c r="C211" s="1" t="n">
        <v>46000</v>
      </c>
      <c r="D211" t="inlineStr">
        <is>
          <t>DALARNAS LÄN</t>
        </is>
      </c>
      <c r="E211" t="inlineStr">
        <is>
          <t>MORA</t>
        </is>
      </c>
      <c r="G211" t="n">
        <v>0.7</v>
      </c>
      <c r="H211" t="n">
        <v>0</v>
      </c>
      <c r="I211" t="n">
        <v>0</v>
      </c>
      <c r="J211" t="n">
        <v>0</v>
      </c>
      <c r="K211" t="n">
        <v>0</v>
      </c>
      <c r="L211" t="n">
        <v>0</v>
      </c>
      <c r="M211" t="n">
        <v>0</v>
      </c>
      <c r="N211" t="n">
        <v>0</v>
      </c>
      <c r="O211" t="n">
        <v>0</v>
      </c>
      <c r="P211" t="n">
        <v>0</v>
      </c>
      <c r="Q211" t="n">
        <v>0</v>
      </c>
      <c r="R211" s="2" t="inlineStr"/>
    </row>
    <row r="212" ht="15" customHeight="1">
      <c r="A212" t="inlineStr">
        <is>
          <t>A 35363-2024</t>
        </is>
      </c>
      <c r="B212" s="1" t="n">
        <v>45531.34050925926</v>
      </c>
      <c r="C212" s="1" t="n">
        <v>46000</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40142-2025</t>
        </is>
      </c>
      <c r="B213" s="1" t="n">
        <v>45894.57202546296</v>
      </c>
      <c r="C213" s="1" t="n">
        <v>46000</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44307-2021</t>
        </is>
      </c>
      <c r="B214" s="1" t="n">
        <v>44435</v>
      </c>
      <c r="C214" s="1" t="n">
        <v>46000</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40147-2025</t>
        </is>
      </c>
      <c r="B215" s="1" t="n">
        <v>45894.57918981482</v>
      </c>
      <c r="C215" s="1" t="n">
        <v>46000</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24947-2025</t>
        </is>
      </c>
      <c r="B216" s="1" t="n">
        <v>45799.56524305556</v>
      </c>
      <c r="C216" s="1" t="n">
        <v>46000</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24630-2025</t>
        </is>
      </c>
      <c r="B217" s="1" t="n">
        <v>45798.6003587963</v>
      </c>
      <c r="C217" s="1" t="n">
        <v>46000</v>
      </c>
      <c r="D217" t="inlineStr">
        <is>
          <t>DALARNAS LÄN</t>
        </is>
      </c>
      <c r="E217" t="inlineStr">
        <is>
          <t>MORA</t>
        </is>
      </c>
      <c r="F217" t="inlineStr">
        <is>
          <t>Bergvik skog väst AB</t>
        </is>
      </c>
      <c r="G217" t="n">
        <v>10.4</v>
      </c>
      <c r="H217" t="n">
        <v>0</v>
      </c>
      <c r="I217" t="n">
        <v>0</v>
      </c>
      <c r="J217" t="n">
        <v>0</v>
      </c>
      <c r="K217" t="n">
        <v>0</v>
      </c>
      <c r="L217" t="n">
        <v>0</v>
      </c>
      <c r="M217" t="n">
        <v>0</v>
      </c>
      <c r="N217" t="n">
        <v>0</v>
      </c>
      <c r="O217" t="n">
        <v>0</v>
      </c>
      <c r="P217" t="n">
        <v>0</v>
      </c>
      <c r="Q217" t="n">
        <v>0</v>
      </c>
      <c r="R217" s="2" t="inlineStr"/>
    </row>
    <row r="218" ht="15" customHeight="1">
      <c r="A218" t="inlineStr">
        <is>
          <t>A 24960-2025</t>
        </is>
      </c>
      <c r="B218" s="1" t="n">
        <v>45799.57666666667</v>
      </c>
      <c r="C218" s="1" t="n">
        <v>46000</v>
      </c>
      <c r="D218" t="inlineStr">
        <is>
          <t>DALARNAS LÄN</t>
        </is>
      </c>
      <c r="E218" t="inlineStr">
        <is>
          <t>MORA</t>
        </is>
      </c>
      <c r="G218" t="n">
        <v>3.2</v>
      </c>
      <c r="H218" t="n">
        <v>0</v>
      </c>
      <c r="I218" t="n">
        <v>0</v>
      </c>
      <c r="J218" t="n">
        <v>0</v>
      </c>
      <c r="K218" t="n">
        <v>0</v>
      </c>
      <c r="L218" t="n">
        <v>0</v>
      </c>
      <c r="M218" t="n">
        <v>0</v>
      </c>
      <c r="N218" t="n">
        <v>0</v>
      </c>
      <c r="O218" t="n">
        <v>0</v>
      </c>
      <c r="P218" t="n">
        <v>0</v>
      </c>
      <c r="Q218" t="n">
        <v>0</v>
      </c>
      <c r="R218" s="2" t="inlineStr"/>
    </row>
    <row r="219" ht="15" customHeight="1">
      <c r="A219" t="inlineStr">
        <is>
          <t>A 34923-2022</t>
        </is>
      </c>
      <c r="B219" s="1" t="n">
        <v>44796</v>
      </c>
      <c r="C219" s="1" t="n">
        <v>46000</v>
      </c>
      <c r="D219" t="inlineStr">
        <is>
          <t>DALARNAS LÄN</t>
        </is>
      </c>
      <c r="E219" t="inlineStr">
        <is>
          <t>MORA</t>
        </is>
      </c>
      <c r="G219" t="n">
        <v>5</v>
      </c>
      <c r="H219" t="n">
        <v>0</v>
      </c>
      <c r="I219" t="n">
        <v>0</v>
      </c>
      <c r="J219" t="n">
        <v>0</v>
      </c>
      <c r="K219" t="n">
        <v>0</v>
      </c>
      <c r="L219" t="n">
        <v>0</v>
      </c>
      <c r="M219" t="n">
        <v>0</v>
      </c>
      <c r="N219" t="n">
        <v>0</v>
      </c>
      <c r="O219" t="n">
        <v>0</v>
      </c>
      <c r="P219" t="n">
        <v>0</v>
      </c>
      <c r="Q219" t="n">
        <v>0</v>
      </c>
      <c r="R219" s="2" t="inlineStr"/>
    </row>
    <row r="220" ht="15" customHeight="1">
      <c r="A220" t="inlineStr">
        <is>
          <t>A 24642-2025</t>
        </is>
      </c>
      <c r="B220" s="1" t="n">
        <v>45798.62894675926</v>
      </c>
      <c r="C220" s="1" t="n">
        <v>46000</v>
      </c>
      <c r="D220" t="inlineStr">
        <is>
          <t>DALARNAS LÄN</t>
        </is>
      </c>
      <c r="E220" t="inlineStr">
        <is>
          <t>MORA</t>
        </is>
      </c>
      <c r="F220" t="inlineStr">
        <is>
          <t>Bergvik skog väst AB</t>
        </is>
      </c>
      <c r="G220" t="n">
        <v>1.7</v>
      </c>
      <c r="H220" t="n">
        <v>0</v>
      </c>
      <c r="I220" t="n">
        <v>0</v>
      </c>
      <c r="J220" t="n">
        <v>0</v>
      </c>
      <c r="K220" t="n">
        <v>0</v>
      </c>
      <c r="L220" t="n">
        <v>0</v>
      </c>
      <c r="M220" t="n">
        <v>0</v>
      </c>
      <c r="N220" t="n">
        <v>0</v>
      </c>
      <c r="O220" t="n">
        <v>0</v>
      </c>
      <c r="P220" t="n">
        <v>0</v>
      </c>
      <c r="Q220" t="n">
        <v>0</v>
      </c>
      <c r="R220" s="2" t="inlineStr"/>
    </row>
    <row r="221" ht="15" customHeight="1">
      <c r="A221" t="inlineStr">
        <is>
          <t>A 40660-2025</t>
        </is>
      </c>
      <c r="B221" s="1" t="n">
        <v>45896.64631944444</v>
      </c>
      <c r="C221" s="1" t="n">
        <v>46000</v>
      </c>
      <c r="D221" t="inlineStr">
        <is>
          <t>DALARNAS LÄN</t>
        </is>
      </c>
      <c r="E221" t="inlineStr">
        <is>
          <t>MORA</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40805-2025</t>
        </is>
      </c>
      <c r="B222" s="1" t="n">
        <v>45897.46659722222</v>
      </c>
      <c r="C222" s="1" t="n">
        <v>46000</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40661-2025</t>
        </is>
      </c>
      <c r="B223" s="1" t="n">
        <v>45896.64715277778</v>
      </c>
      <c r="C223" s="1" t="n">
        <v>46000</v>
      </c>
      <c r="D223" t="inlineStr">
        <is>
          <t>DALARNAS LÄN</t>
        </is>
      </c>
      <c r="E223" t="inlineStr">
        <is>
          <t>MORA</t>
        </is>
      </c>
      <c r="G223" t="n">
        <v>2.8</v>
      </c>
      <c r="H223" t="n">
        <v>0</v>
      </c>
      <c r="I223" t="n">
        <v>0</v>
      </c>
      <c r="J223" t="n">
        <v>0</v>
      </c>
      <c r="K223" t="n">
        <v>0</v>
      </c>
      <c r="L223" t="n">
        <v>0</v>
      </c>
      <c r="M223" t="n">
        <v>0</v>
      </c>
      <c r="N223" t="n">
        <v>0</v>
      </c>
      <c r="O223" t="n">
        <v>0</v>
      </c>
      <c r="P223" t="n">
        <v>0</v>
      </c>
      <c r="Q223" t="n">
        <v>0</v>
      </c>
      <c r="R223" s="2" t="inlineStr"/>
    </row>
    <row r="224" ht="15" customHeight="1">
      <c r="A224" t="inlineStr">
        <is>
          <t>A 25345-2025</t>
        </is>
      </c>
      <c r="B224" s="1" t="n">
        <v>45799</v>
      </c>
      <c r="C224" s="1" t="n">
        <v>46000</v>
      </c>
      <c r="D224" t="inlineStr">
        <is>
          <t>DALARNAS LÄN</t>
        </is>
      </c>
      <c r="E224" t="inlineStr">
        <is>
          <t>MORA</t>
        </is>
      </c>
      <c r="G224" t="n">
        <v>3.1</v>
      </c>
      <c r="H224" t="n">
        <v>0</v>
      </c>
      <c r="I224" t="n">
        <v>0</v>
      </c>
      <c r="J224" t="n">
        <v>0</v>
      </c>
      <c r="K224" t="n">
        <v>0</v>
      </c>
      <c r="L224" t="n">
        <v>0</v>
      </c>
      <c r="M224" t="n">
        <v>0</v>
      </c>
      <c r="N224" t="n">
        <v>0</v>
      </c>
      <c r="O224" t="n">
        <v>0</v>
      </c>
      <c r="P224" t="n">
        <v>0</v>
      </c>
      <c r="Q224" t="n">
        <v>0</v>
      </c>
      <c r="R224" s="2" t="inlineStr"/>
    </row>
    <row r="225" ht="15" customHeight="1">
      <c r="A225" t="inlineStr">
        <is>
          <t>A 5922-2025</t>
        </is>
      </c>
      <c r="B225" s="1" t="n">
        <v>45695.42762731481</v>
      </c>
      <c r="C225" s="1" t="n">
        <v>46000</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5309-2023</t>
        </is>
      </c>
      <c r="B226" s="1" t="n">
        <v>44956</v>
      </c>
      <c r="C226" s="1" t="n">
        <v>46000</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41200-2025</t>
        </is>
      </c>
      <c r="B227" s="1" t="n">
        <v>45898.5738425926</v>
      </c>
      <c r="C227" s="1" t="n">
        <v>46000</v>
      </c>
      <c r="D227" t="inlineStr">
        <is>
          <t>DALARNAS LÄN</t>
        </is>
      </c>
      <c r="E227" t="inlineStr">
        <is>
          <t>MORA</t>
        </is>
      </c>
      <c r="G227" t="n">
        <v>8.9</v>
      </c>
      <c r="H227" t="n">
        <v>0</v>
      </c>
      <c r="I227" t="n">
        <v>0</v>
      </c>
      <c r="J227" t="n">
        <v>0</v>
      </c>
      <c r="K227" t="n">
        <v>0</v>
      </c>
      <c r="L227" t="n">
        <v>0</v>
      </c>
      <c r="M227" t="n">
        <v>0</v>
      </c>
      <c r="N227" t="n">
        <v>0</v>
      </c>
      <c r="O227" t="n">
        <v>0</v>
      </c>
      <c r="P227" t="n">
        <v>0</v>
      </c>
      <c r="Q227" t="n">
        <v>0</v>
      </c>
      <c r="R227" s="2" t="inlineStr"/>
    </row>
    <row r="228" ht="15" customHeight="1">
      <c r="A228" t="inlineStr">
        <is>
          <t>A 54398-2021</t>
        </is>
      </c>
      <c r="B228" s="1" t="n">
        <v>44473.39252314815</v>
      </c>
      <c r="C228" s="1" t="n">
        <v>46000</v>
      </c>
      <c r="D228" t="inlineStr">
        <is>
          <t>DALARNAS LÄN</t>
        </is>
      </c>
      <c r="E228" t="inlineStr">
        <is>
          <t>MORA</t>
        </is>
      </c>
      <c r="G228" t="n">
        <v>0.9</v>
      </c>
      <c r="H228" t="n">
        <v>0</v>
      </c>
      <c r="I228" t="n">
        <v>0</v>
      </c>
      <c r="J228" t="n">
        <v>0</v>
      </c>
      <c r="K228" t="n">
        <v>0</v>
      </c>
      <c r="L228" t="n">
        <v>0</v>
      </c>
      <c r="M228" t="n">
        <v>0</v>
      </c>
      <c r="N228" t="n">
        <v>0</v>
      </c>
      <c r="O228" t="n">
        <v>0</v>
      </c>
      <c r="P228" t="n">
        <v>0</v>
      </c>
      <c r="Q228" t="n">
        <v>0</v>
      </c>
      <c r="R228" s="2" t="inlineStr"/>
    </row>
    <row r="229" ht="15" customHeight="1">
      <c r="A229" t="inlineStr">
        <is>
          <t>A 41175-2025</t>
        </is>
      </c>
      <c r="B229" s="1" t="n">
        <v>45898.55165509259</v>
      </c>
      <c r="C229" s="1" t="n">
        <v>46000</v>
      </c>
      <c r="D229" t="inlineStr">
        <is>
          <t>DALARNAS LÄN</t>
        </is>
      </c>
      <c r="E229" t="inlineStr">
        <is>
          <t>MORA</t>
        </is>
      </c>
      <c r="G229" t="n">
        <v>4.5</v>
      </c>
      <c r="H229" t="n">
        <v>0</v>
      </c>
      <c r="I229" t="n">
        <v>0</v>
      </c>
      <c r="J229" t="n">
        <v>0</v>
      </c>
      <c r="K229" t="n">
        <v>0</v>
      </c>
      <c r="L229" t="n">
        <v>0</v>
      </c>
      <c r="M229" t="n">
        <v>0</v>
      </c>
      <c r="N229" t="n">
        <v>0</v>
      </c>
      <c r="O229" t="n">
        <v>0</v>
      </c>
      <c r="P229" t="n">
        <v>0</v>
      </c>
      <c r="Q229" t="n">
        <v>0</v>
      </c>
      <c r="R229" s="2" t="inlineStr"/>
    </row>
    <row r="230" ht="15" customHeight="1">
      <c r="A230" t="inlineStr">
        <is>
          <t>A 43533-2023</t>
        </is>
      </c>
      <c r="B230" s="1" t="n">
        <v>45184.53412037037</v>
      </c>
      <c r="C230" s="1" t="n">
        <v>46000</v>
      </c>
      <c r="D230" t="inlineStr">
        <is>
          <t>DALARNAS LÄN</t>
        </is>
      </c>
      <c r="E230" t="inlineStr">
        <is>
          <t>MORA</t>
        </is>
      </c>
      <c r="F230" t="inlineStr">
        <is>
          <t>Bergvik skog väst AB</t>
        </is>
      </c>
      <c r="G230" t="n">
        <v>10.3</v>
      </c>
      <c r="H230" t="n">
        <v>0</v>
      </c>
      <c r="I230" t="n">
        <v>0</v>
      </c>
      <c r="J230" t="n">
        <v>0</v>
      </c>
      <c r="K230" t="n">
        <v>0</v>
      </c>
      <c r="L230" t="n">
        <v>0</v>
      </c>
      <c r="M230" t="n">
        <v>0</v>
      </c>
      <c r="N230" t="n">
        <v>0</v>
      </c>
      <c r="O230" t="n">
        <v>0</v>
      </c>
      <c r="P230" t="n">
        <v>0</v>
      </c>
      <c r="Q230" t="n">
        <v>0</v>
      </c>
      <c r="R230" s="2" t="inlineStr"/>
    </row>
    <row r="231" ht="15" customHeight="1">
      <c r="A231" t="inlineStr">
        <is>
          <t>A 37774-2022</t>
        </is>
      </c>
      <c r="B231" s="1" t="n">
        <v>44810.64164351852</v>
      </c>
      <c r="C231" s="1" t="n">
        <v>46000</v>
      </c>
      <c r="D231" t="inlineStr">
        <is>
          <t>DALARNAS LÄN</t>
        </is>
      </c>
      <c r="E231" t="inlineStr">
        <is>
          <t>MORA</t>
        </is>
      </c>
      <c r="F231" t="inlineStr">
        <is>
          <t>Bergvik skog väst AB</t>
        </is>
      </c>
      <c r="G231" t="n">
        <v>8.5</v>
      </c>
      <c r="H231" t="n">
        <v>0</v>
      </c>
      <c r="I231" t="n">
        <v>0</v>
      </c>
      <c r="J231" t="n">
        <v>0</v>
      </c>
      <c r="K231" t="n">
        <v>0</v>
      </c>
      <c r="L231" t="n">
        <v>0</v>
      </c>
      <c r="M231" t="n">
        <v>0</v>
      </c>
      <c r="N231" t="n">
        <v>0</v>
      </c>
      <c r="O231" t="n">
        <v>0</v>
      </c>
      <c r="P231" t="n">
        <v>0</v>
      </c>
      <c r="Q231" t="n">
        <v>0</v>
      </c>
      <c r="R231" s="2" t="inlineStr"/>
    </row>
    <row r="232" ht="15" customHeight="1">
      <c r="A232" t="inlineStr">
        <is>
          <t>A 41614-2025</t>
        </is>
      </c>
      <c r="B232" s="1" t="n">
        <v>45901.68267361111</v>
      </c>
      <c r="C232" s="1" t="n">
        <v>46000</v>
      </c>
      <c r="D232" t="inlineStr">
        <is>
          <t>DALARNAS LÄN</t>
        </is>
      </c>
      <c r="E232" t="inlineStr">
        <is>
          <t>MORA</t>
        </is>
      </c>
      <c r="F232" t="inlineStr">
        <is>
          <t>Bergvik skog väst AB</t>
        </is>
      </c>
      <c r="G232" t="n">
        <v>13.8</v>
      </c>
      <c r="H232" t="n">
        <v>0</v>
      </c>
      <c r="I232" t="n">
        <v>0</v>
      </c>
      <c r="J232" t="n">
        <v>0</v>
      </c>
      <c r="K232" t="n">
        <v>0</v>
      </c>
      <c r="L232" t="n">
        <v>0</v>
      </c>
      <c r="M232" t="n">
        <v>0</v>
      </c>
      <c r="N232" t="n">
        <v>0</v>
      </c>
      <c r="O232" t="n">
        <v>0</v>
      </c>
      <c r="P232" t="n">
        <v>0</v>
      </c>
      <c r="Q232" t="n">
        <v>0</v>
      </c>
      <c r="R232" s="2" t="inlineStr"/>
    </row>
    <row r="233" ht="15" customHeight="1">
      <c r="A233" t="inlineStr">
        <is>
          <t>A 64327-2023</t>
        </is>
      </c>
      <c r="B233" s="1" t="n">
        <v>45280</v>
      </c>
      <c r="C233" s="1" t="n">
        <v>46000</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17145-2024</t>
        </is>
      </c>
      <c r="B234" s="1" t="n">
        <v>45412</v>
      </c>
      <c r="C234" s="1" t="n">
        <v>46000</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2879-2022</t>
        </is>
      </c>
      <c r="B235" s="1" t="n">
        <v>44581</v>
      </c>
      <c r="C235" s="1" t="n">
        <v>46000</v>
      </c>
      <c r="D235" t="inlineStr">
        <is>
          <t>DALARNAS LÄN</t>
        </is>
      </c>
      <c r="E235" t="inlineStr">
        <is>
          <t>MORA</t>
        </is>
      </c>
      <c r="G235" t="n">
        <v>2.3</v>
      </c>
      <c r="H235" t="n">
        <v>0</v>
      </c>
      <c r="I235" t="n">
        <v>0</v>
      </c>
      <c r="J235" t="n">
        <v>0</v>
      </c>
      <c r="K235" t="n">
        <v>0</v>
      </c>
      <c r="L235" t="n">
        <v>0</v>
      </c>
      <c r="M235" t="n">
        <v>0</v>
      </c>
      <c r="N235" t="n">
        <v>0</v>
      </c>
      <c r="O235" t="n">
        <v>0</v>
      </c>
      <c r="P235" t="n">
        <v>0</v>
      </c>
      <c r="Q235" t="n">
        <v>0</v>
      </c>
      <c r="R235" s="2" t="inlineStr"/>
    </row>
    <row r="236" ht="15" customHeight="1">
      <c r="A236" t="inlineStr">
        <is>
          <t>A 48728-2022</t>
        </is>
      </c>
      <c r="B236" s="1" t="n">
        <v>44859.52145833334</v>
      </c>
      <c r="C236" s="1" t="n">
        <v>46000</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24620-2025</t>
        </is>
      </c>
      <c r="B237" s="1" t="n">
        <v>45798.59290509259</v>
      </c>
      <c r="C237" s="1" t="n">
        <v>46000</v>
      </c>
      <c r="D237" t="inlineStr">
        <is>
          <t>DALARNAS LÄN</t>
        </is>
      </c>
      <c r="E237" t="inlineStr">
        <is>
          <t>MORA</t>
        </is>
      </c>
      <c r="F237" t="inlineStr">
        <is>
          <t>Bergvik skog väst AB</t>
        </is>
      </c>
      <c r="G237" t="n">
        <v>4.9</v>
      </c>
      <c r="H237" t="n">
        <v>0</v>
      </c>
      <c r="I237" t="n">
        <v>0</v>
      </c>
      <c r="J237" t="n">
        <v>0</v>
      </c>
      <c r="K237" t="n">
        <v>0</v>
      </c>
      <c r="L237" t="n">
        <v>0</v>
      </c>
      <c r="M237" t="n">
        <v>0</v>
      </c>
      <c r="N237" t="n">
        <v>0</v>
      </c>
      <c r="O237" t="n">
        <v>0</v>
      </c>
      <c r="P237" t="n">
        <v>0</v>
      </c>
      <c r="Q237" t="n">
        <v>0</v>
      </c>
      <c r="R237" s="2" t="inlineStr"/>
    </row>
    <row r="238" ht="15" customHeight="1">
      <c r="A238" t="inlineStr">
        <is>
          <t>A 24653-2025</t>
        </is>
      </c>
      <c r="B238" s="1" t="n">
        <v>45798.63875</v>
      </c>
      <c r="C238" s="1" t="n">
        <v>46000</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41783-2025</t>
        </is>
      </c>
      <c r="B239" s="1" t="n">
        <v>45902.58721064815</v>
      </c>
      <c r="C239" s="1" t="n">
        <v>46000</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32410-2024</t>
        </is>
      </c>
      <c r="B240" s="1" t="n">
        <v>45512.70077546296</v>
      </c>
      <c r="C240" s="1" t="n">
        <v>46000</v>
      </c>
      <c r="D240" t="inlineStr">
        <is>
          <t>DALARNAS LÄN</t>
        </is>
      </c>
      <c r="E240" t="inlineStr">
        <is>
          <t>MORA</t>
        </is>
      </c>
      <c r="F240" t="inlineStr">
        <is>
          <t>Bergvik skog väst AB</t>
        </is>
      </c>
      <c r="G240" t="n">
        <v>2.2</v>
      </c>
      <c r="H240" t="n">
        <v>0</v>
      </c>
      <c r="I240" t="n">
        <v>0</v>
      </c>
      <c r="J240" t="n">
        <v>0</v>
      </c>
      <c r="K240" t="n">
        <v>0</v>
      </c>
      <c r="L240" t="n">
        <v>0</v>
      </c>
      <c r="M240" t="n">
        <v>0</v>
      </c>
      <c r="N240" t="n">
        <v>0</v>
      </c>
      <c r="O240" t="n">
        <v>0</v>
      </c>
      <c r="P240" t="n">
        <v>0</v>
      </c>
      <c r="Q240" t="n">
        <v>0</v>
      </c>
      <c r="R240" s="2" t="inlineStr"/>
    </row>
    <row r="241" ht="15" customHeight="1">
      <c r="A241" t="inlineStr">
        <is>
          <t>A 26577-2025</t>
        </is>
      </c>
      <c r="B241" s="1" t="n">
        <v>45807</v>
      </c>
      <c r="C241" s="1" t="n">
        <v>46000</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26532-2025</t>
        </is>
      </c>
      <c r="B242" s="1" t="n">
        <v>45807</v>
      </c>
      <c r="C242" s="1" t="n">
        <v>46000</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26545-2025</t>
        </is>
      </c>
      <c r="B243" s="1" t="n">
        <v>45807</v>
      </c>
      <c r="C243" s="1" t="n">
        <v>46000</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26546-2025</t>
        </is>
      </c>
      <c r="B244" s="1" t="n">
        <v>45807</v>
      </c>
      <c r="C244" s="1" t="n">
        <v>46000</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26573-2025</t>
        </is>
      </c>
      <c r="B245" s="1" t="n">
        <v>45807</v>
      </c>
      <c r="C245" s="1" t="n">
        <v>46000</v>
      </c>
      <c r="D245" t="inlineStr">
        <is>
          <t>DALARNAS LÄN</t>
        </is>
      </c>
      <c r="E245" t="inlineStr">
        <is>
          <t>MORA</t>
        </is>
      </c>
      <c r="G245" t="n">
        <v>4.3</v>
      </c>
      <c r="H245" t="n">
        <v>0</v>
      </c>
      <c r="I245" t="n">
        <v>0</v>
      </c>
      <c r="J245" t="n">
        <v>0</v>
      </c>
      <c r="K245" t="n">
        <v>0</v>
      </c>
      <c r="L245" t="n">
        <v>0</v>
      </c>
      <c r="M245" t="n">
        <v>0</v>
      </c>
      <c r="N245" t="n">
        <v>0</v>
      </c>
      <c r="O245" t="n">
        <v>0</v>
      </c>
      <c r="P245" t="n">
        <v>0</v>
      </c>
      <c r="Q245" t="n">
        <v>0</v>
      </c>
      <c r="R245" s="2" t="inlineStr"/>
    </row>
    <row r="246" ht="15" customHeight="1">
      <c r="A246" t="inlineStr">
        <is>
          <t>A 30819-2024</t>
        </is>
      </c>
      <c r="B246" s="1" t="n">
        <v>45497</v>
      </c>
      <c r="C246" s="1" t="n">
        <v>46000</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4994-2025</t>
        </is>
      </c>
      <c r="B247" s="1" t="n">
        <v>45691.35427083333</v>
      </c>
      <c r="C247" s="1" t="n">
        <v>46000</v>
      </c>
      <c r="D247" t="inlineStr">
        <is>
          <t>DALARNAS LÄN</t>
        </is>
      </c>
      <c r="E247" t="inlineStr">
        <is>
          <t>MORA</t>
        </is>
      </c>
      <c r="G247" t="n">
        <v>4.6</v>
      </c>
      <c r="H247" t="n">
        <v>0</v>
      </c>
      <c r="I247" t="n">
        <v>0</v>
      </c>
      <c r="J247" t="n">
        <v>0</v>
      </c>
      <c r="K247" t="n">
        <v>0</v>
      </c>
      <c r="L247" t="n">
        <v>0</v>
      </c>
      <c r="M247" t="n">
        <v>0</v>
      </c>
      <c r="N247" t="n">
        <v>0</v>
      </c>
      <c r="O247" t="n">
        <v>0</v>
      </c>
      <c r="P247" t="n">
        <v>0</v>
      </c>
      <c r="Q247" t="n">
        <v>0</v>
      </c>
      <c r="R247" s="2" t="inlineStr"/>
    </row>
    <row r="248" ht="15" customHeight="1">
      <c r="A248" t="inlineStr">
        <is>
          <t>A 26731-2025</t>
        </is>
      </c>
      <c r="B248" s="1" t="n">
        <v>45810.50702546296</v>
      </c>
      <c r="C248" s="1" t="n">
        <v>46000</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20885-2024</t>
        </is>
      </c>
      <c r="B249" s="1" t="n">
        <v>45439.45527777778</v>
      </c>
      <c r="C249" s="1" t="n">
        <v>46000</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15993-2025</t>
        </is>
      </c>
      <c r="B250" s="1" t="n">
        <v>45749.58428240741</v>
      </c>
      <c r="C250" s="1" t="n">
        <v>46000</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56425-2024</t>
        </is>
      </c>
      <c r="B251" s="1" t="n">
        <v>45625.38677083333</v>
      </c>
      <c r="C251" s="1" t="n">
        <v>46000</v>
      </c>
      <c r="D251" t="inlineStr">
        <is>
          <t>DALARNAS LÄN</t>
        </is>
      </c>
      <c r="E251" t="inlineStr">
        <is>
          <t>MORA</t>
        </is>
      </c>
      <c r="G251" t="n">
        <v>2.1</v>
      </c>
      <c r="H251" t="n">
        <v>0</v>
      </c>
      <c r="I251" t="n">
        <v>0</v>
      </c>
      <c r="J251" t="n">
        <v>0</v>
      </c>
      <c r="K251" t="n">
        <v>0</v>
      </c>
      <c r="L251" t="n">
        <v>0</v>
      </c>
      <c r="M251" t="n">
        <v>0</v>
      </c>
      <c r="N251" t="n">
        <v>0</v>
      </c>
      <c r="O251" t="n">
        <v>0</v>
      </c>
      <c r="P251" t="n">
        <v>0</v>
      </c>
      <c r="Q251" t="n">
        <v>0</v>
      </c>
      <c r="R251" s="2" t="inlineStr"/>
    </row>
    <row r="252" ht="15" customHeight="1">
      <c r="A252" t="inlineStr">
        <is>
          <t>A 26711-2025</t>
        </is>
      </c>
      <c r="B252" s="1" t="n">
        <v>45810.46144675926</v>
      </c>
      <c r="C252" s="1" t="n">
        <v>46000</v>
      </c>
      <c r="D252" t="inlineStr">
        <is>
          <t>DALARNAS LÄN</t>
        </is>
      </c>
      <c r="E252" t="inlineStr">
        <is>
          <t>MORA</t>
        </is>
      </c>
      <c r="G252" t="n">
        <v>0.5</v>
      </c>
      <c r="H252" t="n">
        <v>0</v>
      </c>
      <c r="I252" t="n">
        <v>0</v>
      </c>
      <c r="J252" t="n">
        <v>0</v>
      </c>
      <c r="K252" t="n">
        <v>0</v>
      </c>
      <c r="L252" t="n">
        <v>0</v>
      </c>
      <c r="M252" t="n">
        <v>0</v>
      </c>
      <c r="N252" t="n">
        <v>0</v>
      </c>
      <c r="O252" t="n">
        <v>0</v>
      </c>
      <c r="P252" t="n">
        <v>0</v>
      </c>
      <c r="Q252" t="n">
        <v>0</v>
      </c>
      <c r="R252" s="2" t="inlineStr"/>
    </row>
    <row r="253" ht="15" customHeight="1">
      <c r="A253" t="inlineStr">
        <is>
          <t>A 41855-2025</t>
        </is>
      </c>
      <c r="B253" s="1" t="n">
        <v>45902.93693287037</v>
      </c>
      <c r="C253" s="1" t="n">
        <v>46000</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42319-2025</t>
        </is>
      </c>
      <c r="B254" s="1" t="n">
        <v>45903</v>
      </c>
      <c r="C254" s="1" t="n">
        <v>46000</v>
      </c>
      <c r="D254" t="inlineStr">
        <is>
          <t>DALARNAS LÄN</t>
        </is>
      </c>
      <c r="E254" t="inlineStr">
        <is>
          <t>MORA</t>
        </is>
      </c>
      <c r="G254" t="n">
        <v>2.3</v>
      </c>
      <c r="H254" t="n">
        <v>0</v>
      </c>
      <c r="I254" t="n">
        <v>0</v>
      </c>
      <c r="J254" t="n">
        <v>0</v>
      </c>
      <c r="K254" t="n">
        <v>0</v>
      </c>
      <c r="L254" t="n">
        <v>0</v>
      </c>
      <c r="M254" t="n">
        <v>0</v>
      </c>
      <c r="N254" t="n">
        <v>0</v>
      </c>
      <c r="O254" t="n">
        <v>0</v>
      </c>
      <c r="P254" t="n">
        <v>0</v>
      </c>
      <c r="Q254" t="n">
        <v>0</v>
      </c>
      <c r="R254" s="2" t="inlineStr"/>
    </row>
    <row r="255" ht="15" customHeight="1">
      <c r="A255" t="inlineStr">
        <is>
          <t>A 7565-2025</t>
        </is>
      </c>
      <c r="B255" s="1" t="n">
        <v>45705.59269675926</v>
      </c>
      <c r="C255" s="1" t="n">
        <v>46000</v>
      </c>
      <c r="D255" t="inlineStr">
        <is>
          <t>DALARNAS LÄN</t>
        </is>
      </c>
      <c r="E255" t="inlineStr">
        <is>
          <t>MORA</t>
        </is>
      </c>
      <c r="G255" t="n">
        <v>3</v>
      </c>
      <c r="H255" t="n">
        <v>0</v>
      </c>
      <c r="I255" t="n">
        <v>0</v>
      </c>
      <c r="J255" t="n">
        <v>0</v>
      </c>
      <c r="K255" t="n">
        <v>0</v>
      </c>
      <c r="L255" t="n">
        <v>0</v>
      </c>
      <c r="M255" t="n">
        <v>0</v>
      </c>
      <c r="N255" t="n">
        <v>0</v>
      </c>
      <c r="O255" t="n">
        <v>0</v>
      </c>
      <c r="P255" t="n">
        <v>0</v>
      </c>
      <c r="Q255" t="n">
        <v>0</v>
      </c>
      <c r="R255" s="2" t="inlineStr"/>
    </row>
    <row r="256" ht="15" customHeight="1">
      <c r="A256" t="inlineStr">
        <is>
          <t>A 26854-2025</t>
        </is>
      </c>
      <c r="B256" s="1" t="n">
        <v>45810.67462962963</v>
      </c>
      <c r="C256" s="1" t="n">
        <v>46000</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51253-2023</t>
        </is>
      </c>
      <c r="B257" s="1" t="n">
        <v>45219</v>
      </c>
      <c r="C257" s="1" t="n">
        <v>46000</v>
      </c>
      <c r="D257" t="inlineStr">
        <is>
          <t>DALARNAS LÄN</t>
        </is>
      </c>
      <c r="E257" t="inlineStr">
        <is>
          <t>MORA</t>
        </is>
      </c>
      <c r="G257" t="n">
        <v>5</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46000</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46000</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11857-2023</t>
        </is>
      </c>
      <c r="B260" s="1" t="n">
        <v>44995</v>
      </c>
      <c r="C260" s="1" t="n">
        <v>46000</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42112-2025</t>
        </is>
      </c>
      <c r="B261" s="1" t="n">
        <v>45904.32134259259</v>
      </c>
      <c r="C261" s="1" t="n">
        <v>46000</v>
      </c>
      <c r="D261" t="inlineStr">
        <is>
          <t>DALARNAS LÄN</t>
        </is>
      </c>
      <c r="E261" t="inlineStr">
        <is>
          <t>MORA</t>
        </is>
      </c>
      <c r="G261" t="n">
        <v>1.1</v>
      </c>
      <c r="H261" t="n">
        <v>0</v>
      </c>
      <c r="I261" t="n">
        <v>0</v>
      </c>
      <c r="J261" t="n">
        <v>0</v>
      </c>
      <c r="K261" t="n">
        <v>0</v>
      </c>
      <c r="L261" t="n">
        <v>0</v>
      </c>
      <c r="M261" t="n">
        <v>0</v>
      </c>
      <c r="N261" t="n">
        <v>0</v>
      </c>
      <c r="O261" t="n">
        <v>0</v>
      </c>
      <c r="P261" t="n">
        <v>0</v>
      </c>
      <c r="Q261" t="n">
        <v>0</v>
      </c>
      <c r="R261" s="2" t="inlineStr"/>
    </row>
    <row r="262" ht="15" customHeight="1">
      <c r="A262" t="inlineStr">
        <is>
          <t>A 26630-2025</t>
        </is>
      </c>
      <c r="B262" s="1" t="n">
        <v>45809</v>
      </c>
      <c r="C262" s="1" t="n">
        <v>46000</v>
      </c>
      <c r="D262" t="inlineStr">
        <is>
          <t>DALARNAS LÄN</t>
        </is>
      </c>
      <c r="E262" t="inlineStr">
        <is>
          <t>MORA</t>
        </is>
      </c>
      <c r="G262" t="n">
        <v>32.1</v>
      </c>
      <c r="H262" t="n">
        <v>0</v>
      </c>
      <c r="I262" t="n">
        <v>0</v>
      </c>
      <c r="J262" t="n">
        <v>0</v>
      </c>
      <c r="K262" t="n">
        <v>0</v>
      </c>
      <c r="L262" t="n">
        <v>0</v>
      </c>
      <c r="M262" t="n">
        <v>0</v>
      </c>
      <c r="N262" t="n">
        <v>0</v>
      </c>
      <c r="O262" t="n">
        <v>0</v>
      </c>
      <c r="P262" t="n">
        <v>0</v>
      </c>
      <c r="Q262" t="n">
        <v>0</v>
      </c>
      <c r="R262" s="2" t="inlineStr"/>
    </row>
    <row r="263" ht="15" customHeight="1">
      <c r="A263" t="inlineStr">
        <is>
          <t>A 27194-2025</t>
        </is>
      </c>
      <c r="B263" s="1" t="n">
        <v>45812.37965277778</v>
      </c>
      <c r="C263" s="1" t="n">
        <v>46000</v>
      </c>
      <c r="D263" t="inlineStr">
        <is>
          <t>DALARNAS LÄN</t>
        </is>
      </c>
      <c r="E263" t="inlineStr">
        <is>
          <t>MORA</t>
        </is>
      </c>
      <c r="G263" t="n">
        <v>2.4</v>
      </c>
      <c r="H263" t="n">
        <v>0</v>
      </c>
      <c r="I263" t="n">
        <v>0</v>
      </c>
      <c r="J263" t="n">
        <v>0</v>
      </c>
      <c r="K263" t="n">
        <v>0</v>
      </c>
      <c r="L263" t="n">
        <v>0</v>
      </c>
      <c r="M263" t="n">
        <v>0</v>
      </c>
      <c r="N263" t="n">
        <v>0</v>
      </c>
      <c r="O263" t="n">
        <v>0</v>
      </c>
      <c r="P263" t="n">
        <v>0</v>
      </c>
      <c r="Q263" t="n">
        <v>0</v>
      </c>
      <c r="R263" s="2" t="inlineStr"/>
    </row>
    <row r="264" ht="15" customHeight="1">
      <c r="A264" t="inlineStr">
        <is>
          <t>A 56012-2023</t>
        </is>
      </c>
      <c r="B264" s="1" t="n">
        <v>45240</v>
      </c>
      <c r="C264" s="1" t="n">
        <v>46000</v>
      </c>
      <c r="D264" t="inlineStr">
        <is>
          <t>DALARNAS LÄN</t>
        </is>
      </c>
      <c r="E264" t="inlineStr">
        <is>
          <t>MORA</t>
        </is>
      </c>
      <c r="G264" t="n">
        <v>0.3</v>
      </c>
      <c r="H264" t="n">
        <v>0</v>
      </c>
      <c r="I264" t="n">
        <v>0</v>
      </c>
      <c r="J264" t="n">
        <v>0</v>
      </c>
      <c r="K264" t="n">
        <v>0</v>
      </c>
      <c r="L264" t="n">
        <v>0</v>
      </c>
      <c r="M264" t="n">
        <v>0</v>
      </c>
      <c r="N264" t="n">
        <v>0</v>
      </c>
      <c r="O264" t="n">
        <v>0</v>
      </c>
      <c r="P264" t="n">
        <v>0</v>
      </c>
      <c r="Q264" t="n">
        <v>0</v>
      </c>
      <c r="R264" s="2" t="inlineStr"/>
    </row>
    <row r="265" ht="15" customHeight="1">
      <c r="A265" t="inlineStr">
        <is>
          <t>A 60674-2023</t>
        </is>
      </c>
      <c r="B265" s="1" t="n">
        <v>45260.46609953704</v>
      </c>
      <c r="C265" s="1" t="n">
        <v>46000</v>
      </c>
      <c r="D265" t="inlineStr">
        <is>
          <t>DALARNAS LÄN</t>
        </is>
      </c>
      <c r="E265" t="inlineStr">
        <is>
          <t>MORA</t>
        </is>
      </c>
      <c r="G265" t="n">
        <v>2.9</v>
      </c>
      <c r="H265" t="n">
        <v>0</v>
      </c>
      <c r="I265" t="n">
        <v>0</v>
      </c>
      <c r="J265" t="n">
        <v>0</v>
      </c>
      <c r="K265" t="n">
        <v>0</v>
      </c>
      <c r="L265" t="n">
        <v>0</v>
      </c>
      <c r="M265" t="n">
        <v>0</v>
      </c>
      <c r="N265" t="n">
        <v>0</v>
      </c>
      <c r="O265" t="n">
        <v>0</v>
      </c>
      <c r="P265" t="n">
        <v>0</v>
      </c>
      <c r="Q265" t="n">
        <v>0</v>
      </c>
      <c r="R265" s="2" t="inlineStr"/>
    </row>
    <row r="266" ht="15" customHeight="1">
      <c r="A266" t="inlineStr">
        <is>
          <t>A 5298-2023</t>
        </is>
      </c>
      <c r="B266" s="1" t="n">
        <v>44959.54355324074</v>
      </c>
      <c r="C266" s="1" t="n">
        <v>46000</v>
      </c>
      <c r="D266" t="inlineStr">
        <is>
          <t>DALARNAS LÄN</t>
        </is>
      </c>
      <c r="E266" t="inlineStr">
        <is>
          <t>MORA</t>
        </is>
      </c>
      <c r="F266" t="inlineStr">
        <is>
          <t>Bergvik skog väst AB</t>
        </is>
      </c>
      <c r="G266" t="n">
        <v>6.2</v>
      </c>
      <c r="H266" t="n">
        <v>0</v>
      </c>
      <c r="I266" t="n">
        <v>0</v>
      </c>
      <c r="J266" t="n">
        <v>0</v>
      </c>
      <c r="K266" t="n">
        <v>0</v>
      </c>
      <c r="L266" t="n">
        <v>0</v>
      </c>
      <c r="M266" t="n">
        <v>0</v>
      </c>
      <c r="N266" t="n">
        <v>0</v>
      </c>
      <c r="O266" t="n">
        <v>0</v>
      </c>
      <c r="P266" t="n">
        <v>0</v>
      </c>
      <c r="Q266" t="n">
        <v>0</v>
      </c>
      <c r="R266" s="2" t="inlineStr"/>
    </row>
    <row r="267" ht="15" customHeight="1">
      <c r="A267" t="inlineStr">
        <is>
          <t>A 57859-2022</t>
        </is>
      </c>
      <c r="B267" s="1" t="n">
        <v>44898</v>
      </c>
      <c r="C267" s="1" t="n">
        <v>46000</v>
      </c>
      <c r="D267" t="inlineStr">
        <is>
          <t>DALARNAS LÄN</t>
        </is>
      </c>
      <c r="E267" t="inlineStr">
        <is>
          <t>MORA</t>
        </is>
      </c>
      <c r="G267" t="n">
        <v>1.4</v>
      </c>
      <c r="H267" t="n">
        <v>0</v>
      </c>
      <c r="I267" t="n">
        <v>0</v>
      </c>
      <c r="J267" t="n">
        <v>0</v>
      </c>
      <c r="K267" t="n">
        <v>0</v>
      </c>
      <c r="L267" t="n">
        <v>0</v>
      </c>
      <c r="M267" t="n">
        <v>0</v>
      </c>
      <c r="N267" t="n">
        <v>0</v>
      </c>
      <c r="O267" t="n">
        <v>0</v>
      </c>
      <c r="P267" t="n">
        <v>0</v>
      </c>
      <c r="Q267" t="n">
        <v>0</v>
      </c>
      <c r="R267" s="2" t="inlineStr"/>
    </row>
    <row r="268" ht="15" customHeight="1">
      <c r="A268" t="inlineStr">
        <is>
          <t>A 61249-2023</t>
        </is>
      </c>
      <c r="B268" s="1" t="n">
        <v>45264</v>
      </c>
      <c r="C268" s="1" t="n">
        <v>46000</v>
      </c>
      <c r="D268" t="inlineStr">
        <is>
          <t>DALARNAS LÄN</t>
        </is>
      </c>
      <c r="E268" t="inlineStr">
        <is>
          <t>MORA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42813-2025</t>
        </is>
      </c>
      <c r="B269" s="1" t="n">
        <v>45908.56168981481</v>
      </c>
      <c r="C269" s="1" t="n">
        <v>46000</v>
      </c>
      <c r="D269" t="inlineStr">
        <is>
          <t>DALARNAS LÄN</t>
        </is>
      </c>
      <c r="E269" t="inlineStr">
        <is>
          <t>MORA</t>
        </is>
      </c>
      <c r="G269" t="n">
        <v>4.3</v>
      </c>
      <c r="H269" t="n">
        <v>0</v>
      </c>
      <c r="I269" t="n">
        <v>0</v>
      </c>
      <c r="J269" t="n">
        <v>0</v>
      </c>
      <c r="K269" t="n">
        <v>0</v>
      </c>
      <c r="L269" t="n">
        <v>0</v>
      </c>
      <c r="M269" t="n">
        <v>0</v>
      </c>
      <c r="N269" t="n">
        <v>0</v>
      </c>
      <c r="O269" t="n">
        <v>0</v>
      </c>
      <c r="P269" t="n">
        <v>0</v>
      </c>
      <c r="Q269" t="n">
        <v>0</v>
      </c>
      <c r="R269" s="2" t="inlineStr"/>
    </row>
    <row r="270" ht="15" customHeight="1">
      <c r="A270" t="inlineStr">
        <is>
          <t>A 17268-2025</t>
        </is>
      </c>
      <c r="B270" s="1" t="n">
        <v>45756</v>
      </c>
      <c r="C270" s="1" t="n">
        <v>46000</v>
      </c>
      <c r="D270" t="inlineStr">
        <is>
          <t>DALARNAS LÄN</t>
        </is>
      </c>
      <c r="E270" t="inlineStr">
        <is>
          <t>MORA</t>
        </is>
      </c>
      <c r="G270" t="n">
        <v>6.8</v>
      </c>
      <c r="H270" t="n">
        <v>0</v>
      </c>
      <c r="I270" t="n">
        <v>0</v>
      </c>
      <c r="J270" t="n">
        <v>0</v>
      </c>
      <c r="K270" t="n">
        <v>0</v>
      </c>
      <c r="L270" t="n">
        <v>0</v>
      </c>
      <c r="M270" t="n">
        <v>0</v>
      </c>
      <c r="N270" t="n">
        <v>0</v>
      </c>
      <c r="O270" t="n">
        <v>0</v>
      </c>
      <c r="P270" t="n">
        <v>0</v>
      </c>
      <c r="Q270" t="n">
        <v>0</v>
      </c>
      <c r="R270" s="2" t="inlineStr"/>
    </row>
    <row r="271" ht="15" customHeight="1">
      <c r="A271" t="inlineStr">
        <is>
          <t>A 27642-2025</t>
        </is>
      </c>
      <c r="B271" s="1" t="n">
        <v>45813.59405092592</v>
      </c>
      <c r="C271" s="1" t="n">
        <v>46000</v>
      </c>
      <c r="D271" t="inlineStr">
        <is>
          <t>DALARNAS LÄN</t>
        </is>
      </c>
      <c r="E271" t="inlineStr">
        <is>
          <t>MORA</t>
        </is>
      </c>
      <c r="G271" t="n">
        <v>2.5</v>
      </c>
      <c r="H271" t="n">
        <v>0</v>
      </c>
      <c r="I271" t="n">
        <v>0</v>
      </c>
      <c r="J271" t="n">
        <v>0</v>
      </c>
      <c r="K271" t="n">
        <v>0</v>
      </c>
      <c r="L271" t="n">
        <v>0</v>
      </c>
      <c r="M271" t="n">
        <v>0</v>
      </c>
      <c r="N271" t="n">
        <v>0</v>
      </c>
      <c r="O271" t="n">
        <v>0</v>
      </c>
      <c r="P271" t="n">
        <v>0</v>
      </c>
      <c r="Q271" t="n">
        <v>0</v>
      </c>
      <c r="R271" s="2" t="inlineStr"/>
    </row>
    <row r="272" ht="15" customHeight="1">
      <c r="A272" t="inlineStr">
        <is>
          <t>A 27184-2025</t>
        </is>
      </c>
      <c r="B272" s="1" t="n">
        <v>45812.36133101852</v>
      </c>
      <c r="C272" s="1" t="n">
        <v>46000</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25935-2023</t>
        </is>
      </c>
      <c r="B273" s="1" t="n">
        <v>45090.68675925926</v>
      </c>
      <c r="C273" s="1" t="n">
        <v>46000</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42947-2025</t>
        </is>
      </c>
      <c r="B274" s="1" t="n">
        <v>45909.34799768519</v>
      </c>
      <c r="C274" s="1" t="n">
        <v>46000</v>
      </c>
      <c r="D274" t="inlineStr">
        <is>
          <t>DALARNAS LÄN</t>
        </is>
      </c>
      <c r="E274" t="inlineStr">
        <is>
          <t>MORA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42960-2025</t>
        </is>
      </c>
      <c r="B275" s="1" t="n">
        <v>45909.36631944445</v>
      </c>
      <c r="C275" s="1" t="n">
        <v>46000</v>
      </c>
      <c r="D275" t="inlineStr">
        <is>
          <t>DALARNAS LÄN</t>
        </is>
      </c>
      <c r="E275" t="inlineStr">
        <is>
          <t>MORA</t>
        </is>
      </c>
      <c r="G275" t="n">
        <v>0.7</v>
      </c>
      <c r="H275" t="n">
        <v>0</v>
      </c>
      <c r="I275" t="n">
        <v>0</v>
      </c>
      <c r="J275" t="n">
        <v>0</v>
      </c>
      <c r="K275" t="n">
        <v>0</v>
      </c>
      <c r="L275" t="n">
        <v>0</v>
      </c>
      <c r="M275" t="n">
        <v>0</v>
      </c>
      <c r="N275" t="n">
        <v>0</v>
      </c>
      <c r="O275" t="n">
        <v>0</v>
      </c>
      <c r="P275" t="n">
        <v>0</v>
      </c>
      <c r="Q275" t="n">
        <v>0</v>
      </c>
      <c r="R275" s="2" t="inlineStr"/>
    </row>
    <row r="276" ht="15" customHeight="1">
      <c r="A276" t="inlineStr">
        <is>
          <t>A 23057-2024</t>
        </is>
      </c>
      <c r="B276" s="1" t="n">
        <v>45450</v>
      </c>
      <c r="C276" s="1" t="n">
        <v>46000</v>
      </c>
      <c r="D276" t="inlineStr">
        <is>
          <t>DALARNAS LÄN</t>
        </is>
      </c>
      <c r="E276" t="inlineStr">
        <is>
          <t>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27177-2025</t>
        </is>
      </c>
      <c r="B277" s="1" t="n">
        <v>45812.3533912037</v>
      </c>
      <c r="C277" s="1" t="n">
        <v>46000</v>
      </c>
      <c r="D277" t="inlineStr">
        <is>
          <t>DALARNAS LÄN</t>
        </is>
      </c>
      <c r="E277" t="inlineStr">
        <is>
          <t>MORA</t>
        </is>
      </c>
      <c r="F277" t="inlineStr">
        <is>
          <t>Bergvik skog öst AB</t>
        </is>
      </c>
      <c r="G277" t="n">
        <v>2.5</v>
      </c>
      <c r="H277" t="n">
        <v>0</v>
      </c>
      <c r="I277" t="n">
        <v>0</v>
      </c>
      <c r="J277" t="n">
        <v>0</v>
      </c>
      <c r="K277" t="n">
        <v>0</v>
      </c>
      <c r="L277" t="n">
        <v>0</v>
      </c>
      <c r="M277" t="n">
        <v>0</v>
      </c>
      <c r="N277" t="n">
        <v>0</v>
      </c>
      <c r="O277" t="n">
        <v>0</v>
      </c>
      <c r="P277" t="n">
        <v>0</v>
      </c>
      <c r="Q277" t="n">
        <v>0</v>
      </c>
      <c r="R277" s="2" t="inlineStr"/>
    </row>
    <row r="278" ht="15" customHeight="1">
      <c r="A278" t="inlineStr">
        <is>
          <t>A 51168-2024</t>
        </is>
      </c>
      <c r="B278" s="1" t="n">
        <v>45603.58619212963</v>
      </c>
      <c r="C278" s="1" t="n">
        <v>46000</v>
      </c>
      <c r="D278" t="inlineStr">
        <is>
          <t>DALARNAS LÄN</t>
        </is>
      </c>
      <c r="E278" t="inlineStr">
        <is>
          <t>MORA</t>
        </is>
      </c>
      <c r="G278" t="n">
        <v>3</v>
      </c>
      <c r="H278" t="n">
        <v>0</v>
      </c>
      <c r="I278" t="n">
        <v>0</v>
      </c>
      <c r="J278" t="n">
        <v>0</v>
      </c>
      <c r="K278" t="n">
        <v>0</v>
      </c>
      <c r="L278" t="n">
        <v>0</v>
      </c>
      <c r="M278" t="n">
        <v>0</v>
      </c>
      <c r="N278" t="n">
        <v>0</v>
      </c>
      <c r="O278" t="n">
        <v>0</v>
      </c>
      <c r="P278" t="n">
        <v>0</v>
      </c>
      <c r="Q278" t="n">
        <v>0</v>
      </c>
      <c r="R278" s="2" t="inlineStr"/>
    </row>
    <row r="279" ht="15" customHeight="1">
      <c r="A279" t="inlineStr">
        <is>
          <t>A 59182-2023</t>
        </is>
      </c>
      <c r="B279" s="1" t="n">
        <v>45253</v>
      </c>
      <c r="C279" s="1" t="n">
        <v>46000</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14611-2025</t>
        </is>
      </c>
      <c r="B280" s="1" t="n">
        <v>45742.38511574074</v>
      </c>
      <c r="C280" s="1" t="n">
        <v>46000</v>
      </c>
      <c r="D280" t="inlineStr">
        <is>
          <t>DALARNAS LÄN</t>
        </is>
      </c>
      <c r="E280" t="inlineStr">
        <is>
          <t>MORA</t>
        </is>
      </c>
      <c r="F280" t="inlineStr">
        <is>
          <t>Bergvik skog väst AB</t>
        </is>
      </c>
      <c r="G280" t="n">
        <v>2.9</v>
      </c>
      <c r="H280" t="n">
        <v>0</v>
      </c>
      <c r="I280" t="n">
        <v>0</v>
      </c>
      <c r="J280" t="n">
        <v>0</v>
      </c>
      <c r="K280" t="n">
        <v>0</v>
      </c>
      <c r="L280" t="n">
        <v>0</v>
      </c>
      <c r="M280" t="n">
        <v>0</v>
      </c>
      <c r="N280" t="n">
        <v>0</v>
      </c>
      <c r="O280" t="n">
        <v>0</v>
      </c>
      <c r="P280" t="n">
        <v>0</v>
      </c>
      <c r="Q280" t="n">
        <v>0</v>
      </c>
      <c r="R280" s="2" t="inlineStr"/>
    </row>
    <row r="281" ht="15" customHeight="1">
      <c r="A281" t="inlineStr">
        <is>
          <t>A 36600-2023</t>
        </is>
      </c>
      <c r="B281" s="1" t="n">
        <v>45153</v>
      </c>
      <c r="C281" s="1" t="n">
        <v>46000</v>
      </c>
      <c r="D281" t="inlineStr">
        <is>
          <t>DALARNAS LÄN</t>
        </is>
      </c>
      <c r="E281" t="inlineStr">
        <is>
          <t>MORA</t>
        </is>
      </c>
      <c r="G281" t="n">
        <v>7.3</v>
      </c>
      <c r="H281" t="n">
        <v>0</v>
      </c>
      <c r="I281" t="n">
        <v>0</v>
      </c>
      <c r="J281" t="n">
        <v>0</v>
      </c>
      <c r="K281" t="n">
        <v>0</v>
      </c>
      <c r="L281" t="n">
        <v>0</v>
      </c>
      <c r="M281" t="n">
        <v>0</v>
      </c>
      <c r="N281" t="n">
        <v>0</v>
      </c>
      <c r="O281" t="n">
        <v>0</v>
      </c>
      <c r="P281" t="n">
        <v>0</v>
      </c>
      <c r="Q281" t="n">
        <v>0</v>
      </c>
      <c r="R281" s="2" t="inlineStr"/>
    </row>
    <row r="282" ht="15" customHeight="1">
      <c r="A282" t="inlineStr">
        <is>
          <t>A 27175-2025</t>
        </is>
      </c>
      <c r="B282" s="1" t="n">
        <v>45812.35072916667</v>
      </c>
      <c r="C282" s="1" t="n">
        <v>46000</v>
      </c>
      <c r="D282" t="inlineStr">
        <is>
          <t>DALARNAS LÄN</t>
        </is>
      </c>
      <c r="E282" t="inlineStr">
        <is>
          <t>MORA</t>
        </is>
      </c>
      <c r="F282" t="inlineStr">
        <is>
          <t>Bergvik skog öst AB</t>
        </is>
      </c>
      <c r="G282" t="n">
        <v>4</v>
      </c>
      <c r="H282" t="n">
        <v>0</v>
      </c>
      <c r="I282" t="n">
        <v>0</v>
      </c>
      <c r="J282" t="n">
        <v>0</v>
      </c>
      <c r="K282" t="n">
        <v>0</v>
      </c>
      <c r="L282" t="n">
        <v>0</v>
      </c>
      <c r="M282" t="n">
        <v>0</v>
      </c>
      <c r="N282" t="n">
        <v>0</v>
      </c>
      <c r="O282" t="n">
        <v>0</v>
      </c>
      <c r="P282" t="n">
        <v>0</v>
      </c>
      <c r="Q282" t="n">
        <v>0</v>
      </c>
      <c r="R282" s="2" t="inlineStr"/>
    </row>
    <row r="283" ht="15" customHeight="1">
      <c r="A283" t="inlineStr">
        <is>
          <t>A 42954-2025</t>
        </is>
      </c>
      <c r="B283" s="1" t="n">
        <v>45909.3578125</v>
      </c>
      <c r="C283" s="1" t="n">
        <v>46000</v>
      </c>
      <c r="D283" t="inlineStr">
        <is>
          <t>DALARNAS LÄN</t>
        </is>
      </c>
      <c r="E283" t="inlineStr">
        <is>
          <t>MORA</t>
        </is>
      </c>
      <c r="G283" t="n">
        <v>2.5</v>
      </c>
      <c r="H283" t="n">
        <v>0</v>
      </c>
      <c r="I283" t="n">
        <v>0</v>
      </c>
      <c r="J283" t="n">
        <v>0</v>
      </c>
      <c r="K283" t="n">
        <v>0</v>
      </c>
      <c r="L283" t="n">
        <v>0</v>
      </c>
      <c r="M283" t="n">
        <v>0</v>
      </c>
      <c r="N283" t="n">
        <v>0</v>
      </c>
      <c r="O283" t="n">
        <v>0</v>
      </c>
      <c r="P283" t="n">
        <v>0</v>
      </c>
      <c r="Q283" t="n">
        <v>0</v>
      </c>
      <c r="R283" s="2" t="inlineStr"/>
    </row>
    <row r="284" ht="15" customHeight="1">
      <c r="A284" t="inlineStr">
        <is>
          <t>A 42830-2025</t>
        </is>
      </c>
      <c r="B284" s="1" t="n">
        <v>45908.57753472222</v>
      </c>
      <c r="C284" s="1" t="n">
        <v>46000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28033-2025</t>
        </is>
      </c>
      <c r="B285" s="1" t="n">
        <v>45817.6325462963</v>
      </c>
      <c r="C285" s="1" t="n">
        <v>46000</v>
      </c>
      <c r="D285" t="inlineStr">
        <is>
          <t>DALARNAS LÄN</t>
        </is>
      </c>
      <c r="E285" t="inlineStr">
        <is>
          <t>MORA</t>
        </is>
      </c>
      <c r="F285" t="inlineStr">
        <is>
          <t>Bergvik skog öst AB</t>
        </is>
      </c>
      <c r="G285" t="n">
        <v>12.8</v>
      </c>
      <c r="H285" t="n">
        <v>0</v>
      </c>
      <c r="I285" t="n">
        <v>0</v>
      </c>
      <c r="J285" t="n">
        <v>0</v>
      </c>
      <c r="K285" t="n">
        <v>0</v>
      </c>
      <c r="L285" t="n">
        <v>0</v>
      </c>
      <c r="M285" t="n">
        <v>0</v>
      </c>
      <c r="N285" t="n">
        <v>0</v>
      </c>
      <c r="O285" t="n">
        <v>0</v>
      </c>
      <c r="P285" t="n">
        <v>0</v>
      </c>
      <c r="Q285" t="n">
        <v>0</v>
      </c>
      <c r="R285" s="2" t="inlineStr"/>
    </row>
    <row r="286" ht="15" customHeight="1">
      <c r="A286" t="inlineStr">
        <is>
          <t>A 43157-2025</t>
        </is>
      </c>
      <c r="B286" s="1" t="n">
        <v>45910.34953703704</v>
      </c>
      <c r="C286" s="1" t="n">
        <v>46000</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69519-2020</t>
        </is>
      </c>
      <c r="B287" s="1" t="n">
        <v>44194</v>
      </c>
      <c r="C287" s="1" t="n">
        <v>46000</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35325-2024</t>
        </is>
      </c>
      <c r="B288" s="1" t="n">
        <v>45530.71158564815</v>
      </c>
      <c r="C288" s="1" t="n">
        <v>46000</v>
      </c>
      <c r="D288" t="inlineStr">
        <is>
          <t>DALARNAS LÄN</t>
        </is>
      </c>
      <c r="E288" t="inlineStr">
        <is>
          <t>MORA</t>
        </is>
      </c>
      <c r="G288" t="n">
        <v>5</v>
      </c>
      <c r="H288" t="n">
        <v>0</v>
      </c>
      <c r="I288" t="n">
        <v>0</v>
      </c>
      <c r="J288" t="n">
        <v>0</v>
      </c>
      <c r="K288" t="n">
        <v>0</v>
      </c>
      <c r="L288" t="n">
        <v>0</v>
      </c>
      <c r="M288" t="n">
        <v>0</v>
      </c>
      <c r="N288" t="n">
        <v>0</v>
      </c>
      <c r="O288" t="n">
        <v>0</v>
      </c>
      <c r="P288" t="n">
        <v>0</v>
      </c>
      <c r="Q288" t="n">
        <v>0</v>
      </c>
      <c r="R288" s="2" t="inlineStr"/>
    </row>
    <row r="289" ht="15" customHeight="1">
      <c r="A289" t="inlineStr">
        <is>
          <t>A 43569-2025</t>
        </is>
      </c>
      <c r="B289" s="1" t="n">
        <v>45911.63363425926</v>
      </c>
      <c r="C289" s="1" t="n">
        <v>46000</v>
      </c>
      <c r="D289" t="inlineStr">
        <is>
          <t>DALARNAS LÄN</t>
        </is>
      </c>
      <c r="E289" t="inlineStr">
        <is>
          <t>MORA</t>
        </is>
      </c>
      <c r="G289" t="n">
        <v>4.7</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44518.39234953704</v>
      </c>
      <c r="C290" s="1" t="n">
        <v>46000</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45562-2023</t>
        </is>
      </c>
      <c r="B291" s="1" t="n">
        <v>45194.59378472222</v>
      </c>
      <c r="C291" s="1" t="n">
        <v>46000</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51570-2023</t>
        </is>
      </c>
      <c r="B292" s="1" t="n">
        <v>45222</v>
      </c>
      <c r="C292" s="1" t="n">
        <v>46000</v>
      </c>
      <c r="D292" t="inlineStr">
        <is>
          <t>DALARNAS LÄN</t>
        </is>
      </c>
      <c r="E292" t="inlineStr">
        <is>
          <t>MORA</t>
        </is>
      </c>
      <c r="G292" t="n">
        <v>10.1</v>
      </c>
      <c r="H292" t="n">
        <v>0</v>
      </c>
      <c r="I292" t="n">
        <v>0</v>
      </c>
      <c r="J292" t="n">
        <v>0</v>
      </c>
      <c r="K292" t="n">
        <v>0</v>
      </c>
      <c r="L292" t="n">
        <v>0</v>
      </c>
      <c r="M292" t="n">
        <v>0</v>
      </c>
      <c r="N292" t="n">
        <v>0</v>
      </c>
      <c r="O292" t="n">
        <v>0</v>
      </c>
      <c r="P292" t="n">
        <v>0</v>
      </c>
      <c r="Q292" t="n">
        <v>0</v>
      </c>
      <c r="R292" s="2" t="inlineStr"/>
    </row>
    <row r="293" ht="15" customHeight="1">
      <c r="A293" t="inlineStr">
        <is>
          <t>A 43153-2025</t>
        </is>
      </c>
      <c r="B293" s="1" t="n">
        <v>45910.34449074074</v>
      </c>
      <c r="C293" s="1" t="n">
        <v>46000</v>
      </c>
      <c r="D293" t="inlineStr">
        <is>
          <t>DALARNAS LÄN</t>
        </is>
      </c>
      <c r="E293" t="inlineStr">
        <is>
          <t>MORA</t>
        </is>
      </c>
      <c r="G293" t="n">
        <v>3.9</v>
      </c>
      <c r="H293" t="n">
        <v>0</v>
      </c>
      <c r="I293" t="n">
        <v>0</v>
      </c>
      <c r="J293" t="n">
        <v>0</v>
      </c>
      <c r="K293" t="n">
        <v>0</v>
      </c>
      <c r="L293" t="n">
        <v>0</v>
      </c>
      <c r="M293" t="n">
        <v>0</v>
      </c>
      <c r="N293" t="n">
        <v>0</v>
      </c>
      <c r="O293" t="n">
        <v>0</v>
      </c>
      <c r="P293" t="n">
        <v>0</v>
      </c>
      <c r="Q293" t="n">
        <v>0</v>
      </c>
      <c r="R293" s="2" t="inlineStr"/>
    </row>
    <row r="294" ht="15" customHeight="1">
      <c r="A294" t="inlineStr">
        <is>
          <t>A 43474-2025</t>
        </is>
      </c>
      <c r="B294" s="1" t="n">
        <v>45911.48967592593</v>
      </c>
      <c r="C294" s="1" t="n">
        <v>46000</v>
      </c>
      <c r="D294" t="inlineStr">
        <is>
          <t>DALARNAS LÄN</t>
        </is>
      </c>
      <c r="E294" t="inlineStr">
        <is>
          <t>MORA</t>
        </is>
      </c>
      <c r="G294" t="n">
        <v>1.8</v>
      </c>
      <c r="H294" t="n">
        <v>0</v>
      </c>
      <c r="I294" t="n">
        <v>0</v>
      </c>
      <c r="J294" t="n">
        <v>0</v>
      </c>
      <c r="K294" t="n">
        <v>0</v>
      </c>
      <c r="L294" t="n">
        <v>0</v>
      </c>
      <c r="M294" t="n">
        <v>0</v>
      </c>
      <c r="N294" t="n">
        <v>0</v>
      </c>
      <c r="O294" t="n">
        <v>0</v>
      </c>
      <c r="P294" t="n">
        <v>0</v>
      </c>
      <c r="Q294" t="n">
        <v>0</v>
      </c>
      <c r="R294" s="2" t="inlineStr"/>
    </row>
    <row r="295" ht="15" customHeight="1">
      <c r="A295" t="inlineStr">
        <is>
          <t>A 59995-2023</t>
        </is>
      </c>
      <c r="B295" s="1" t="n">
        <v>45254</v>
      </c>
      <c r="C295" s="1" t="n">
        <v>46000</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60673-2023</t>
        </is>
      </c>
      <c r="B296" s="1" t="n">
        <v>45260.46438657407</v>
      </c>
      <c r="C296" s="1" t="n">
        <v>46000</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43811-2025</t>
        </is>
      </c>
      <c r="B297" s="1" t="n">
        <v>45912.58710648148</v>
      </c>
      <c r="C297" s="1" t="n">
        <v>46000</v>
      </c>
      <c r="D297" t="inlineStr">
        <is>
          <t>DALARNAS LÄN</t>
        </is>
      </c>
      <c r="E297" t="inlineStr">
        <is>
          <t>MORA</t>
        </is>
      </c>
      <c r="G297" t="n">
        <v>1</v>
      </c>
      <c r="H297" t="n">
        <v>0</v>
      </c>
      <c r="I297" t="n">
        <v>0</v>
      </c>
      <c r="J297" t="n">
        <v>0</v>
      </c>
      <c r="K297" t="n">
        <v>0</v>
      </c>
      <c r="L297" t="n">
        <v>0</v>
      </c>
      <c r="M297" t="n">
        <v>0</v>
      </c>
      <c r="N297" t="n">
        <v>0</v>
      </c>
      <c r="O297" t="n">
        <v>0</v>
      </c>
      <c r="P297" t="n">
        <v>0</v>
      </c>
      <c r="Q297" t="n">
        <v>0</v>
      </c>
      <c r="R297" s="2" t="inlineStr"/>
    </row>
    <row r="298" ht="15" customHeight="1">
      <c r="A298" t="inlineStr">
        <is>
          <t>A 29068-2025</t>
        </is>
      </c>
      <c r="B298" s="1" t="n">
        <v>45821.50900462963</v>
      </c>
      <c r="C298" s="1" t="n">
        <v>46000</v>
      </c>
      <c r="D298" t="inlineStr">
        <is>
          <t>DALARNAS LÄN</t>
        </is>
      </c>
      <c r="E298" t="inlineStr">
        <is>
          <t>MORA</t>
        </is>
      </c>
      <c r="G298" t="n">
        <v>1.2</v>
      </c>
      <c r="H298" t="n">
        <v>0</v>
      </c>
      <c r="I298" t="n">
        <v>0</v>
      </c>
      <c r="J298" t="n">
        <v>0</v>
      </c>
      <c r="K298" t="n">
        <v>0</v>
      </c>
      <c r="L298" t="n">
        <v>0</v>
      </c>
      <c r="M298" t="n">
        <v>0</v>
      </c>
      <c r="N298" t="n">
        <v>0</v>
      </c>
      <c r="O298" t="n">
        <v>0</v>
      </c>
      <c r="P298" t="n">
        <v>0</v>
      </c>
      <c r="Q298" t="n">
        <v>0</v>
      </c>
      <c r="R298" s="2" t="inlineStr"/>
    </row>
    <row r="299" ht="15" customHeight="1">
      <c r="A299" t="inlineStr">
        <is>
          <t>A 28976-2025</t>
        </is>
      </c>
      <c r="B299" s="1" t="n">
        <v>45821.34855324074</v>
      </c>
      <c r="C299" s="1" t="n">
        <v>46000</v>
      </c>
      <c r="D299" t="inlineStr">
        <is>
          <t>DALARNAS LÄN</t>
        </is>
      </c>
      <c r="E299" t="inlineStr">
        <is>
          <t>MORA</t>
        </is>
      </c>
      <c r="F299" t="inlineStr">
        <is>
          <t>Bergvik skog öst AB</t>
        </is>
      </c>
      <c r="G299" t="n">
        <v>1.2</v>
      </c>
      <c r="H299" t="n">
        <v>0</v>
      </c>
      <c r="I299" t="n">
        <v>0</v>
      </c>
      <c r="J299" t="n">
        <v>0</v>
      </c>
      <c r="K299" t="n">
        <v>0</v>
      </c>
      <c r="L299" t="n">
        <v>0</v>
      </c>
      <c r="M299" t="n">
        <v>0</v>
      </c>
      <c r="N299" t="n">
        <v>0</v>
      </c>
      <c r="O299" t="n">
        <v>0</v>
      </c>
      <c r="P299" t="n">
        <v>0</v>
      </c>
      <c r="Q299" t="n">
        <v>0</v>
      </c>
      <c r="R299" s="2" t="inlineStr"/>
    </row>
    <row r="300" ht="15" customHeight="1">
      <c r="A300" t="inlineStr">
        <is>
          <t>A 28925-2025</t>
        </is>
      </c>
      <c r="B300" s="1" t="n">
        <v>45820.67107638889</v>
      </c>
      <c r="C300" s="1" t="n">
        <v>46000</v>
      </c>
      <c r="D300" t="inlineStr">
        <is>
          <t>DALARNAS LÄN</t>
        </is>
      </c>
      <c r="E300" t="inlineStr">
        <is>
          <t>MORA</t>
        </is>
      </c>
      <c r="G300" t="n">
        <v>3.7</v>
      </c>
      <c r="H300" t="n">
        <v>0</v>
      </c>
      <c r="I300" t="n">
        <v>0</v>
      </c>
      <c r="J300" t="n">
        <v>0</v>
      </c>
      <c r="K300" t="n">
        <v>0</v>
      </c>
      <c r="L300" t="n">
        <v>0</v>
      </c>
      <c r="M300" t="n">
        <v>0</v>
      </c>
      <c r="N300" t="n">
        <v>0</v>
      </c>
      <c r="O300" t="n">
        <v>0</v>
      </c>
      <c r="P300" t="n">
        <v>0</v>
      </c>
      <c r="Q300" t="n">
        <v>0</v>
      </c>
      <c r="R300" s="2" t="inlineStr"/>
    </row>
    <row r="301" ht="15" customHeight="1">
      <c r="A301" t="inlineStr">
        <is>
          <t>A 28927-2025</t>
        </is>
      </c>
      <c r="B301" s="1" t="n">
        <v>45820.67221064815</v>
      </c>
      <c r="C301" s="1" t="n">
        <v>46000</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28924-2025</t>
        </is>
      </c>
      <c r="B302" s="1" t="n">
        <v>45820.66846064815</v>
      </c>
      <c r="C302" s="1" t="n">
        <v>46000</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28751-2025</t>
        </is>
      </c>
      <c r="B303" s="1" t="n">
        <v>45820.40034722222</v>
      </c>
      <c r="C303" s="1" t="n">
        <v>46000</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44384-2025</t>
        </is>
      </c>
      <c r="B304" s="1" t="n">
        <v>45916.48513888889</v>
      </c>
      <c r="C304" s="1" t="n">
        <v>46000</v>
      </c>
      <c r="D304" t="inlineStr">
        <is>
          <t>DALARNAS LÄN</t>
        </is>
      </c>
      <c r="E304" t="inlineStr">
        <is>
          <t>MORA</t>
        </is>
      </c>
      <c r="F304" t="inlineStr">
        <is>
          <t>Kyrkan</t>
        </is>
      </c>
      <c r="G304" t="n">
        <v>5.1</v>
      </c>
      <c r="H304" t="n">
        <v>0</v>
      </c>
      <c r="I304" t="n">
        <v>0</v>
      </c>
      <c r="J304" t="n">
        <v>0</v>
      </c>
      <c r="K304" t="n">
        <v>0</v>
      </c>
      <c r="L304" t="n">
        <v>0</v>
      </c>
      <c r="M304" t="n">
        <v>0</v>
      </c>
      <c r="N304" t="n">
        <v>0</v>
      </c>
      <c r="O304" t="n">
        <v>0</v>
      </c>
      <c r="P304" t="n">
        <v>0</v>
      </c>
      <c r="Q304" t="n">
        <v>0</v>
      </c>
      <c r="R304" s="2" t="inlineStr"/>
    </row>
    <row r="305" ht="15" customHeight="1">
      <c r="A305" t="inlineStr">
        <is>
          <t>A 53150-2025</t>
        </is>
      </c>
      <c r="B305" s="1" t="n">
        <v>45958.48280092593</v>
      </c>
      <c r="C305" s="1" t="n">
        <v>46000</v>
      </c>
      <c r="D305" t="inlineStr">
        <is>
          <t>DALARNAS LÄN</t>
        </is>
      </c>
      <c r="E305" t="inlineStr">
        <is>
          <t>MORA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53151-2025</t>
        </is>
      </c>
      <c r="B306" s="1" t="n">
        <v>45958.48611111111</v>
      </c>
      <c r="C306" s="1" t="n">
        <v>46000</v>
      </c>
      <c r="D306" t="inlineStr">
        <is>
          <t>DALARNAS LÄN</t>
        </is>
      </c>
      <c r="E306" t="inlineStr">
        <is>
          <t>MORA</t>
        </is>
      </c>
      <c r="F306" t="inlineStr">
        <is>
          <t>Bergvik skog öst AB</t>
        </is>
      </c>
      <c r="G306" t="n">
        <v>0.8</v>
      </c>
      <c r="H306" t="n">
        <v>0</v>
      </c>
      <c r="I306" t="n">
        <v>0</v>
      </c>
      <c r="J306" t="n">
        <v>0</v>
      </c>
      <c r="K306" t="n">
        <v>0</v>
      </c>
      <c r="L306" t="n">
        <v>0</v>
      </c>
      <c r="M306" t="n">
        <v>0</v>
      </c>
      <c r="N306" t="n">
        <v>0</v>
      </c>
      <c r="O306" t="n">
        <v>0</v>
      </c>
      <c r="P306" t="n">
        <v>0</v>
      </c>
      <c r="Q306" t="n">
        <v>0</v>
      </c>
      <c r="R306" s="2" t="inlineStr"/>
    </row>
    <row r="307" ht="15" customHeight="1">
      <c r="A307" t="inlineStr">
        <is>
          <t>A 24465-2021</t>
        </is>
      </c>
      <c r="B307" s="1" t="n">
        <v>44337</v>
      </c>
      <c r="C307" s="1" t="n">
        <v>46000</v>
      </c>
      <c r="D307" t="inlineStr">
        <is>
          <t>DALARNAS LÄN</t>
        </is>
      </c>
      <c r="E307" t="inlineStr">
        <is>
          <t>MORA</t>
        </is>
      </c>
      <c r="G307" t="n">
        <v>2.6</v>
      </c>
      <c r="H307" t="n">
        <v>0</v>
      </c>
      <c r="I307" t="n">
        <v>0</v>
      </c>
      <c r="J307" t="n">
        <v>0</v>
      </c>
      <c r="K307" t="n">
        <v>0</v>
      </c>
      <c r="L307" t="n">
        <v>0</v>
      </c>
      <c r="M307" t="n">
        <v>0</v>
      </c>
      <c r="N307" t="n">
        <v>0</v>
      </c>
      <c r="O307" t="n">
        <v>0</v>
      </c>
      <c r="P307" t="n">
        <v>0</v>
      </c>
      <c r="Q307" t="n">
        <v>0</v>
      </c>
      <c r="R307" s="2" t="inlineStr"/>
    </row>
    <row r="308" ht="15" customHeight="1">
      <c r="A308" t="inlineStr">
        <is>
          <t>A 61270-2024</t>
        </is>
      </c>
      <c r="B308" s="1" t="n">
        <v>45645.74694444444</v>
      </c>
      <c r="C308" s="1" t="n">
        <v>46000</v>
      </c>
      <c r="D308" t="inlineStr">
        <is>
          <t>DALARNAS LÄN</t>
        </is>
      </c>
      <c r="E308" t="inlineStr">
        <is>
          <t>MORA</t>
        </is>
      </c>
      <c r="G308" t="n">
        <v>5.1</v>
      </c>
      <c r="H308" t="n">
        <v>0</v>
      </c>
      <c r="I308" t="n">
        <v>0</v>
      </c>
      <c r="J308" t="n">
        <v>0</v>
      </c>
      <c r="K308" t="n">
        <v>0</v>
      </c>
      <c r="L308" t="n">
        <v>0</v>
      </c>
      <c r="M308" t="n">
        <v>0</v>
      </c>
      <c r="N308" t="n">
        <v>0</v>
      </c>
      <c r="O308" t="n">
        <v>0</v>
      </c>
      <c r="P308" t="n">
        <v>0</v>
      </c>
      <c r="Q308" t="n">
        <v>0</v>
      </c>
      <c r="R308" s="2" t="inlineStr"/>
    </row>
    <row r="309" ht="15" customHeight="1">
      <c r="A309" t="inlineStr">
        <is>
          <t>A 29528-2025</t>
        </is>
      </c>
      <c r="B309" s="1" t="n">
        <v>45825.34322916667</v>
      </c>
      <c r="C309" s="1" t="n">
        <v>46000</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29440-2025</t>
        </is>
      </c>
      <c r="B310" s="1" t="n">
        <v>45824.65862268519</v>
      </c>
      <c r="C310" s="1" t="n">
        <v>46000</v>
      </c>
      <c r="D310" t="inlineStr">
        <is>
          <t>DALARNAS LÄN</t>
        </is>
      </c>
      <c r="E310" t="inlineStr">
        <is>
          <t>MORA</t>
        </is>
      </c>
      <c r="G310" t="n">
        <v>1.7</v>
      </c>
      <c r="H310" t="n">
        <v>0</v>
      </c>
      <c r="I310" t="n">
        <v>0</v>
      </c>
      <c r="J310" t="n">
        <v>0</v>
      </c>
      <c r="K310" t="n">
        <v>0</v>
      </c>
      <c r="L310" t="n">
        <v>0</v>
      </c>
      <c r="M310" t="n">
        <v>0</v>
      </c>
      <c r="N310" t="n">
        <v>0</v>
      </c>
      <c r="O310" t="n">
        <v>0</v>
      </c>
      <c r="P310" t="n">
        <v>0</v>
      </c>
      <c r="Q310" t="n">
        <v>0</v>
      </c>
      <c r="R310" s="2" t="inlineStr"/>
    </row>
    <row r="311" ht="15" customHeight="1">
      <c r="A311" t="inlineStr">
        <is>
          <t>A 20930-2024</t>
        </is>
      </c>
      <c r="B311" s="1" t="n">
        <v>45439.51907407407</v>
      </c>
      <c r="C311" s="1" t="n">
        <v>46000</v>
      </c>
      <c r="D311" t="inlineStr">
        <is>
          <t>DALARNAS LÄN</t>
        </is>
      </c>
      <c r="E311" t="inlineStr">
        <is>
          <t>MORA</t>
        </is>
      </c>
      <c r="F311" t="inlineStr">
        <is>
          <t>Bergvik skog väst AB</t>
        </is>
      </c>
      <c r="G311" t="n">
        <v>5.3</v>
      </c>
      <c r="H311" t="n">
        <v>0</v>
      </c>
      <c r="I311" t="n">
        <v>0</v>
      </c>
      <c r="J311" t="n">
        <v>0</v>
      </c>
      <c r="K311" t="n">
        <v>0</v>
      </c>
      <c r="L311" t="n">
        <v>0</v>
      </c>
      <c r="M311" t="n">
        <v>0</v>
      </c>
      <c r="N311" t="n">
        <v>0</v>
      </c>
      <c r="O311" t="n">
        <v>0</v>
      </c>
      <c r="P311" t="n">
        <v>0</v>
      </c>
      <c r="Q311" t="n">
        <v>0</v>
      </c>
      <c r="R311" s="2" t="inlineStr"/>
    </row>
    <row r="312" ht="15" customHeight="1">
      <c r="A312" t="inlineStr">
        <is>
          <t>A 42611-2022</t>
        </is>
      </c>
      <c r="B312" s="1" t="n">
        <v>44831.81482638889</v>
      </c>
      <c r="C312" s="1" t="n">
        <v>46000</v>
      </c>
      <c r="D312" t="inlineStr">
        <is>
          <t>DALARNAS LÄN</t>
        </is>
      </c>
      <c r="E312" t="inlineStr">
        <is>
          <t>MORA</t>
        </is>
      </c>
      <c r="G312" t="n">
        <v>2.1</v>
      </c>
      <c r="H312" t="n">
        <v>0</v>
      </c>
      <c r="I312" t="n">
        <v>0</v>
      </c>
      <c r="J312" t="n">
        <v>0</v>
      </c>
      <c r="K312" t="n">
        <v>0</v>
      </c>
      <c r="L312" t="n">
        <v>0</v>
      </c>
      <c r="M312" t="n">
        <v>0</v>
      </c>
      <c r="N312" t="n">
        <v>0</v>
      </c>
      <c r="O312" t="n">
        <v>0</v>
      </c>
      <c r="P312" t="n">
        <v>0</v>
      </c>
      <c r="Q312" t="n">
        <v>0</v>
      </c>
      <c r="R312" s="2" t="inlineStr"/>
    </row>
    <row r="313" ht="15" customHeight="1">
      <c r="A313" t="inlineStr">
        <is>
          <t>A 29425-2025</t>
        </is>
      </c>
      <c r="B313" s="1" t="n">
        <v>45824.64524305556</v>
      </c>
      <c r="C313" s="1" t="n">
        <v>46000</v>
      </c>
      <c r="D313" t="inlineStr">
        <is>
          <t>DALARNAS LÄN</t>
        </is>
      </c>
      <c r="E313" t="inlineStr">
        <is>
          <t>MORA</t>
        </is>
      </c>
      <c r="G313" t="n">
        <v>4.4</v>
      </c>
      <c r="H313" t="n">
        <v>0</v>
      </c>
      <c r="I313" t="n">
        <v>0</v>
      </c>
      <c r="J313" t="n">
        <v>0</v>
      </c>
      <c r="K313" t="n">
        <v>0</v>
      </c>
      <c r="L313" t="n">
        <v>0</v>
      </c>
      <c r="M313" t="n">
        <v>0</v>
      </c>
      <c r="N313" t="n">
        <v>0</v>
      </c>
      <c r="O313" t="n">
        <v>0</v>
      </c>
      <c r="P313" t="n">
        <v>0</v>
      </c>
      <c r="Q313" t="n">
        <v>0</v>
      </c>
      <c r="R313" s="2" t="inlineStr"/>
    </row>
    <row r="314" ht="15" customHeight="1">
      <c r="A314" t="inlineStr">
        <is>
          <t>A 44621-2025</t>
        </is>
      </c>
      <c r="B314" s="1" t="n">
        <v>45917.466875</v>
      </c>
      <c r="C314" s="1" t="n">
        <v>46000</v>
      </c>
      <c r="D314" t="inlineStr">
        <is>
          <t>DALARNAS LÄN</t>
        </is>
      </c>
      <c r="E314" t="inlineStr">
        <is>
          <t>MORA</t>
        </is>
      </c>
      <c r="G314" t="n">
        <v>0.8</v>
      </c>
      <c r="H314" t="n">
        <v>0</v>
      </c>
      <c r="I314" t="n">
        <v>0</v>
      </c>
      <c r="J314" t="n">
        <v>0</v>
      </c>
      <c r="K314" t="n">
        <v>0</v>
      </c>
      <c r="L314" t="n">
        <v>0</v>
      </c>
      <c r="M314" t="n">
        <v>0</v>
      </c>
      <c r="N314" t="n">
        <v>0</v>
      </c>
      <c r="O314" t="n">
        <v>0</v>
      </c>
      <c r="P314" t="n">
        <v>0</v>
      </c>
      <c r="Q314" t="n">
        <v>0</v>
      </c>
      <c r="R314" s="2" t="inlineStr"/>
    </row>
    <row r="315" ht="15" customHeight="1">
      <c r="A315" t="inlineStr">
        <is>
          <t>A 45181-2025</t>
        </is>
      </c>
      <c r="B315" s="1" t="n">
        <v>45919.53329861111</v>
      </c>
      <c r="C315" s="1" t="n">
        <v>46000</v>
      </c>
      <c r="D315" t="inlineStr">
        <is>
          <t>DALARNAS LÄN</t>
        </is>
      </c>
      <c r="E315" t="inlineStr">
        <is>
          <t>MORA</t>
        </is>
      </c>
      <c r="G315" t="n">
        <v>4.5</v>
      </c>
      <c r="H315" t="n">
        <v>0</v>
      </c>
      <c r="I315" t="n">
        <v>0</v>
      </c>
      <c r="J315" t="n">
        <v>0</v>
      </c>
      <c r="K315" t="n">
        <v>0</v>
      </c>
      <c r="L315" t="n">
        <v>0</v>
      </c>
      <c r="M315" t="n">
        <v>0</v>
      </c>
      <c r="N315" t="n">
        <v>0</v>
      </c>
      <c r="O315" t="n">
        <v>0</v>
      </c>
      <c r="P315" t="n">
        <v>0</v>
      </c>
      <c r="Q315" t="n">
        <v>0</v>
      </c>
      <c r="R315" s="2" t="inlineStr"/>
    </row>
    <row r="316" ht="15" customHeight="1">
      <c r="A316" t="inlineStr">
        <is>
          <t>A 53560-2025</t>
        </is>
      </c>
      <c r="B316" s="1" t="n">
        <v>45960.39960648148</v>
      </c>
      <c r="C316" s="1" t="n">
        <v>46000</v>
      </c>
      <c r="D316" t="inlineStr">
        <is>
          <t>DALARNAS LÄN</t>
        </is>
      </c>
      <c r="E316" t="inlineStr">
        <is>
          <t>MORA</t>
        </is>
      </c>
      <c r="G316" t="n">
        <v>5.2</v>
      </c>
      <c r="H316" t="n">
        <v>0</v>
      </c>
      <c r="I316" t="n">
        <v>0</v>
      </c>
      <c r="J316" t="n">
        <v>0</v>
      </c>
      <c r="K316" t="n">
        <v>0</v>
      </c>
      <c r="L316" t="n">
        <v>0</v>
      </c>
      <c r="M316" t="n">
        <v>0</v>
      </c>
      <c r="N316" t="n">
        <v>0</v>
      </c>
      <c r="O316" t="n">
        <v>0</v>
      </c>
      <c r="P316" t="n">
        <v>0</v>
      </c>
      <c r="Q316" t="n">
        <v>0</v>
      </c>
      <c r="R316" s="2" t="inlineStr"/>
    </row>
    <row r="317" ht="15" customHeight="1">
      <c r="A317" t="inlineStr">
        <is>
          <t>A 53591-2025</t>
        </is>
      </c>
      <c r="B317" s="1" t="n">
        <v>45960.43893518519</v>
      </c>
      <c r="C317" s="1" t="n">
        <v>46000</v>
      </c>
      <c r="D317" t="inlineStr">
        <is>
          <t>DALARNAS LÄN</t>
        </is>
      </c>
      <c r="E317" t="inlineStr">
        <is>
          <t>MORA</t>
        </is>
      </c>
      <c r="G317" t="n">
        <v>3.8</v>
      </c>
      <c r="H317" t="n">
        <v>0</v>
      </c>
      <c r="I317" t="n">
        <v>0</v>
      </c>
      <c r="J317" t="n">
        <v>0</v>
      </c>
      <c r="K317" t="n">
        <v>0</v>
      </c>
      <c r="L317" t="n">
        <v>0</v>
      </c>
      <c r="M317" t="n">
        <v>0</v>
      </c>
      <c r="N317" t="n">
        <v>0</v>
      </c>
      <c r="O317" t="n">
        <v>0</v>
      </c>
      <c r="P317" t="n">
        <v>0</v>
      </c>
      <c r="Q317" t="n">
        <v>0</v>
      </c>
      <c r="R317" s="2" t="inlineStr"/>
    </row>
    <row r="318" ht="15" customHeight="1">
      <c r="A318" t="inlineStr">
        <is>
          <t>A 17865-2025</t>
        </is>
      </c>
      <c r="B318" s="1" t="n">
        <v>45758.62951388889</v>
      </c>
      <c r="C318" s="1" t="n">
        <v>46000</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30087-2025</t>
        </is>
      </c>
      <c r="B319" s="1" t="n">
        <v>45826.6575</v>
      </c>
      <c r="C319" s="1" t="n">
        <v>46000</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33676-2023</t>
        </is>
      </c>
      <c r="B320" s="1" t="n">
        <v>45132.6291550926</v>
      </c>
      <c r="C320" s="1" t="n">
        <v>46000</v>
      </c>
      <c r="D320" t="inlineStr">
        <is>
          <t>DALARNAS LÄN</t>
        </is>
      </c>
      <c r="E320" t="inlineStr">
        <is>
          <t>MORA</t>
        </is>
      </c>
      <c r="F320" t="inlineStr">
        <is>
          <t>Bergvik skog öst AB</t>
        </is>
      </c>
      <c r="G320" t="n">
        <v>2.7</v>
      </c>
      <c r="H320" t="n">
        <v>0</v>
      </c>
      <c r="I320" t="n">
        <v>0</v>
      </c>
      <c r="J320" t="n">
        <v>0</v>
      </c>
      <c r="K320" t="n">
        <v>0</v>
      </c>
      <c r="L320" t="n">
        <v>0</v>
      </c>
      <c r="M320" t="n">
        <v>0</v>
      </c>
      <c r="N320" t="n">
        <v>0</v>
      </c>
      <c r="O320" t="n">
        <v>0</v>
      </c>
      <c r="P320" t="n">
        <v>0</v>
      </c>
      <c r="Q320" t="n">
        <v>0</v>
      </c>
      <c r="R320" s="2" t="inlineStr"/>
    </row>
    <row r="321" ht="15" customHeight="1">
      <c r="A321" t="inlineStr">
        <is>
          <t>A 61188-2024</t>
        </is>
      </c>
      <c r="B321" s="1" t="n">
        <v>45645.62282407407</v>
      </c>
      <c r="C321" s="1" t="n">
        <v>46000</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46000</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37710-2023</t>
        </is>
      </c>
      <c r="B323" s="1" t="n">
        <v>45159.59186342593</v>
      </c>
      <c r="C323" s="1" t="n">
        <v>46000</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29870-2025</t>
        </is>
      </c>
      <c r="B324" s="1" t="n">
        <v>45826.35716435185</v>
      </c>
      <c r="C324" s="1" t="n">
        <v>46000</v>
      </c>
      <c r="D324" t="inlineStr">
        <is>
          <t>DALARNAS LÄN</t>
        </is>
      </c>
      <c r="E324" t="inlineStr">
        <is>
          <t>MORA</t>
        </is>
      </c>
      <c r="G324" t="n">
        <v>1.2</v>
      </c>
      <c r="H324" t="n">
        <v>0</v>
      </c>
      <c r="I324" t="n">
        <v>0</v>
      </c>
      <c r="J324" t="n">
        <v>0</v>
      </c>
      <c r="K324" t="n">
        <v>0</v>
      </c>
      <c r="L324" t="n">
        <v>0</v>
      </c>
      <c r="M324" t="n">
        <v>0</v>
      </c>
      <c r="N324" t="n">
        <v>0</v>
      </c>
      <c r="O324" t="n">
        <v>0</v>
      </c>
      <c r="P324" t="n">
        <v>0</v>
      </c>
      <c r="Q324" t="n">
        <v>0</v>
      </c>
      <c r="R324" s="2" t="inlineStr"/>
    </row>
    <row r="325" ht="15" customHeight="1">
      <c r="A325" t="inlineStr">
        <is>
          <t>A 29873-2025</t>
        </is>
      </c>
      <c r="B325" s="1" t="n">
        <v>45826</v>
      </c>
      <c r="C325" s="1" t="n">
        <v>46000</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45355-2024</t>
        </is>
      </c>
      <c r="B326" s="1" t="n">
        <v>45576</v>
      </c>
      <c r="C326" s="1" t="n">
        <v>46000</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53982-2025</t>
        </is>
      </c>
      <c r="B327" s="1" t="n">
        <v>45961.57019675926</v>
      </c>
      <c r="C327" s="1" t="n">
        <v>46000</v>
      </c>
      <c r="D327" t="inlineStr">
        <is>
          <t>DALARNAS LÄN</t>
        </is>
      </c>
      <c r="E327" t="inlineStr">
        <is>
          <t>MORA</t>
        </is>
      </c>
      <c r="G327" t="n">
        <v>0.8</v>
      </c>
      <c r="H327" t="n">
        <v>0</v>
      </c>
      <c r="I327" t="n">
        <v>0</v>
      </c>
      <c r="J327" t="n">
        <v>0</v>
      </c>
      <c r="K327" t="n">
        <v>0</v>
      </c>
      <c r="L327" t="n">
        <v>0</v>
      </c>
      <c r="M327" t="n">
        <v>0</v>
      </c>
      <c r="N327" t="n">
        <v>0</v>
      </c>
      <c r="O327" t="n">
        <v>0</v>
      </c>
      <c r="P327" t="n">
        <v>0</v>
      </c>
      <c r="Q327" t="n">
        <v>0</v>
      </c>
      <c r="R327" s="2" t="inlineStr"/>
    </row>
    <row r="328" ht="15" customHeight="1">
      <c r="A328" t="inlineStr">
        <is>
          <t>A 53556-2025</t>
        </is>
      </c>
      <c r="B328" s="1" t="n">
        <v>45960.3921875</v>
      </c>
      <c r="C328" s="1" t="n">
        <v>46000</v>
      </c>
      <c r="D328" t="inlineStr">
        <is>
          <t>DALARNAS LÄN</t>
        </is>
      </c>
      <c r="E328" t="inlineStr">
        <is>
          <t>MORA</t>
        </is>
      </c>
      <c r="G328" t="n">
        <v>3.3</v>
      </c>
      <c r="H328" t="n">
        <v>0</v>
      </c>
      <c r="I328" t="n">
        <v>0</v>
      </c>
      <c r="J328" t="n">
        <v>0</v>
      </c>
      <c r="K328" t="n">
        <v>0</v>
      </c>
      <c r="L328" t="n">
        <v>0</v>
      </c>
      <c r="M328" t="n">
        <v>0</v>
      </c>
      <c r="N328" t="n">
        <v>0</v>
      </c>
      <c r="O328" t="n">
        <v>0</v>
      </c>
      <c r="P328" t="n">
        <v>0</v>
      </c>
      <c r="Q328" t="n">
        <v>0</v>
      </c>
      <c r="R328" s="2" t="inlineStr"/>
    </row>
    <row r="329" ht="15" customHeight="1">
      <c r="A329" t="inlineStr">
        <is>
          <t>A 37695-2024</t>
        </is>
      </c>
      <c r="B329" s="1" t="n">
        <v>45541.61094907407</v>
      </c>
      <c r="C329" s="1" t="n">
        <v>46000</v>
      </c>
      <c r="D329" t="inlineStr">
        <is>
          <t>DALARNAS LÄN</t>
        </is>
      </c>
      <c r="E329" t="inlineStr">
        <is>
          <t>MORA</t>
        </is>
      </c>
      <c r="G329" t="n">
        <v>19.7</v>
      </c>
      <c r="H329" t="n">
        <v>0</v>
      </c>
      <c r="I329" t="n">
        <v>0</v>
      </c>
      <c r="J329" t="n">
        <v>0</v>
      </c>
      <c r="K329" t="n">
        <v>0</v>
      </c>
      <c r="L329" t="n">
        <v>0</v>
      </c>
      <c r="M329" t="n">
        <v>0</v>
      </c>
      <c r="N329" t="n">
        <v>0</v>
      </c>
      <c r="O329" t="n">
        <v>0</v>
      </c>
      <c r="P329" t="n">
        <v>0</v>
      </c>
      <c r="Q329" t="n">
        <v>0</v>
      </c>
      <c r="R329" s="2" t="inlineStr"/>
    </row>
    <row r="330" ht="15" customHeight="1">
      <c r="A330" t="inlineStr">
        <is>
          <t>A 53562-2025</t>
        </is>
      </c>
      <c r="B330" s="1" t="n">
        <v>45960.40662037037</v>
      </c>
      <c r="C330" s="1" t="n">
        <v>46000</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28934-2023</t>
        </is>
      </c>
      <c r="B331" s="1" t="n">
        <v>45104</v>
      </c>
      <c r="C331" s="1" t="n">
        <v>46000</v>
      </c>
      <c r="D331" t="inlineStr">
        <is>
          <t>DALARNAS LÄN</t>
        </is>
      </c>
      <c r="E331" t="inlineStr">
        <is>
          <t>MORA</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53632-2025</t>
        </is>
      </c>
      <c r="B332" s="1" t="n">
        <v>45960.49972222222</v>
      </c>
      <c r="C332" s="1" t="n">
        <v>46000</v>
      </c>
      <c r="D332" t="inlineStr">
        <is>
          <t>DALARNAS LÄN</t>
        </is>
      </c>
      <c r="E332" t="inlineStr">
        <is>
          <t>MORA</t>
        </is>
      </c>
      <c r="G332" t="n">
        <v>3.1</v>
      </c>
      <c r="H332" t="n">
        <v>0</v>
      </c>
      <c r="I332" t="n">
        <v>0</v>
      </c>
      <c r="J332" t="n">
        <v>0</v>
      </c>
      <c r="K332" t="n">
        <v>0</v>
      </c>
      <c r="L332" t="n">
        <v>0</v>
      </c>
      <c r="M332" t="n">
        <v>0</v>
      </c>
      <c r="N332" t="n">
        <v>0</v>
      </c>
      <c r="O332" t="n">
        <v>0</v>
      </c>
      <c r="P332" t="n">
        <v>0</v>
      </c>
      <c r="Q332" t="n">
        <v>0</v>
      </c>
      <c r="R332" s="2" t="inlineStr"/>
    </row>
    <row r="333" ht="15" customHeight="1">
      <c r="A333" t="inlineStr">
        <is>
          <t>A 30507-2025</t>
        </is>
      </c>
      <c r="B333" s="1" t="n">
        <v>45831.24760416667</v>
      </c>
      <c r="C333" s="1" t="n">
        <v>46000</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30509-2025</t>
        </is>
      </c>
      <c r="B334" s="1" t="n">
        <v>45831.25519675926</v>
      </c>
      <c r="C334" s="1" t="n">
        <v>46000</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45191-2025</t>
        </is>
      </c>
      <c r="B335" s="1" t="n">
        <v>45919.54811342592</v>
      </c>
      <c r="C335" s="1" t="n">
        <v>46000</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30989-2025</t>
        </is>
      </c>
      <c r="B336" s="1" t="n">
        <v>45832.48185185185</v>
      </c>
      <c r="C336" s="1" t="n">
        <v>46000</v>
      </c>
      <c r="D336" t="inlineStr">
        <is>
          <t>DALARNAS LÄN</t>
        </is>
      </c>
      <c r="E336" t="inlineStr">
        <is>
          <t>MORA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53565-2025</t>
        </is>
      </c>
      <c r="B337" s="1" t="n">
        <v>45960.40711805555</v>
      </c>
      <c r="C337" s="1" t="n">
        <v>46000</v>
      </c>
      <c r="D337" t="inlineStr">
        <is>
          <t>DALARNAS LÄN</t>
        </is>
      </c>
      <c r="E337" t="inlineStr">
        <is>
          <t>MORA</t>
        </is>
      </c>
      <c r="G337" t="n">
        <v>5.1</v>
      </c>
      <c r="H337" t="n">
        <v>0</v>
      </c>
      <c r="I337" t="n">
        <v>0</v>
      </c>
      <c r="J337" t="n">
        <v>0</v>
      </c>
      <c r="K337" t="n">
        <v>0</v>
      </c>
      <c r="L337" t="n">
        <v>0</v>
      </c>
      <c r="M337" t="n">
        <v>0</v>
      </c>
      <c r="N337" t="n">
        <v>0</v>
      </c>
      <c r="O337" t="n">
        <v>0</v>
      </c>
      <c r="P337" t="n">
        <v>0</v>
      </c>
      <c r="Q337" t="n">
        <v>0</v>
      </c>
      <c r="R337" s="2" t="inlineStr"/>
    </row>
    <row r="338" ht="15" customHeight="1">
      <c r="A338" t="inlineStr">
        <is>
          <t>A 15416-2023</t>
        </is>
      </c>
      <c r="B338" s="1" t="n">
        <v>45019.71342592593</v>
      </c>
      <c r="C338" s="1" t="n">
        <v>46000</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5769-2025</t>
        </is>
      </c>
      <c r="B339" s="1" t="n">
        <v>45694.59288194445</v>
      </c>
      <c r="C339" s="1" t="n">
        <v>46000</v>
      </c>
      <c r="D339" t="inlineStr">
        <is>
          <t>DALARNAS LÄN</t>
        </is>
      </c>
      <c r="E339" t="inlineStr">
        <is>
          <t>MORA</t>
        </is>
      </c>
      <c r="G339" t="n">
        <v>15.7</v>
      </c>
      <c r="H339" t="n">
        <v>0</v>
      </c>
      <c r="I339" t="n">
        <v>0</v>
      </c>
      <c r="J339" t="n">
        <v>0</v>
      </c>
      <c r="K339" t="n">
        <v>0</v>
      </c>
      <c r="L339" t="n">
        <v>0</v>
      </c>
      <c r="M339" t="n">
        <v>0</v>
      </c>
      <c r="N339" t="n">
        <v>0</v>
      </c>
      <c r="O339" t="n">
        <v>0</v>
      </c>
      <c r="P339" t="n">
        <v>0</v>
      </c>
      <c r="Q339" t="n">
        <v>0</v>
      </c>
      <c r="R339" s="2" t="inlineStr"/>
    </row>
    <row r="340" ht="15" customHeight="1">
      <c r="A340" t="inlineStr">
        <is>
          <t>A 54099-2025</t>
        </is>
      </c>
      <c r="B340" s="1" t="n">
        <v>45964.41665509259</v>
      </c>
      <c r="C340" s="1" t="n">
        <v>46000</v>
      </c>
      <c r="D340" t="inlineStr">
        <is>
          <t>DALARNAS LÄN</t>
        </is>
      </c>
      <c r="E340" t="inlineStr">
        <is>
          <t>MORA</t>
        </is>
      </c>
      <c r="G340" t="n">
        <v>5.3</v>
      </c>
      <c r="H340" t="n">
        <v>0</v>
      </c>
      <c r="I340" t="n">
        <v>0</v>
      </c>
      <c r="J340" t="n">
        <v>0</v>
      </c>
      <c r="K340" t="n">
        <v>0</v>
      </c>
      <c r="L340" t="n">
        <v>0</v>
      </c>
      <c r="M340" t="n">
        <v>0</v>
      </c>
      <c r="N340" t="n">
        <v>0</v>
      </c>
      <c r="O340" t="n">
        <v>0</v>
      </c>
      <c r="P340" t="n">
        <v>0</v>
      </c>
      <c r="Q340" t="n">
        <v>0</v>
      </c>
      <c r="R340" s="2" t="inlineStr"/>
    </row>
    <row r="341" ht="15" customHeight="1">
      <c r="A341" t="inlineStr">
        <is>
          <t>A 30858-2025</t>
        </is>
      </c>
      <c r="B341" s="1" t="n">
        <v>45831.92416666666</v>
      </c>
      <c r="C341" s="1" t="n">
        <v>46000</v>
      </c>
      <c r="D341" t="inlineStr">
        <is>
          <t>DALARNAS LÄN</t>
        </is>
      </c>
      <c r="E341" t="inlineStr">
        <is>
          <t>MORA</t>
        </is>
      </c>
      <c r="G341" t="n">
        <v>2.9</v>
      </c>
      <c r="H341" t="n">
        <v>0</v>
      </c>
      <c r="I341" t="n">
        <v>0</v>
      </c>
      <c r="J341" t="n">
        <v>0</v>
      </c>
      <c r="K341" t="n">
        <v>0</v>
      </c>
      <c r="L341" t="n">
        <v>0</v>
      </c>
      <c r="M341" t="n">
        <v>0</v>
      </c>
      <c r="N341" t="n">
        <v>0</v>
      </c>
      <c r="O341" t="n">
        <v>0</v>
      </c>
      <c r="P341" t="n">
        <v>0</v>
      </c>
      <c r="Q341" t="n">
        <v>0</v>
      </c>
      <c r="R341" s="2" t="inlineStr"/>
    </row>
    <row r="342" ht="15" customHeight="1">
      <c r="A342" t="inlineStr">
        <is>
          <t>A 30859-2025</t>
        </is>
      </c>
      <c r="B342" s="1" t="n">
        <v>45831.93105324074</v>
      </c>
      <c r="C342" s="1" t="n">
        <v>46000</v>
      </c>
      <c r="D342" t="inlineStr">
        <is>
          <t>DALARNAS LÄN</t>
        </is>
      </c>
      <c r="E342" t="inlineStr">
        <is>
          <t>MORA</t>
        </is>
      </c>
      <c r="G342" t="n">
        <v>0.7</v>
      </c>
      <c r="H342" t="n">
        <v>0</v>
      </c>
      <c r="I342" t="n">
        <v>0</v>
      </c>
      <c r="J342" t="n">
        <v>0</v>
      </c>
      <c r="K342" t="n">
        <v>0</v>
      </c>
      <c r="L342" t="n">
        <v>0</v>
      </c>
      <c r="M342" t="n">
        <v>0</v>
      </c>
      <c r="N342" t="n">
        <v>0</v>
      </c>
      <c r="O342" t="n">
        <v>0</v>
      </c>
      <c r="P342" t="n">
        <v>0</v>
      </c>
      <c r="Q342" t="n">
        <v>0</v>
      </c>
      <c r="R342" s="2" t="inlineStr"/>
    </row>
    <row r="343" ht="15" customHeight="1">
      <c r="A343" t="inlineStr">
        <is>
          <t>A 54253-2023</t>
        </is>
      </c>
      <c r="B343" s="1" t="n">
        <v>45232.63217592592</v>
      </c>
      <c r="C343" s="1" t="n">
        <v>46000</v>
      </c>
      <c r="D343" t="inlineStr">
        <is>
          <t>DALARNAS LÄN</t>
        </is>
      </c>
      <c r="E343" t="inlineStr">
        <is>
          <t>MORA</t>
        </is>
      </c>
      <c r="G343" t="n">
        <v>4.5</v>
      </c>
      <c r="H343" t="n">
        <v>0</v>
      </c>
      <c r="I343" t="n">
        <v>0</v>
      </c>
      <c r="J343" t="n">
        <v>0</v>
      </c>
      <c r="K343" t="n">
        <v>0</v>
      </c>
      <c r="L343" t="n">
        <v>0</v>
      </c>
      <c r="M343" t="n">
        <v>0</v>
      </c>
      <c r="N343" t="n">
        <v>0</v>
      </c>
      <c r="O343" t="n">
        <v>0</v>
      </c>
      <c r="P343" t="n">
        <v>0</v>
      </c>
      <c r="Q343" t="n">
        <v>0</v>
      </c>
      <c r="R343" s="2" t="inlineStr"/>
    </row>
    <row r="344" ht="15" customHeight="1">
      <c r="A344" t="inlineStr">
        <is>
          <t>A 54508-2025</t>
        </is>
      </c>
      <c r="B344" s="1" t="n">
        <v>45965.61844907407</v>
      </c>
      <c r="C344" s="1" t="n">
        <v>46000</v>
      </c>
      <c r="D344" t="inlineStr">
        <is>
          <t>DALARNAS LÄN</t>
        </is>
      </c>
      <c r="E344" t="inlineStr">
        <is>
          <t>MORA</t>
        </is>
      </c>
      <c r="G344" t="n">
        <v>0.9</v>
      </c>
      <c r="H344" t="n">
        <v>0</v>
      </c>
      <c r="I344" t="n">
        <v>0</v>
      </c>
      <c r="J344" t="n">
        <v>0</v>
      </c>
      <c r="K344" t="n">
        <v>0</v>
      </c>
      <c r="L344" t="n">
        <v>0</v>
      </c>
      <c r="M344" t="n">
        <v>0</v>
      </c>
      <c r="N344" t="n">
        <v>0</v>
      </c>
      <c r="O344" t="n">
        <v>0</v>
      </c>
      <c r="P344" t="n">
        <v>0</v>
      </c>
      <c r="Q344" t="n">
        <v>0</v>
      </c>
      <c r="R344" s="2" t="inlineStr"/>
    </row>
    <row r="345" ht="15" customHeight="1">
      <c r="A345" t="inlineStr">
        <is>
          <t>A 57608-2021</t>
        </is>
      </c>
      <c r="B345" s="1" t="n">
        <v>44484</v>
      </c>
      <c r="C345" s="1" t="n">
        <v>46000</v>
      </c>
      <c r="D345" t="inlineStr">
        <is>
          <t>DALARNAS LÄN</t>
        </is>
      </c>
      <c r="E345" t="inlineStr">
        <is>
          <t>MORA</t>
        </is>
      </c>
      <c r="G345" t="n">
        <v>6.3</v>
      </c>
      <c r="H345" t="n">
        <v>0</v>
      </c>
      <c r="I345" t="n">
        <v>0</v>
      </c>
      <c r="J345" t="n">
        <v>0</v>
      </c>
      <c r="K345" t="n">
        <v>0</v>
      </c>
      <c r="L345" t="n">
        <v>0</v>
      </c>
      <c r="M345" t="n">
        <v>0</v>
      </c>
      <c r="N345" t="n">
        <v>0</v>
      </c>
      <c r="O345" t="n">
        <v>0</v>
      </c>
      <c r="P345" t="n">
        <v>0</v>
      </c>
      <c r="Q345" t="n">
        <v>0</v>
      </c>
      <c r="R345" s="2" t="inlineStr"/>
    </row>
    <row r="346" ht="15" customHeight="1">
      <c r="A346" t="inlineStr">
        <is>
          <t>A 54504-2025</t>
        </is>
      </c>
      <c r="B346" s="1" t="n">
        <v>45965.61686342592</v>
      </c>
      <c r="C346" s="1" t="n">
        <v>46000</v>
      </c>
      <c r="D346" t="inlineStr">
        <is>
          <t>DALARNAS LÄN</t>
        </is>
      </c>
      <c r="E346" t="inlineStr">
        <is>
          <t>MORA</t>
        </is>
      </c>
      <c r="G346" t="n">
        <v>0.9</v>
      </c>
      <c r="H346" t="n">
        <v>0</v>
      </c>
      <c r="I346" t="n">
        <v>0</v>
      </c>
      <c r="J346" t="n">
        <v>0</v>
      </c>
      <c r="K346" t="n">
        <v>0</v>
      </c>
      <c r="L346" t="n">
        <v>0</v>
      </c>
      <c r="M346" t="n">
        <v>0</v>
      </c>
      <c r="N346" t="n">
        <v>0</v>
      </c>
      <c r="O346" t="n">
        <v>0</v>
      </c>
      <c r="P346" t="n">
        <v>0</v>
      </c>
      <c r="Q346" t="n">
        <v>0</v>
      </c>
      <c r="R346" s="2" t="inlineStr"/>
    </row>
    <row r="347" ht="15" customHeight="1">
      <c r="A347" t="inlineStr">
        <is>
          <t>A 31846-2025</t>
        </is>
      </c>
      <c r="B347" s="1" t="n">
        <v>45834.60209490741</v>
      </c>
      <c r="C347" s="1" t="n">
        <v>46000</v>
      </c>
      <c r="D347" t="inlineStr">
        <is>
          <t>DALARNAS LÄN</t>
        </is>
      </c>
      <c r="E347" t="inlineStr">
        <is>
          <t>MORA</t>
        </is>
      </c>
      <c r="G347" t="n">
        <v>3.6</v>
      </c>
      <c r="H347" t="n">
        <v>0</v>
      </c>
      <c r="I347" t="n">
        <v>0</v>
      </c>
      <c r="J347" t="n">
        <v>0</v>
      </c>
      <c r="K347" t="n">
        <v>0</v>
      </c>
      <c r="L347" t="n">
        <v>0</v>
      </c>
      <c r="M347" t="n">
        <v>0</v>
      </c>
      <c r="N347" t="n">
        <v>0</v>
      </c>
      <c r="O347" t="n">
        <v>0</v>
      </c>
      <c r="P347" t="n">
        <v>0</v>
      </c>
      <c r="Q347" t="n">
        <v>0</v>
      </c>
      <c r="R347" s="2" t="inlineStr"/>
    </row>
    <row r="348" ht="15" customHeight="1">
      <c r="A348" t="inlineStr">
        <is>
          <t>A 31849-2025</t>
        </is>
      </c>
      <c r="B348" s="1" t="n">
        <v>45834.60525462963</v>
      </c>
      <c r="C348" s="1" t="n">
        <v>46000</v>
      </c>
      <c r="D348" t="inlineStr">
        <is>
          <t>DALARNAS LÄN</t>
        </is>
      </c>
      <c r="E348" t="inlineStr">
        <is>
          <t>MORA</t>
        </is>
      </c>
      <c r="G348" t="n">
        <v>3.9</v>
      </c>
      <c r="H348" t="n">
        <v>0</v>
      </c>
      <c r="I348" t="n">
        <v>0</v>
      </c>
      <c r="J348" t="n">
        <v>0</v>
      </c>
      <c r="K348" t="n">
        <v>0</v>
      </c>
      <c r="L348" t="n">
        <v>0</v>
      </c>
      <c r="M348" t="n">
        <v>0</v>
      </c>
      <c r="N348" t="n">
        <v>0</v>
      </c>
      <c r="O348" t="n">
        <v>0</v>
      </c>
      <c r="P348" t="n">
        <v>0</v>
      </c>
      <c r="Q348" t="n">
        <v>0</v>
      </c>
      <c r="R348" s="2" t="inlineStr"/>
    </row>
    <row r="349" ht="15" customHeight="1">
      <c r="A349" t="inlineStr">
        <is>
          <t>A 31842-2025</t>
        </is>
      </c>
      <c r="B349" s="1" t="n">
        <v>45834.59822916667</v>
      </c>
      <c r="C349" s="1" t="n">
        <v>46000</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54367-2025</t>
        </is>
      </c>
      <c r="B350" s="1" t="n">
        <v>45965.4031712963</v>
      </c>
      <c r="C350" s="1" t="n">
        <v>46000</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17393-2025</t>
        </is>
      </c>
      <c r="B351" s="1" t="n">
        <v>45757.34350694445</v>
      </c>
      <c r="C351" s="1" t="n">
        <v>46000</v>
      </c>
      <c r="D351" t="inlineStr">
        <is>
          <t>DALARNAS LÄN</t>
        </is>
      </c>
      <c r="E351" t="inlineStr">
        <is>
          <t>MORA</t>
        </is>
      </c>
      <c r="G351" t="n">
        <v>10.1</v>
      </c>
      <c r="H351" t="n">
        <v>0</v>
      </c>
      <c r="I351" t="n">
        <v>0</v>
      </c>
      <c r="J351" t="n">
        <v>0</v>
      </c>
      <c r="K351" t="n">
        <v>0</v>
      </c>
      <c r="L351" t="n">
        <v>0</v>
      </c>
      <c r="M351" t="n">
        <v>0</v>
      </c>
      <c r="N351" t="n">
        <v>0</v>
      </c>
      <c r="O351" t="n">
        <v>0</v>
      </c>
      <c r="P351" t="n">
        <v>0</v>
      </c>
      <c r="Q351" t="n">
        <v>0</v>
      </c>
      <c r="R351" s="2" t="inlineStr"/>
    </row>
    <row r="352" ht="15" customHeight="1">
      <c r="A352" t="inlineStr">
        <is>
          <t>A 54518-2025</t>
        </is>
      </c>
      <c r="B352" s="1" t="n">
        <v>45965.62608796296</v>
      </c>
      <c r="C352" s="1" t="n">
        <v>46000</v>
      </c>
      <c r="D352" t="inlineStr">
        <is>
          <t>DALARNAS LÄN</t>
        </is>
      </c>
      <c r="E352" t="inlineStr">
        <is>
          <t>MORA</t>
        </is>
      </c>
      <c r="G352" t="n">
        <v>7.1</v>
      </c>
      <c r="H352" t="n">
        <v>0</v>
      </c>
      <c r="I352" t="n">
        <v>0</v>
      </c>
      <c r="J352" t="n">
        <v>0</v>
      </c>
      <c r="K352" t="n">
        <v>0</v>
      </c>
      <c r="L352" t="n">
        <v>0</v>
      </c>
      <c r="M352" t="n">
        <v>0</v>
      </c>
      <c r="N352" t="n">
        <v>0</v>
      </c>
      <c r="O352" t="n">
        <v>0</v>
      </c>
      <c r="P352" t="n">
        <v>0</v>
      </c>
      <c r="Q352" t="n">
        <v>0</v>
      </c>
      <c r="R352" s="2" t="inlineStr"/>
    </row>
    <row r="353" ht="15" customHeight="1">
      <c r="A353" t="inlineStr">
        <is>
          <t>A 25887-2023</t>
        </is>
      </c>
      <c r="B353" s="1" t="n">
        <v>45090.62493055555</v>
      </c>
      <c r="C353" s="1" t="n">
        <v>46000</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54919-2025</t>
        </is>
      </c>
      <c r="B354" s="1" t="n">
        <v>45967.38884259259</v>
      </c>
      <c r="C354" s="1" t="n">
        <v>46000</v>
      </c>
      <c r="D354" t="inlineStr">
        <is>
          <t>DALARNAS LÄN</t>
        </is>
      </c>
      <c r="E354" t="inlineStr">
        <is>
          <t>MORA</t>
        </is>
      </c>
      <c r="F354" t="inlineStr">
        <is>
          <t>Bergvik skog väst AB</t>
        </is>
      </c>
      <c r="G354" t="n">
        <v>5.6</v>
      </c>
      <c r="H354" t="n">
        <v>0</v>
      </c>
      <c r="I354" t="n">
        <v>0</v>
      </c>
      <c r="J354" t="n">
        <v>0</v>
      </c>
      <c r="K354" t="n">
        <v>0</v>
      </c>
      <c r="L354" t="n">
        <v>0</v>
      </c>
      <c r="M354" t="n">
        <v>0</v>
      </c>
      <c r="N354" t="n">
        <v>0</v>
      </c>
      <c r="O354" t="n">
        <v>0</v>
      </c>
      <c r="P354" t="n">
        <v>0</v>
      </c>
      <c r="Q354" t="n">
        <v>0</v>
      </c>
      <c r="R354" s="2" t="inlineStr"/>
    </row>
    <row r="355" ht="15" customHeight="1">
      <c r="A355" t="inlineStr">
        <is>
          <t>A 54905-2025</t>
        </is>
      </c>
      <c r="B355" s="1" t="n">
        <v>45967.3700462963</v>
      </c>
      <c r="C355" s="1" t="n">
        <v>46000</v>
      </c>
      <c r="D355" t="inlineStr">
        <is>
          <t>DALARNAS LÄN</t>
        </is>
      </c>
      <c r="E355" t="inlineStr">
        <is>
          <t>MORA</t>
        </is>
      </c>
      <c r="G355" t="n">
        <v>0.4</v>
      </c>
      <c r="H355" t="n">
        <v>0</v>
      </c>
      <c r="I355" t="n">
        <v>0</v>
      </c>
      <c r="J355" t="n">
        <v>0</v>
      </c>
      <c r="K355" t="n">
        <v>0</v>
      </c>
      <c r="L355" t="n">
        <v>0</v>
      </c>
      <c r="M355" t="n">
        <v>0</v>
      </c>
      <c r="N355" t="n">
        <v>0</v>
      </c>
      <c r="O355" t="n">
        <v>0</v>
      </c>
      <c r="P355" t="n">
        <v>0</v>
      </c>
      <c r="Q355" t="n">
        <v>0</v>
      </c>
      <c r="R355" s="2" t="inlineStr"/>
    </row>
    <row r="356" ht="15" customHeight="1">
      <c r="A356" t="inlineStr">
        <is>
          <t>A 32852-2025</t>
        </is>
      </c>
      <c r="B356" s="1" t="n">
        <v>45839.57559027777</v>
      </c>
      <c r="C356" s="1" t="n">
        <v>46000</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64099-2023</t>
        </is>
      </c>
      <c r="B357" s="1" t="n">
        <v>45279.46009259259</v>
      </c>
      <c r="C357" s="1" t="n">
        <v>46000</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54909-2025</t>
        </is>
      </c>
      <c r="B358" s="1" t="n">
        <v>45967.374375</v>
      </c>
      <c r="C358" s="1" t="n">
        <v>46000</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46090-2025</t>
        </is>
      </c>
      <c r="B359" s="1" t="n">
        <v>45924.5253125</v>
      </c>
      <c r="C359" s="1" t="n">
        <v>46000</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46091-2025</t>
        </is>
      </c>
      <c r="B360" s="1" t="n">
        <v>45924.52871527777</v>
      </c>
      <c r="C360" s="1" t="n">
        <v>46000</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54868-2025</t>
        </is>
      </c>
      <c r="B361" s="1" t="n">
        <v>45966.85649305556</v>
      </c>
      <c r="C361" s="1" t="n">
        <v>46000</v>
      </c>
      <c r="D361" t="inlineStr">
        <is>
          <t>DALARNAS LÄN</t>
        </is>
      </c>
      <c r="E361" t="inlineStr">
        <is>
          <t>MORA</t>
        </is>
      </c>
      <c r="F361" t="inlineStr">
        <is>
          <t>Bergvik skog väst AB</t>
        </is>
      </c>
      <c r="G361" t="n">
        <v>5.6</v>
      </c>
      <c r="H361" t="n">
        <v>0</v>
      </c>
      <c r="I361" t="n">
        <v>0</v>
      </c>
      <c r="J361" t="n">
        <v>0</v>
      </c>
      <c r="K361" t="n">
        <v>0</v>
      </c>
      <c r="L361" t="n">
        <v>0</v>
      </c>
      <c r="M361" t="n">
        <v>0</v>
      </c>
      <c r="N361" t="n">
        <v>0</v>
      </c>
      <c r="O361" t="n">
        <v>0</v>
      </c>
      <c r="P361" t="n">
        <v>0</v>
      </c>
      <c r="Q361" t="n">
        <v>0</v>
      </c>
      <c r="R361" s="2" t="inlineStr"/>
    </row>
    <row r="362" ht="15" customHeight="1">
      <c r="A362" t="inlineStr">
        <is>
          <t>A 54910-2025</t>
        </is>
      </c>
      <c r="B362" s="1" t="n">
        <v>45967.37679398148</v>
      </c>
      <c r="C362" s="1" t="n">
        <v>46000</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46283-2025</t>
        </is>
      </c>
      <c r="B363" s="1" t="n">
        <v>45925</v>
      </c>
      <c r="C363" s="1" t="n">
        <v>46000</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54862-2025</t>
        </is>
      </c>
      <c r="B364" s="1" t="n">
        <v>45966.76542824074</v>
      </c>
      <c r="C364" s="1" t="n">
        <v>46000</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19910-2024</t>
        </is>
      </c>
      <c r="B365" s="1" t="n">
        <v>45433.5741087963</v>
      </c>
      <c r="C365" s="1" t="n">
        <v>46000</v>
      </c>
      <c r="D365" t="inlineStr">
        <is>
          <t>DALARNAS LÄN</t>
        </is>
      </c>
      <c r="E365" t="inlineStr">
        <is>
          <t>MORA</t>
        </is>
      </c>
      <c r="G365" t="n">
        <v>0.9</v>
      </c>
      <c r="H365" t="n">
        <v>0</v>
      </c>
      <c r="I365" t="n">
        <v>0</v>
      </c>
      <c r="J365" t="n">
        <v>0</v>
      </c>
      <c r="K365" t="n">
        <v>0</v>
      </c>
      <c r="L365" t="n">
        <v>0</v>
      </c>
      <c r="M365" t="n">
        <v>0</v>
      </c>
      <c r="N365" t="n">
        <v>0</v>
      </c>
      <c r="O365" t="n">
        <v>0</v>
      </c>
      <c r="P365" t="n">
        <v>0</v>
      </c>
      <c r="Q365" t="n">
        <v>0</v>
      </c>
      <c r="R365" s="2" t="inlineStr"/>
    </row>
    <row r="366" ht="15" customHeight="1">
      <c r="A366" t="inlineStr">
        <is>
          <t>A 23300-2024</t>
        </is>
      </c>
      <c r="B366" s="1" t="n">
        <v>45453.43695601852</v>
      </c>
      <c r="C366" s="1" t="n">
        <v>46000</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55135-2025</t>
        </is>
      </c>
      <c r="B367" s="1" t="n">
        <v>45968.42591435185</v>
      </c>
      <c r="C367" s="1" t="n">
        <v>46000</v>
      </c>
      <c r="D367" t="inlineStr">
        <is>
          <t>DALARNAS LÄN</t>
        </is>
      </c>
      <c r="E367" t="inlineStr">
        <is>
          <t>MORA</t>
        </is>
      </c>
      <c r="G367" t="n">
        <v>5.1</v>
      </c>
      <c r="H367" t="n">
        <v>0</v>
      </c>
      <c r="I367" t="n">
        <v>0</v>
      </c>
      <c r="J367" t="n">
        <v>0</v>
      </c>
      <c r="K367" t="n">
        <v>0</v>
      </c>
      <c r="L367" t="n">
        <v>0</v>
      </c>
      <c r="M367" t="n">
        <v>0</v>
      </c>
      <c r="N367" t="n">
        <v>0</v>
      </c>
      <c r="O367" t="n">
        <v>0</v>
      </c>
      <c r="P367" t="n">
        <v>0</v>
      </c>
      <c r="Q367" t="n">
        <v>0</v>
      </c>
      <c r="R367" s="2" t="inlineStr"/>
    </row>
    <row r="368" ht="15" customHeight="1">
      <c r="A368" t="inlineStr">
        <is>
          <t>A 33443-2025</t>
        </is>
      </c>
      <c r="B368" s="1" t="n">
        <v>45841</v>
      </c>
      <c r="C368" s="1" t="n">
        <v>46000</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55124-2025</t>
        </is>
      </c>
      <c r="B369" s="1" t="n">
        <v>45968.40621527778</v>
      </c>
      <c r="C369" s="1" t="n">
        <v>46000</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55262-2025</t>
        </is>
      </c>
      <c r="B370" s="1" t="n">
        <v>45968.64847222222</v>
      </c>
      <c r="C370" s="1" t="n">
        <v>46000</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19896-2021</t>
        </is>
      </c>
      <c r="B371" s="1" t="n">
        <v>44313.54942129629</v>
      </c>
      <c r="C371" s="1" t="n">
        <v>46000</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9599-2022</t>
        </is>
      </c>
      <c r="B372" s="1" t="n">
        <v>44617.48909722222</v>
      </c>
      <c r="C372" s="1" t="n">
        <v>46000</v>
      </c>
      <c r="D372" t="inlineStr">
        <is>
          <t>DALARNAS LÄN</t>
        </is>
      </c>
      <c r="E372" t="inlineStr">
        <is>
          <t>MORA</t>
        </is>
      </c>
      <c r="G372" t="n">
        <v>2.1</v>
      </c>
      <c r="H372" t="n">
        <v>0</v>
      </c>
      <c r="I372" t="n">
        <v>0</v>
      </c>
      <c r="J372" t="n">
        <v>0</v>
      </c>
      <c r="K372" t="n">
        <v>0</v>
      </c>
      <c r="L372" t="n">
        <v>0</v>
      </c>
      <c r="M372" t="n">
        <v>0</v>
      </c>
      <c r="N372" t="n">
        <v>0</v>
      </c>
      <c r="O372" t="n">
        <v>0</v>
      </c>
      <c r="P372" t="n">
        <v>0</v>
      </c>
      <c r="Q372" t="n">
        <v>0</v>
      </c>
      <c r="R372" s="2" t="inlineStr"/>
    </row>
    <row r="373" ht="15" customHeight="1">
      <c r="A373" t="inlineStr">
        <is>
          <t>A 35521-2023</t>
        </is>
      </c>
      <c r="B373" s="1" t="n">
        <v>45147.33251157407</v>
      </c>
      <c r="C373" s="1" t="n">
        <v>46000</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46525-2025</t>
        </is>
      </c>
      <c r="B374" s="1" t="n">
        <v>45926.3312962963</v>
      </c>
      <c r="C374" s="1" t="n">
        <v>46000</v>
      </c>
      <c r="D374" t="inlineStr">
        <is>
          <t>DALARNAS LÄN</t>
        </is>
      </c>
      <c r="E374" t="inlineStr">
        <is>
          <t>MORA</t>
        </is>
      </c>
      <c r="G374" t="n">
        <v>6.3</v>
      </c>
      <c r="H374" t="n">
        <v>0</v>
      </c>
      <c r="I374" t="n">
        <v>0</v>
      </c>
      <c r="J374" t="n">
        <v>0</v>
      </c>
      <c r="K374" t="n">
        <v>0</v>
      </c>
      <c r="L374" t="n">
        <v>0</v>
      </c>
      <c r="M374" t="n">
        <v>0</v>
      </c>
      <c r="N374" t="n">
        <v>0</v>
      </c>
      <c r="O374" t="n">
        <v>0</v>
      </c>
      <c r="P374" t="n">
        <v>0</v>
      </c>
      <c r="Q374" t="n">
        <v>0</v>
      </c>
      <c r="R374" s="2" t="inlineStr"/>
    </row>
    <row r="375" ht="15" customHeight="1">
      <c r="A375" t="inlineStr">
        <is>
          <t>A 60715-2023</t>
        </is>
      </c>
      <c r="B375" s="1" t="n">
        <v>45260.52684027778</v>
      </c>
      <c r="C375" s="1" t="n">
        <v>46000</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54257-2023</t>
        </is>
      </c>
      <c r="B376" s="1" t="n">
        <v>45232.64195601852</v>
      </c>
      <c r="C376" s="1" t="n">
        <v>46000</v>
      </c>
      <c r="D376" t="inlineStr">
        <is>
          <t>DALARNAS LÄN</t>
        </is>
      </c>
      <c r="E376" t="inlineStr">
        <is>
          <t>MORA</t>
        </is>
      </c>
      <c r="G376" t="n">
        <v>4</v>
      </c>
      <c r="H376" t="n">
        <v>0</v>
      </c>
      <c r="I376" t="n">
        <v>0</v>
      </c>
      <c r="J376" t="n">
        <v>0</v>
      </c>
      <c r="K376" t="n">
        <v>0</v>
      </c>
      <c r="L376" t="n">
        <v>0</v>
      </c>
      <c r="M376" t="n">
        <v>0</v>
      </c>
      <c r="N376" t="n">
        <v>0</v>
      </c>
      <c r="O376" t="n">
        <v>0</v>
      </c>
      <c r="P376" t="n">
        <v>0</v>
      </c>
      <c r="Q376" t="n">
        <v>0</v>
      </c>
      <c r="R376" s="2" t="inlineStr"/>
    </row>
    <row r="377" ht="15" customHeight="1">
      <c r="A377" t="inlineStr">
        <is>
          <t>A 55123-2025</t>
        </is>
      </c>
      <c r="B377" s="1" t="n">
        <v>45968.40056712963</v>
      </c>
      <c r="C377" s="1" t="n">
        <v>46000</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34182-2025</t>
        </is>
      </c>
      <c r="B378" s="1" t="n">
        <v>45845.60520833333</v>
      </c>
      <c r="C378" s="1" t="n">
        <v>46000</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46537-2025</t>
        </is>
      </c>
      <c r="B379" s="1" t="n">
        <v>45926.34195601852</v>
      </c>
      <c r="C379" s="1" t="n">
        <v>46000</v>
      </c>
      <c r="D379" t="inlineStr">
        <is>
          <t>DALARNAS LÄN</t>
        </is>
      </c>
      <c r="E379" t="inlineStr">
        <is>
          <t>MORA</t>
        </is>
      </c>
      <c r="G379" t="n">
        <v>10.6</v>
      </c>
      <c r="H379" t="n">
        <v>0</v>
      </c>
      <c r="I379" t="n">
        <v>0</v>
      </c>
      <c r="J379" t="n">
        <v>0</v>
      </c>
      <c r="K379" t="n">
        <v>0</v>
      </c>
      <c r="L379" t="n">
        <v>0</v>
      </c>
      <c r="M379" t="n">
        <v>0</v>
      </c>
      <c r="N379" t="n">
        <v>0</v>
      </c>
      <c r="O379" t="n">
        <v>0</v>
      </c>
      <c r="P379" t="n">
        <v>0</v>
      </c>
      <c r="Q379" t="n">
        <v>0</v>
      </c>
      <c r="R379" s="2" t="inlineStr"/>
    </row>
    <row r="380" ht="15" customHeight="1">
      <c r="A380" t="inlineStr">
        <is>
          <t>A 54548-2025</t>
        </is>
      </c>
      <c r="B380" s="1" t="n">
        <v>45965.6534837963</v>
      </c>
      <c r="C380" s="1" t="n">
        <v>46000</v>
      </c>
      <c r="D380" t="inlineStr">
        <is>
          <t>DALARNAS LÄN</t>
        </is>
      </c>
      <c r="E380" t="inlineStr">
        <is>
          <t>MORA</t>
        </is>
      </c>
      <c r="G380" t="n">
        <v>2.3</v>
      </c>
      <c r="H380" t="n">
        <v>0</v>
      </c>
      <c r="I380" t="n">
        <v>0</v>
      </c>
      <c r="J380" t="n">
        <v>0</v>
      </c>
      <c r="K380" t="n">
        <v>0</v>
      </c>
      <c r="L380" t="n">
        <v>0</v>
      </c>
      <c r="M380" t="n">
        <v>0</v>
      </c>
      <c r="N380" t="n">
        <v>0</v>
      </c>
      <c r="O380" t="n">
        <v>0</v>
      </c>
      <c r="P380" t="n">
        <v>0</v>
      </c>
      <c r="Q380" t="n">
        <v>0</v>
      </c>
      <c r="R380" s="2" t="inlineStr"/>
    </row>
    <row r="381" ht="15" customHeight="1">
      <c r="A381" t="inlineStr">
        <is>
          <t>A 34005-2025</t>
        </is>
      </c>
      <c r="B381" s="1" t="n">
        <v>45844.58890046296</v>
      </c>
      <c r="C381" s="1" t="n">
        <v>46000</v>
      </c>
      <c r="D381" t="inlineStr">
        <is>
          <t>DALARNAS LÄN</t>
        </is>
      </c>
      <c r="E381" t="inlineStr">
        <is>
          <t>MORA</t>
        </is>
      </c>
      <c r="G381" t="n">
        <v>7.2</v>
      </c>
      <c r="H381" t="n">
        <v>0</v>
      </c>
      <c r="I381" t="n">
        <v>0</v>
      </c>
      <c r="J381" t="n">
        <v>0</v>
      </c>
      <c r="K381" t="n">
        <v>0</v>
      </c>
      <c r="L381" t="n">
        <v>0</v>
      </c>
      <c r="M381" t="n">
        <v>0</v>
      </c>
      <c r="N381" t="n">
        <v>0</v>
      </c>
      <c r="O381" t="n">
        <v>0</v>
      </c>
      <c r="P381" t="n">
        <v>0</v>
      </c>
      <c r="Q381" t="n">
        <v>0</v>
      </c>
      <c r="R381" s="2" t="inlineStr"/>
    </row>
    <row r="382" ht="15" customHeight="1">
      <c r="A382" t="inlineStr">
        <is>
          <t>A 47140-2025</t>
        </is>
      </c>
      <c r="B382" s="1" t="n">
        <v>45929</v>
      </c>
      <c r="C382" s="1" t="n">
        <v>46000</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55284-2025</t>
        </is>
      </c>
      <c r="B383" s="1" t="n">
        <v>45968.8227662037</v>
      </c>
      <c r="C383" s="1" t="n">
        <v>46000</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34482-2025</t>
        </is>
      </c>
      <c r="B384" s="1" t="n">
        <v>45847.38469907407</v>
      </c>
      <c r="C384" s="1" t="n">
        <v>46000</v>
      </c>
      <c r="D384" t="inlineStr">
        <is>
          <t>DALARNAS LÄN</t>
        </is>
      </c>
      <c r="E384" t="inlineStr">
        <is>
          <t>MORA</t>
        </is>
      </c>
      <c r="G384" t="n">
        <v>1.5</v>
      </c>
      <c r="H384" t="n">
        <v>0</v>
      </c>
      <c r="I384" t="n">
        <v>0</v>
      </c>
      <c r="J384" t="n">
        <v>0</v>
      </c>
      <c r="K384" t="n">
        <v>0</v>
      </c>
      <c r="L384" t="n">
        <v>0</v>
      </c>
      <c r="M384" t="n">
        <v>0</v>
      </c>
      <c r="N384" t="n">
        <v>0</v>
      </c>
      <c r="O384" t="n">
        <v>0</v>
      </c>
      <c r="P384" t="n">
        <v>0</v>
      </c>
      <c r="Q384" t="n">
        <v>0</v>
      </c>
      <c r="R384" s="2" t="inlineStr"/>
    </row>
    <row r="385" ht="15" customHeight="1">
      <c r="A385" t="inlineStr">
        <is>
          <t>A 25499-2024</t>
        </is>
      </c>
      <c r="B385" s="1" t="n">
        <v>45463</v>
      </c>
      <c r="C385" s="1" t="n">
        <v>46000</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47055-2025</t>
        </is>
      </c>
      <c r="B386" s="1" t="n">
        <v>45929.61931712963</v>
      </c>
      <c r="C386" s="1" t="n">
        <v>46000</v>
      </c>
      <c r="D386" t="inlineStr">
        <is>
          <t>DALARNAS LÄN</t>
        </is>
      </c>
      <c r="E386" t="inlineStr">
        <is>
          <t>MORA</t>
        </is>
      </c>
      <c r="G386" t="n">
        <v>28.1</v>
      </c>
      <c r="H386" t="n">
        <v>0</v>
      </c>
      <c r="I386" t="n">
        <v>0</v>
      </c>
      <c r="J386" t="n">
        <v>0</v>
      </c>
      <c r="K386" t="n">
        <v>0</v>
      </c>
      <c r="L386" t="n">
        <v>0</v>
      </c>
      <c r="M386" t="n">
        <v>0</v>
      </c>
      <c r="N386" t="n">
        <v>0</v>
      </c>
      <c r="O386" t="n">
        <v>0</v>
      </c>
      <c r="P386" t="n">
        <v>0</v>
      </c>
      <c r="Q386" t="n">
        <v>0</v>
      </c>
      <c r="R386" s="2" t="inlineStr"/>
    </row>
    <row r="387" ht="15" customHeight="1">
      <c r="A387" t="inlineStr">
        <is>
          <t>A 47072-2025</t>
        </is>
      </c>
      <c r="B387" s="1" t="n">
        <v>45929.6365162037</v>
      </c>
      <c r="C387" s="1" t="n">
        <v>46000</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34382-2025</t>
        </is>
      </c>
      <c r="B388" s="1" t="n">
        <v>45846</v>
      </c>
      <c r="C388" s="1" t="n">
        <v>46000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58958-2022</t>
        </is>
      </c>
      <c r="B389" s="1" t="n">
        <v>44903.6605324074</v>
      </c>
      <c r="C389" s="1" t="n">
        <v>46000</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34933-2025</t>
        </is>
      </c>
      <c r="B390" s="1" t="n">
        <v>45849.57297453703</v>
      </c>
      <c r="C390" s="1" t="n">
        <v>46000</v>
      </c>
      <c r="D390" t="inlineStr">
        <is>
          <t>DALARNAS LÄN</t>
        </is>
      </c>
      <c r="E390" t="inlineStr">
        <is>
          <t>MORA</t>
        </is>
      </c>
      <c r="F390" t="inlineStr">
        <is>
          <t>Bergvik skog väst AB</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52908-2023</t>
        </is>
      </c>
      <c r="B391" s="1" t="n">
        <v>45226.49950231481</v>
      </c>
      <c r="C391" s="1" t="n">
        <v>46000</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18214-2024</t>
        </is>
      </c>
      <c r="B392" s="1" t="n">
        <v>45420</v>
      </c>
      <c r="C392" s="1" t="n">
        <v>46000</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35121-2025</t>
        </is>
      </c>
      <c r="B393" s="1" t="n">
        <v>45852.60936342592</v>
      </c>
      <c r="C393" s="1" t="n">
        <v>46000</v>
      </c>
      <c r="D393" t="inlineStr">
        <is>
          <t>DALARNAS LÄN</t>
        </is>
      </c>
      <c r="E393" t="inlineStr">
        <is>
          <t>MORA</t>
        </is>
      </c>
      <c r="F393" t="inlineStr">
        <is>
          <t>Bergvik skog öst AB</t>
        </is>
      </c>
      <c r="G393" t="n">
        <v>15.9</v>
      </c>
      <c r="H393" t="n">
        <v>0</v>
      </c>
      <c r="I393" t="n">
        <v>0</v>
      </c>
      <c r="J393" t="n">
        <v>0</v>
      </c>
      <c r="K393" t="n">
        <v>0</v>
      </c>
      <c r="L393" t="n">
        <v>0</v>
      </c>
      <c r="M393" t="n">
        <v>0</v>
      </c>
      <c r="N393" t="n">
        <v>0</v>
      </c>
      <c r="O393" t="n">
        <v>0</v>
      </c>
      <c r="P393" t="n">
        <v>0</v>
      </c>
      <c r="Q393" t="n">
        <v>0</v>
      </c>
      <c r="R393" s="2" t="inlineStr"/>
    </row>
    <row r="394" ht="15" customHeight="1">
      <c r="A394" t="inlineStr">
        <is>
          <t>A 60465-2023</t>
        </is>
      </c>
      <c r="B394" s="1" t="n">
        <v>45259.57872685185</v>
      </c>
      <c r="C394" s="1" t="n">
        <v>46000</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47414-2025</t>
        </is>
      </c>
      <c r="B395" s="1" t="n">
        <v>45930.61896990741</v>
      </c>
      <c r="C395" s="1" t="n">
        <v>46000</v>
      </c>
      <c r="D395" t="inlineStr">
        <is>
          <t>DALARNAS LÄN</t>
        </is>
      </c>
      <c r="E395" t="inlineStr">
        <is>
          <t>MORA</t>
        </is>
      </c>
      <c r="G395" t="n">
        <v>6.1</v>
      </c>
      <c r="H395" t="n">
        <v>0</v>
      </c>
      <c r="I395" t="n">
        <v>0</v>
      </c>
      <c r="J395" t="n">
        <v>0</v>
      </c>
      <c r="K395" t="n">
        <v>0</v>
      </c>
      <c r="L395" t="n">
        <v>0</v>
      </c>
      <c r="M395" t="n">
        <v>0</v>
      </c>
      <c r="N395" t="n">
        <v>0</v>
      </c>
      <c r="O395" t="n">
        <v>0</v>
      </c>
      <c r="P395" t="n">
        <v>0</v>
      </c>
      <c r="Q395" t="n">
        <v>0</v>
      </c>
      <c r="R395" s="2" t="inlineStr"/>
    </row>
    <row r="396" ht="15" customHeight="1">
      <c r="A396" t="inlineStr">
        <is>
          <t>A 61654-2024</t>
        </is>
      </c>
      <c r="B396" s="1" t="n">
        <v>45646.74988425926</v>
      </c>
      <c r="C396" s="1" t="n">
        <v>46000</v>
      </c>
      <c r="D396" t="inlineStr">
        <is>
          <t>DALARNAS LÄN</t>
        </is>
      </c>
      <c r="E396" t="inlineStr">
        <is>
          <t>MORA</t>
        </is>
      </c>
      <c r="G396" t="n">
        <v>1.7</v>
      </c>
      <c r="H396" t="n">
        <v>0</v>
      </c>
      <c r="I396" t="n">
        <v>0</v>
      </c>
      <c r="J396" t="n">
        <v>0</v>
      </c>
      <c r="K396" t="n">
        <v>0</v>
      </c>
      <c r="L396" t="n">
        <v>0</v>
      </c>
      <c r="M396" t="n">
        <v>0</v>
      </c>
      <c r="N396" t="n">
        <v>0</v>
      </c>
      <c r="O396" t="n">
        <v>0</v>
      </c>
      <c r="P396" t="n">
        <v>0</v>
      </c>
      <c r="Q396" t="n">
        <v>0</v>
      </c>
      <c r="R396" s="2" t="inlineStr"/>
    </row>
    <row r="397" ht="15" customHeight="1">
      <c r="A397" t="inlineStr">
        <is>
          <t>A 60428-2023</t>
        </is>
      </c>
      <c r="B397" s="1" t="n">
        <v>45259.50996527778</v>
      </c>
      <c r="C397" s="1" t="n">
        <v>46000</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47765-2025</t>
        </is>
      </c>
      <c r="B398" s="1" t="n">
        <v>45931.69100694444</v>
      </c>
      <c r="C398" s="1" t="n">
        <v>46000</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2308-2023</t>
        </is>
      </c>
      <c r="B399" s="1" t="n">
        <v>44942.57987268519</v>
      </c>
      <c r="C399" s="1" t="n">
        <v>46000</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35407-2025</t>
        </is>
      </c>
      <c r="B400" s="1" t="n">
        <v>45855.35989583333</v>
      </c>
      <c r="C400" s="1" t="n">
        <v>46000</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47769-2025</t>
        </is>
      </c>
      <c r="B401" s="1" t="n">
        <v>45931.70715277778</v>
      </c>
      <c r="C401" s="1" t="n">
        <v>46000</v>
      </c>
      <c r="D401" t="inlineStr">
        <is>
          <t>DALARNAS LÄN</t>
        </is>
      </c>
      <c r="E401" t="inlineStr">
        <is>
          <t>MORA</t>
        </is>
      </c>
      <c r="G401" t="n">
        <v>6.7</v>
      </c>
      <c r="H401" t="n">
        <v>0</v>
      </c>
      <c r="I401" t="n">
        <v>0</v>
      </c>
      <c r="J401" t="n">
        <v>0</v>
      </c>
      <c r="K401" t="n">
        <v>0</v>
      </c>
      <c r="L401" t="n">
        <v>0</v>
      </c>
      <c r="M401" t="n">
        <v>0</v>
      </c>
      <c r="N401" t="n">
        <v>0</v>
      </c>
      <c r="O401" t="n">
        <v>0</v>
      </c>
      <c r="P401" t="n">
        <v>0</v>
      </c>
      <c r="Q401" t="n">
        <v>0</v>
      </c>
      <c r="R401" s="2" t="inlineStr"/>
    </row>
    <row r="402" ht="15" customHeight="1">
      <c r="A402" t="inlineStr">
        <is>
          <t>A 9277-2024</t>
        </is>
      </c>
      <c r="B402" s="1" t="n">
        <v>45358.63265046296</v>
      </c>
      <c r="C402" s="1" t="n">
        <v>46000</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35611-2025</t>
        </is>
      </c>
      <c r="B403" s="1" t="n">
        <v>45859.35384259259</v>
      </c>
      <c r="C403" s="1" t="n">
        <v>46000</v>
      </c>
      <c r="D403" t="inlineStr">
        <is>
          <t>DALARNAS LÄN</t>
        </is>
      </c>
      <c r="E403" t="inlineStr">
        <is>
          <t>MORA</t>
        </is>
      </c>
      <c r="G403" t="n">
        <v>2.5</v>
      </c>
      <c r="H403" t="n">
        <v>0</v>
      </c>
      <c r="I403" t="n">
        <v>0</v>
      </c>
      <c r="J403" t="n">
        <v>0</v>
      </c>
      <c r="K403" t="n">
        <v>0</v>
      </c>
      <c r="L403" t="n">
        <v>0</v>
      </c>
      <c r="M403" t="n">
        <v>0</v>
      </c>
      <c r="N403" t="n">
        <v>0</v>
      </c>
      <c r="O403" t="n">
        <v>0</v>
      </c>
      <c r="P403" t="n">
        <v>0</v>
      </c>
      <c r="Q403" t="n">
        <v>0</v>
      </c>
      <c r="R403" s="2" t="inlineStr"/>
    </row>
    <row r="404" ht="15" customHeight="1">
      <c r="A404" t="inlineStr">
        <is>
          <t>A 48376-2025</t>
        </is>
      </c>
      <c r="B404" s="1" t="n">
        <v>45933.71648148148</v>
      </c>
      <c r="C404" s="1" t="n">
        <v>46000</v>
      </c>
      <c r="D404" t="inlineStr">
        <is>
          <t>DALARNAS LÄN</t>
        </is>
      </c>
      <c r="E404" t="inlineStr">
        <is>
          <t>MORA</t>
        </is>
      </c>
      <c r="G404" t="n">
        <v>0.8</v>
      </c>
      <c r="H404" t="n">
        <v>0</v>
      </c>
      <c r="I404" t="n">
        <v>0</v>
      </c>
      <c r="J404" t="n">
        <v>0</v>
      </c>
      <c r="K404" t="n">
        <v>0</v>
      </c>
      <c r="L404" t="n">
        <v>0</v>
      </c>
      <c r="M404" t="n">
        <v>0</v>
      </c>
      <c r="N404" t="n">
        <v>0</v>
      </c>
      <c r="O404" t="n">
        <v>0</v>
      </c>
      <c r="P404" t="n">
        <v>0</v>
      </c>
      <c r="Q404" t="n">
        <v>0</v>
      </c>
      <c r="R404" s="2" t="inlineStr"/>
    </row>
    <row r="405" ht="15" customHeight="1">
      <c r="A405" t="inlineStr">
        <is>
          <t>A 47860-2025</t>
        </is>
      </c>
      <c r="B405" s="1" t="n">
        <v>45932.42298611111</v>
      </c>
      <c r="C405" s="1" t="n">
        <v>46000</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35734-2025</t>
        </is>
      </c>
      <c r="B406" s="1" t="n">
        <v>45860.471875</v>
      </c>
      <c r="C406" s="1" t="n">
        <v>46000</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53159-2024</t>
        </is>
      </c>
      <c r="B407" s="1" t="n">
        <v>45611.63849537037</v>
      </c>
      <c r="C407" s="1" t="n">
        <v>46000</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35623-2025</t>
        </is>
      </c>
      <c r="B408" s="1" t="n">
        <v>45859</v>
      </c>
      <c r="C408" s="1" t="n">
        <v>46000</v>
      </c>
      <c r="D408" t="inlineStr">
        <is>
          <t>DALARNAS LÄN</t>
        </is>
      </c>
      <c r="E408" t="inlineStr">
        <is>
          <t>MORA</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29754-2022</t>
        </is>
      </c>
      <c r="B409" s="1" t="n">
        <v>44755.59188657408</v>
      </c>
      <c r="C409" s="1" t="n">
        <v>46000</v>
      </c>
      <c r="D409" t="inlineStr">
        <is>
          <t>DALARNAS LÄN</t>
        </is>
      </c>
      <c r="E409" t="inlineStr">
        <is>
          <t>MORA</t>
        </is>
      </c>
      <c r="G409" t="n">
        <v>1.6</v>
      </c>
      <c r="H409" t="n">
        <v>0</v>
      </c>
      <c r="I409" t="n">
        <v>0</v>
      </c>
      <c r="J409" t="n">
        <v>0</v>
      </c>
      <c r="K409" t="n">
        <v>0</v>
      </c>
      <c r="L409" t="n">
        <v>0</v>
      </c>
      <c r="M409" t="n">
        <v>0</v>
      </c>
      <c r="N409" t="n">
        <v>0</v>
      </c>
      <c r="O409" t="n">
        <v>0</v>
      </c>
      <c r="P409" t="n">
        <v>0</v>
      </c>
      <c r="Q409" t="n">
        <v>0</v>
      </c>
      <c r="R409" s="2" t="inlineStr"/>
    </row>
    <row r="410" ht="15" customHeight="1">
      <c r="A410" t="inlineStr">
        <is>
          <t>A 27188-2023</t>
        </is>
      </c>
      <c r="B410" s="1" t="n">
        <v>45096</v>
      </c>
      <c r="C410" s="1" t="n">
        <v>46000</v>
      </c>
      <c r="D410" t="inlineStr">
        <is>
          <t>DALARNAS LÄN</t>
        </is>
      </c>
      <c r="E410" t="inlineStr">
        <is>
          <t>MORA</t>
        </is>
      </c>
      <c r="G410" t="n">
        <v>4.8</v>
      </c>
      <c r="H410" t="n">
        <v>0</v>
      </c>
      <c r="I410" t="n">
        <v>0</v>
      </c>
      <c r="J410" t="n">
        <v>0</v>
      </c>
      <c r="K410" t="n">
        <v>0</v>
      </c>
      <c r="L410" t="n">
        <v>0</v>
      </c>
      <c r="M410" t="n">
        <v>0</v>
      </c>
      <c r="N410" t="n">
        <v>0</v>
      </c>
      <c r="O410" t="n">
        <v>0</v>
      </c>
      <c r="P410" t="n">
        <v>0</v>
      </c>
      <c r="Q410" t="n">
        <v>0</v>
      </c>
      <c r="R410" s="2" t="inlineStr"/>
    </row>
    <row r="411" ht="15" customHeight="1">
      <c r="A411" t="inlineStr">
        <is>
          <t>A 56268-2024</t>
        </is>
      </c>
      <c r="B411" s="1" t="n">
        <v>45624.65785879629</v>
      </c>
      <c r="C411" s="1" t="n">
        <v>46000</v>
      </c>
      <c r="D411" t="inlineStr">
        <is>
          <t>DALARNAS LÄN</t>
        </is>
      </c>
      <c r="E411" t="inlineStr">
        <is>
          <t>MORA</t>
        </is>
      </c>
      <c r="G411" t="n">
        <v>2.7</v>
      </c>
      <c r="H411" t="n">
        <v>0</v>
      </c>
      <c r="I411" t="n">
        <v>0</v>
      </c>
      <c r="J411" t="n">
        <v>0</v>
      </c>
      <c r="K411" t="n">
        <v>0</v>
      </c>
      <c r="L411" t="n">
        <v>0</v>
      </c>
      <c r="M411" t="n">
        <v>0</v>
      </c>
      <c r="N411" t="n">
        <v>0</v>
      </c>
      <c r="O411" t="n">
        <v>0</v>
      </c>
      <c r="P411" t="n">
        <v>0</v>
      </c>
      <c r="Q411" t="n">
        <v>0</v>
      </c>
      <c r="R411" s="2" t="inlineStr"/>
    </row>
    <row r="412" ht="15" customHeight="1">
      <c r="A412" t="inlineStr">
        <is>
          <t>A 35622-2025</t>
        </is>
      </c>
      <c r="B412" s="1" t="n">
        <v>45859</v>
      </c>
      <c r="C412" s="1" t="n">
        <v>46000</v>
      </c>
      <c r="D412" t="inlineStr">
        <is>
          <t>DALARNAS LÄN</t>
        </is>
      </c>
      <c r="E412" t="inlineStr">
        <is>
          <t>MORA</t>
        </is>
      </c>
      <c r="F412" t="inlineStr">
        <is>
          <t>Bergvik skog öst AB</t>
        </is>
      </c>
      <c r="G412" t="n">
        <v>5.8</v>
      </c>
      <c r="H412" t="n">
        <v>0</v>
      </c>
      <c r="I412" t="n">
        <v>0</v>
      </c>
      <c r="J412" t="n">
        <v>0</v>
      </c>
      <c r="K412" t="n">
        <v>0</v>
      </c>
      <c r="L412" t="n">
        <v>0</v>
      </c>
      <c r="M412" t="n">
        <v>0</v>
      </c>
      <c r="N412" t="n">
        <v>0</v>
      </c>
      <c r="O412" t="n">
        <v>0</v>
      </c>
      <c r="P412" t="n">
        <v>0</v>
      </c>
      <c r="Q412" t="n">
        <v>0</v>
      </c>
      <c r="R412" s="2" t="inlineStr"/>
    </row>
    <row r="413" ht="15" customHeight="1">
      <c r="A413" t="inlineStr">
        <is>
          <t>A 35624-2025</t>
        </is>
      </c>
      <c r="B413" s="1" t="n">
        <v>45859</v>
      </c>
      <c r="C413" s="1" t="n">
        <v>46000</v>
      </c>
      <c r="D413" t="inlineStr">
        <is>
          <t>DALARNAS LÄN</t>
        </is>
      </c>
      <c r="E413" t="inlineStr">
        <is>
          <t>MORA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14641-2023</t>
        </is>
      </c>
      <c r="B414" s="1" t="n">
        <v>45013</v>
      </c>
      <c r="C414" s="1" t="n">
        <v>46000</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48377-2025</t>
        </is>
      </c>
      <c r="B415" s="1" t="n">
        <v>45933.71896990741</v>
      </c>
      <c r="C415" s="1" t="n">
        <v>46000</v>
      </c>
      <c r="D415" t="inlineStr">
        <is>
          <t>DALARNAS LÄN</t>
        </is>
      </c>
      <c r="E415" t="inlineStr">
        <is>
          <t>MORA</t>
        </is>
      </c>
      <c r="G415" t="n">
        <v>2</v>
      </c>
      <c r="H415" t="n">
        <v>0</v>
      </c>
      <c r="I415" t="n">
        <v>0</v>
      </c>
      <c r="J415" t="n">
        <v>0</v>
      </c>
      <c r="K415" t="n">
        <v>0</v>
      </c>
      <c r="L415" t="n">
        <v>0</v>
      </c>
      <c r="M415" t="n">
        <v>0</v>
      </c>
      <c r="N415" t="n">
        <v>0</v>
      </c>
      <c r="O415" t="n">
        <v>0</v>
      </c>
      <c r="P415" t="n">
        <v>0</v>
      </c>
      <c r="Q415" t="n">
        <v>0</v>
      </c>
      <c r="R415" s="2" t="inlineStr"/>
    </row>
    <row r="416" ht="15" customHeight="1">
      <c r="A416" t="inlineStr">
        <is>
          <t>A 36041-2025</t>
        </is>
      </c>
      <c r="B416" s="1" t="n">
        <v>45866.34385416667</v>
      </c>
      <c r="C416" s="1" t="n">
        <v>46000</v>
      </c>
      <c r="D416" t="inlineStr">
        <is>
          <t>DALARNAS LÄN</t>
        </is>
      </c>
      <c r="E416" t="inlineStr">
        <is>
          <t>MORA</t>
        </is>
      </c>
      <c r="G416" t="n">
        <v>0.6</v>
      </c>
      <c r="H416" t="n">
        <v>0</v>
      </c>
      <c r="I416" t="n">
        <v>0</v>
      </c>
      <c r="J416" t="n">
        <v>0</v>
      </c>
      <c r="K416" t="n">
        <v>0</v>
      </c>
      <c r="L416" t="n">
        <v>0</v>
      </c>
      <c r="M416" t="n">
        <v>0</v>
      </c>
      <c r="N416" t="n">
        <v>0</v>
      </c>
      <c r="O416" t="n">
        <v>0</v>
      </c>
      <c r="P416" t="n">
        <v>0</v>
      </c>
      <c r="Q416" t="n">
        <v>0</v>
      </c>
      <c r="R416" s="2" t="inlineStr"/>
    </row>
    <row r="417" ht="15" customHeight="1">
      <c r="A417" t="inlineStr">
        <is>
          <t>A 56702-2025</t>
        </is>
      </c>
      <c r="B417" s="1" t="n">
        <v>45977.45586805556</v>
      </c>
      <c r="C417" s="1" t="n">
        <v>46000</v>
      </c>
      <c r="D417" t="inlineStr">
        <is>
          <t>DALARNAS LÄN</t>
        </is>
      </c>
      <c r="E417" t="inlineStr">
        <is>
          <t>MORA</t>
        </is>
      </c>
      <c r="G417" t="n">
        <v>2.2</v>
      </c>
      <c r="H417" t="n">
        <v>0</v>
      </c>
      <c r="I417" t="n">
        <v>0</v>
      </c>
      <c r="J417" t="n">
        <v>0</v>
      </c>
      <c r="K417" t="n">
        <v>0</v>
      </c>
      <c r="L417" t="n">
        <v>0</v>
      </c>
      <c r="M417" t="n">
        <v>0</v>
      </c>
      <c r="N417" t="n">
        <v>0</v>
      </c>
      <c r="O417" t="n">
        <v>0</v>
      </c>
      <c r="P417" t="n">
        <v>0</v>
      </c>
      <c r="Q417" t="n">
        <v>0</v>
      </c>
      <c r="R417" s="2" t="inlineStr"/>
    </row>
    <row r="418" ht="15" customHeight="1">
      <c r="A418" t="inlineStr">
        <is>
          <t>A 16174-2025</t>
        </is>
      </c>
      <c r="B418" s="1" t="n">
        <v>45750</v>
      </c>
      <c r="C418" s="1" t="n">
        <v>46000</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57408-2024</t>
        </is>
      </c>
      <c r="B419" s="1" t="n">
        <v>45629</v>
      </c>
      <c r="C419" s="1" t="n">
        <v>46000</v>
      </c>
      <c r="D419" t="inlineStr">
        <is>
          <t>DALARNAS LÄN</t>
        </is>
      </c>
      <c r="E419" t="inlineStr">
        <is>
          <t>MORA</t>
        </is>
      </c>
      <c r="F419" t="inlineStr">
        <is>
          <t>Allmännings- och besparingsskogar</t>
        </is>
      </c>
      <c r="G419" t="n">
        <v>2.5</v>
      </c>
      <c r="H419" t="n">
        <v>0</v>
      </c>
      <c r="I419" t="n">
        <v>0</v>
      </c>
      <c r="J419" t="n">
        <v>0</v>
      </c>
      <c r="K419" t="n">
        <v>0</v>
      </c>
      <c r="L419" t="n">
        <v>0</v>
      </c>
      <c r="M419" t="n">
        <v>0</v>
      </c>
      <c r="N419" t="n">
        <v>0</v>
      </c>
      <c r="O419" t="n">
        <v>0</v>
      </c>
      <c r="P419" t="n">
        <v>0</v>
      </c>
      <c r="Q419" t="n">
        <v>0</v>
      </c>
      <c r="R419" s="2" t="inlineStr"/>
    </row>
    <row r="420" ht="15" customHeight="1">
      <c r="A420" t="inlineStr">
        <is>
          <t>A 57101-2025</t>
        </is>
      </c>
      <c r="B420" s="1" t="n">
        <v>45979.44006944444</v>
      </c>
      <c r="C420" s="1" t="n">
        <v>46000</v>
      </c>
      <c r="D420" t="inlineStr">
        <is>
          <t>DALARNAS LÄN</t>
        </is>
      </c>
      <c r="E420" t="inlineStr">
        <is>
          <t>MORA</t>
        </is>
      </c>
      <c r="G420" t="n">
        <v>7.5</v>
      </c>
      <c r="H420" t="n">
        <v>0</v>
      </c>
      <c r="I420" t="n">
        <v>0</v>
      </c>
      <c r="J420" t="n">
        <v>0</v>
      </c>
      <c r="K420" t="n">
        <v>0</v>
      </c>
      <c r="L420" t="n">
        <v>0</v>
      </c>
      <c r="M420" t="n">
        <v>0</v>
      </c>
      <c r="N420" t="n">
        <v>0</v>
      </c>
      <c r="O420" t="n">
        <v>0</v>
      </c>
      <c r="P420" t="n">
        <v>0</v>
      </c>
      <c r="Q420" t="n">
        <v>0</v>
      </c>
      <c r="R420" s="2" t="inlineStr"/>
    </row>
    <row r="421" ht="15" customHeight="1">
      <c r="A421" t="inlineStr">
        <is>
          <t>A 1252-2025</t>
        </is>
      </c>
      <c r="B421" s="1" t="n">
        <v>45667.46648148148</v>
      </c>
      <c r="C421" s="1" t="n">
        <v>46000</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36586-2025</t>
        </is>
      </c>
      <c r="B422" s="1" t="n">
        <v>45869</v>
      </c>
      <c r="C422" s="1" t="n">
        <v>46000</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36760-2025</t>
        </is>
      </c>
      <c r="B423" s="1" t="n">
        <v>45873.57319444444</v>
      </c>
      <c r="C423" s="1" t="n">
        <v>46000</v>
      </c>
      <c r="D423" t="inlineStr">
        <is>
          <t>DALARNAS LÄN</t>
        </is>
      </c>
      <c r="E423" t="inlineStr">
        <is>
          <t>MORA</t>
        </is>
      </c>
      <c r="G423" t="n">
        <v>4.6</v>
      </c>
      <c r="H423" t="n">
        <v>0</v>
      </c>
      <c r="I423" t="n">
        <v>0</v>
      </c>
      <c r="J423" t="n">
        <v>0</v>
      </c>
      <c r="K423" t="n">
        <v>0</v>
      </c>
      <c r="L423" t="n">
        <v>0</v>
      </c>
      <c r="M423" t="n">
        <v>0</v>
      </c>
      <c r="N423" t="n">
        <v>0</v>
      </c>
      <c r="O423" t="n">
        <v>0</v>
      </c>
      <c r="P423" t="n">
        <v>0</v>
      </c>
      <c r="Q423" t="n">
        <v>0</v>
      </c>
      <c r="R423" s="2" t="inlineStr"/>
    </row>
    <row r="424" ht="15" customHeight="1">
      <c r="A424" t="inlineStr">
        <is>
          <t>A 9554-2025</t>
        </is>
      </c>
      <c r="B424" s="1" t="n">
        <v>45715.59936342593</v>
      </c>
      <c r="C424" s="1" t="n">
        <v>46000</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57097-2025</t>
        </is>
      </c>
      <c r="B425" s="1" t="n">
        <v>45979.43388888889</v>
      </c>
      <c r="C425" s="1" t="n">
        <v>46000</v>
      </c>
      <c r="D425" t="inlineStr">
        <is>
          <t>DALARNAS LÄN</t>
        </is>
      </c>
      <c r="E425" t="inlineStr">
        <is>
          <t>MORA</t>
        </is>
      </c>
      <c r="G425" t="n">
        <v>7.5</v>
      </c>
      <c r="H425" t="n">
        <v>0</v>
      </c>
      <c r="I425" t="n">
        <v>0</v>
      </c>
      <c r="J425" t="n">
        <v>0</v>
      </c>
      <c r="K425" t="n">
        <v>0</v>
      </c>
      <c r="L425" t="n">
        <v>0</v>
      </c>
      <c r="M425" t="n">
        <v>0</v>
      </c>
      <c r="N425" t="n">
        <v>0</v>
      </c>
      <c r="O425" t="n">
        <v>0</v>
      </c>
      <c r="P425" t="n">
        <v>0</v>
      </c>
      <c r="Q425" t="n">
        <v>0</v>
      </c>
      <c r="R425" s="2" t="inlineStr"/>
    </row>
    <row r="426" ht="15" customHeight="1">
      <c r="A426" t="inlineStr">
        <is>
          <t>A 571-2024</t>
        </is>
      </c>
      <c r="B426" s="1" t="n">
        <v>45299</v>
      </c>
      <c r="C426" s="1" t="n">
        <v>46000</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47716-2025</t>
        </is>
      </c>
      <c r="B427" s="1" t="n">
        <v>45931</v>
      </c>
      <c r="C427" s="1" t="n">
        <v>46000</v>
      </c>
      <c r="D427" t="inlineStr">
        <is>
          <t>DALARNAS LÄN</t>
        </is>
      </c>
      <c r="E427" t="inlineStr">
        <is>
          <t>MORA</t>
        </is>
      </c>
      <c r="G427" t="n">
        <v>8.9</v>
      </c>
      <c r="H427" t="n">
        <v>0</v>
      </c>
      <c r="I427" t="n">
        <v>0</v>
      </c>
      <c r="J427" t="n">
        <v>0</v>
      </c>
      <c r="K427" t="n">
        <v>0</v>
      </c>
      <c r="L427" t="n">
        <v>0</v>
      </c>
      <c r="M427" t="n">
        <v>0</v>
      </c>
      <c r="N427" t="n">
        <v>0</v>
      </c>
      <c r="O427" t="n">
        <v>0</v>
      </c>
      <c r="P427" t="n">
        <v>0</v>
      </c>
      <c r="Q427" t="n">
        <v>0</v>
      </c>
      <c r="R427" s="2" t="inlineStr"/>
    </row>
    <row r="428" ht="15" customHeight="1">
      <c r="A428" t="inlineStr">
        <is>
          <t>A 20549-2025</t>
        </is>
      </c>
      <c r="B428" s="1" t="n">
        <v>45775.63459490741</v>
      </c>
      <c r="C428" s="1" t="n">
        <v>46000</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12478-2025</t>
        </is>
      </c>
      <c r="B429" s="1" t="n">
        <v>45730.57429398148</v>
      </c>
      <c r="C429" s="1" t="n">
        <v>46000</v>
      </c>
      <c r="D429" t="inlineStr">
        <is>
          <t>DALARNAS LÄN</t>
        </is>
      </c>
      <c r="E429" t="inlineStr">
        <is>
          <t>MORA</t>
        </is>
      </c>
      <c r="F429" t="inlineStr">
        <is>
          <t>Bergvik skog öst AB</t>
        </is>
      </c>
      <c r="G429" t="n">
        <v>1.6</v>
      </c>
      <c r="H429" t="n">
        <v>0</v>
      </c>
      <c r="I429" t="n">
        <v>0</v>
      </c>
      <c r="J429" t="n">
        <v>0</v>
      </c>
      <c r="K429" t="n">
        <v>0</v>
      </c>
      <c r="L429" t="n">
        <v>0</v>
      </c>
      <c r="M429" t="n">
        <v>0</v>
      </c>
      <c r="N429" t="n">
        <v>0</v>
      </c>
      <c r="O429" t="n">
        <v>0</v>
      </c>
      <c r="P429" t="n">
        <v>0</v>
      </c>
      <c r="Q429" t="n">
        <v>0</v>
      </c>
      <c r="R429" s="2" t="inlineStr"/>
    </row>
    <row r="430" ht="15" customHeight="1">
      <c r="A430" t="inlineStr">
        <is>
          <t>A 48927-2025</t>
        </is>
      </c>
      <c r="B430" s="1" t="n">
        <v>45931</v>
      </c>
      <c r="C430" s="1" t="n">
        <v>46000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48926-2025</t>
        </is>
      </c>
      <c r="B431" s="1" t="n">
        <v>45937.50666666667</v>
      </c>
      <c r="C431" s="1" t="n">
        <v>46000</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53743-2024</t>
        </is>
      </c>
      <c r="B432" s="1" t="n">
        <v>45615.47137731482</v>
      </c>
      <c r="C432" s="1" t="n">
        <v>46000</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48929-2025</t>
        </is>
      </c>
      <c r="B433" s="1" t="n">
        <v>45937.51315972222</v>
      </c>
      <c r="C433" s="1" t="n">
        <v>46000</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36846-2025</t>
        </is>
      </c>
      <c r="B434" s="1" t="n">
        <v>45874.38655092593</v>
      </c>
      <c r="C434" s="1" t="n">
        <v>46000</v>
      </c>
      <c r="D434" t="inlineStr">
        <is>
          <t>DALARNAS LÄN</t>
        </is>
      </c>
      <c r="E434" t="inlineStr">
        <is>
          <t>MORA</t>
        </is>
      </c>
      <c r="G434" t="n">
        <v>10.7</v>
      </c>
      <c r="H434" t="n">
        <v>0</v>
      </c>
      <c r="I434" t="n">
        <v>0</v>
      </c>
      <c r="J434" t="n">
        <v>0</v>
      </c>
      <c r="K434" t="n">
        <v>0</v>
      </c>
      <c r="L434" t="n">
        <v>0</v>
      </c>
      <c r="M434" t="n">
        <v>0</v>
      </c>
      <c r="N434" t="n">
        <v>0</v>
      </c>
      <c r="O434" t="n">
        <v>0</v>
      </c>
      <c r="P434" t="n">
        <v>0</v>
      </c>
      <c r="Q434" t="n">
        <v>0</v>
      </c>
      <c r="R434" s="2" t="inlineStr"/>
    </row>
    <row r="435" ht="15" customHeight="1">
      <c r="A435" t="inlineStr">
        <is>
          <t>A 22854-2023</t>
        </is>
      </c>
      <c r="B435" s="1" t="n">
        <v>45072</v>
      </c>
      <c r="C435" s="1" t="n">
        <v>46000</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49404-2025</t>
        </is>
      </c>
      <c r="B436" s="1" t="n">
        <v>45938.67662037037</v>
      </c>
      <c r="C436" s="1" t="n">
        <v>46000</v>
      </c>
      <c r="D436" t="inlineStr">
        <is>
          <t>DALARNAS LÄN</t>
        </is>
      </c>
      <c r="E436" t="inlineStr">
        <is>
          <t>MORA</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57855-2025</t>
        </is>
      </c>
      <c r="B437" s="1" t="n">
        <v>45981.63909722222</v>
      </c>
      <c r="C437" s="1" t="n">
        <v>46000</v>
      </c>
      <c r="D437" t="inlineStr">
        <is>
          <t>DALARNAS LÄN</t>
        </is>
      </c>
      <c r="E437" t="inlineStr">
        <is>
          <t>MORA</t>
        </is>
      </c>
      <c r="G437" t="n">
        <v>9.9</v>
      </c>
      <c r="H437" t="n">
        <v>0</v>
      </c>
      <c r="I437" t="n">
        <v>0</v>
      </c>
      <c r="J437" t="n">
        <v>0</v>
      </c>
      <c r="K437" t="n">
        <v>0</v>
      </c>
      <c r="L437" t="n">
        <v>0</v>
      </c>
      <c r="M437" t="n">
        <v>0</v>
      </c>
      <c r="N437" t="n">
        <v>0</v>
      </c>
      <c r="O437" t="n">
        <v>0</v>
      </c>
      <c r="P437" t="n">
        <v>0</v>
      </c>
      <c r="Q437" t="n">
        <v>0</v>
      </c>
      <c r="R437" s="2" t="inlineStr"/>
    </row>
    <row r="438" ht="15" customHeight="1">
      <c r="A438" t="inlineStr">
        <is>
          <t>A 37070-2025</t>
        </is>
      </c>
      <c r="B438" s="1" t="n">
        <v>45875.39822916667</v>
      </c>
      <c r="C438" s="1" t="n">
        <v>46000</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37268-2025</t>
        </is>
      </c>
      <c r="B439" s="1" t="n">
        <v>45876.46681712963</v>
      </c>
      <c r="C439" s="1" t="n">
        <v>46000</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18806-2025</t>
        </is>
      </c>
      <c r="B440" s="1" t="n">
        <v>45764.35269675926</v>
      </c>
      <c r="C440" s="1" t="n">
        <v>46000</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49401-2025</t>
        </is>
      </c>
      <c r="B441" s="1" t="n">
        <v>45938.66932870371</v>
      </c>
      <c r="C441" s="1" t="n">
        <v>46000</v>
      </c>
      <c r="D441" t="inlineStr">
        <is>
          <t>DALARNAS LÄN</t>
        </is>
      </c>
      <c r="E441" t="inlineStr">
        <is>
          <t>MORA</t>
        </is>
      </c>
      <c r="F441" t="inlineStr">
        <is>
          <t>Bergvik skog väst AB</t>
        </is>
      </c>
      <c r="G441" t="n">
        <v>0.6</v>
      </c>
      <c r="H441" t="n">
        <v>0</v>
      </c>
      <c r="I441" t="n">
        <v>0</v>
      </c>
      <c r="J441" t="n">
        <v>0</v>
      </c>
      <c r="K441" t="n">
        <v>0</v>
      </c>
      <c r="L441" t="n">
        <v>0</v>
      </c>
      <c r="M441" t="n">
        <v>0</v>
      </c>
      <c r="N441" t="n">
        <v>0</v>
      </c>
      <c r="O441" t="n">
        <v>0</v>
      </c>
      <c r="P441" t="n">
        <v>0</v>
      </c>
      <c r="Q441" t="n">
        <v>0</v>
      </c>
      <c r="R441" s="2" t="inlineStr"/>
    </row>
    <row r="442" ht="15" customHeight="1">
      <c r="A442" t="inlineStr">
        <is>
          <t>A 54628-2024</t>
        </is>
      </c>
      <c r="B442" s="1" t="n">
        <v>45617.83969907407</v>
      </c>
      <c r="C442" s="1" t="n">
        <v>46000</v>
      </c>
      <c r="D442" t="inlineStr">
        <is>
          <t>DALARNAS LÄN</t>
        </is>
      </c>
      <c r="E442" t="inlineStr">
        <is>
          <t>MORA</t>
        </is>
      </c>
      <c r="G442" t="n">
        <v>1.1</v>
      </c>
      <c r="H442" t="n">
        <v>0</v>
      </c>
      <c r="I442" t="n">
        <v>0</v>
      </c>
      <c r="J442" t="n">
        <v>0</v>
      </c>
      <c r="K442" t="n">
        <v>0</v>
      </c>
      <c r="L442" t="n">
        <v>0</v>
      </c>
      <c r="M442" t="n">
        <v>0</v>
      </c>
      <c r="N442" t="n">
        <v>0</v>
      </c>
      <c r="O442" t="n">
        <v>0</v>
      </c>
      <c r="P442" t="n">
        <v>0</v>
      </c>
      <c r="Q442" t="n">
        <v>0</v>
      </c>
      <c r="R442" s="2" t="inlineStr"/>
    </row>
    <row r="443" ht="15" customHeight="1">
      <c r="A443" t="inlineStr">
        <is>
          <t>A 57843-2025</t>
        </is>
      </c>
      <c r="B443" s="1" t="n">
        <v>45981.62792824074</v>
      </c>
      <c r="C443" s="1" t="n">
        <v>46000</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57453-2025</t>
        </is>
      </c>
      <c r="B444" s="1" t="n">
        <v>45980.5122337963</v>
      </c>
      <c r="C444" s="1" t="n">
        <v>46000</v>
      </c>
      <c r="D444" t="inlineStr">
        <is>
          <t>DALARNAS LÄN</t>
        </is>
      </c>
      <c r="E444" t="inlineStr">
        <is>
          <t>MORA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49574-2025</t>
        </is>
      </c>
      <c r="B445" s="1" t="n">
        <v>45939.49045138889</v>
      </c>
      <c r="C445" s="1" t="n">
        <v>46000</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59448-2022</t>
        </is>
      </c>
      <c r="B446" s="1" t="n">
        <v>44907</v>
      </c>
      <c r="C446" s="1" t="n">
        <v>46000</v>
      </c>
      <c r="D446" t="inlineStr">
        <is>
          <t>DALARNAS LÄN</t>
        </is>
      </c>
      <c r="E446" t="inlineStr">
        <is>
          <t>MORA</t>
        </is>
      </c>
      <c r="G446" t="n">
        <v>35.7</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46000</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57647-2025</t>
        </is>
      </c>
      <c r="B448" s="1" t="n">
        <v>45981.37621527778</v>
      </c>
      <c r="C448" s="1" t="n">
        <v>46000</v>
      </c>
      <c r="D448" t="inlineStr">
        <is>
          <t>DALARNAS LÄN</t>
        </is>
      </c>
      <c r="E448" t="inlineStr">
        <is>
          <t>MORA</t>
        </is>
      </c>
      <c r="G448" t="n">
        <v>3.9</v>
      </c>
      <c r="H448" t="n">
        <v>0</v>
      </c>
      <c r="I448" t="n">
        <v>0</v>
      </c>
      <c r="J448" t="n">
        <v>0</v>
      </c>
      <c r="K448" t="n">
        <v>0</v>
      </c>
      <c r="L448" t="n">
        <v>0</v>
      </c>
      <c r="M448" t="n">
        <v>0</v>
      </c>
      <c r="N448" t="n">
        <v>0</v>
      </c>
      <c r="O448" t="n">
        <v>0</v>
      </c>
      <c r="P448" t="n">
        <v>0</v>
      </c>
      <c r="Q448" t="n">
        <v>0</v>
      </c>
      <c r="R448" s="2" t="inlineStr"/>
    </row>
    <row r="449" ht="15" customHeight="1">
      <c r="A449" t="inlineStr">
        <is>
          <t>A 57659-2025</t>
        </is>
      </c>
      <c r="B449" s="1" t="n">
        <v>45981.41228009259</v>
      </c>
      <c r="C449" s="1" t="n">
        <v>46000</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37879-2025</t>
        </is>
      </c>
      <c r="B450" s="1" t="n">
        <v>45881.48791666667</v>
      </c>
      <c r="C450" s="1" t="n">
        <v>46000</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38086-2025</t>
        </is>
      </c>
      <c r="B451" s="1" t="n">
        <v>45882.47625</v>
      </c>
      <c r="C451" s="1" t="n">
        <v>46000</v>
      </c>
      <c r="D451" t="inlineStr">
        <is>
          <t>DALARNAS LÄN</t>
        </is>
      </c>
      <c r="E451" t="inlineStr">
        <is>
          <t>MORA</t>
        </is>
      </c>
      <c r="G451" t="n">
        <v>2.4</v>
      </c>
      <c r="H451" t="n">
        <v>0</v>
      </c>
      <c r="I451" t="n">
        <v>0</v>
      </c>
      <c r="J451" t="n">
        <v>0</v>
      </c>
      <c r="K451" t="n">
        <v>0</v>
      </c>
      <c r="L451" t="n">
        <v>0</v>
      </c>
      <c r="M451" t="n">
        <v>0</v>
      </c>
      <c r="N451" t="n">
        <v>0</v>
      </c>
      <c r="O451" t="n">
        <v>0</v>
      </c>
      <c r="P451" t="n">
        <v>0</v>
      </c>
      <c r="Q451" t="n">
        <v>0</v>
      </c>
      <c r="R451" s="2" t="inlineStr"/>
    </row>
    <row r="452" ht="15" customHeight="1">
      <c r="A452" t="inlineStr">
        <is>
          <t>A 43498-2023</t>
        </is>
      </c>
      <c r="B452" s="1" t="n">
        <v>45184</v>
      </c>
      <c r="C452" s="1" t="n">
        <v>46000</v>
      </c>
      <c r="D452" t="inlineStr">
        <is>
          <t>DALARNAS LÄN</t>
        </is>
      </c>
      <c r="E452" t="inlineStr">
        <is>
          <t>MORA</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53527-2024</t>
        </is>
      </c>
      <c r="B453" s="1" t="n">
        <v>45614.61569444444</v>
      </c>
      <c r="C453" s="1" t="n">
        <v>46000</v>
      </c>
      <c r="D453" t="inlineStr">
        <is>
          <t>DALARNAS LÄN</t>
        </is>
      </c>
      <c r="E453" t="inlineStr">
        <is>
          <t>MORA</t>
        </is>
      </c>
      <c r="G453" t="n">
        <v>3.3</v>
      </c>
      <c r="H453" t="n">
        <v>0</v>
      </c>
      <c r="I453" t="n">
        <v>0</v>
      </c>
      <c r="J453" t="n">
        <v>0</v>
      </c>
      <c r="K453" t="n">
        <v>0</v>
      </c>
      <c r="L453" t="n">
        <v>0</v>
      </c>
      <c r="M453" t="n">
        <v>0</v>
      </c>
      <c r="N453" t="n">
        <v>0</v>
      </c>
      <c r="O453" t="n">
        <v>0</v>
      </c>
      <c r="P453" t="n">
        <v>0</v>
      </c>
      <c r="Q453" t="n">
        <v>0</v>
      </c>
      <c r="R453" s="2" t="inlineStr"/>
    </row>
    <row r="454" ht="15" customHeight="1">
      <c r="A454" t="inlineStr">
        <is>
          <t>A 32261-2022</t>
        </is>
      </c>
      <c r="B454" s="1" t="n">
        <v>44781.5350925926</v>
      </c>
      <c r="C454" s="1" t="n">
        <v>46000</v>
      </c>
      <c r="D454" t="inlineStr">
        <is>
          <t>DALARNAS LÄN</t>
        </is>
      </c>
      <c r="E454" t="inlineStr">
        <is>
          <t>MORA</t>
        </is>
      </c>
      <c r="G454" t="n">
        <v>2.7</v>
      </c>
      <c r="H454" t="n">
        <v>0</v>
      </c>
      <c r="I454" t="n">
        <v>0</v>
      </c>
      <c r="J454" t="n">
        <v>0</v>
      </c>
      <c r="K454" t="n">
        <v>0</v>
      </c>
      <c r="L454" t="n">
        <v>0</v>
      </c>
      <c r="M454" t="n">
        <v>0</v>
      </c>
      <c r="N454" t="n">
        <v>0</v>
      </c>
      <c r="O454" t="n">
        <v>0</v>
      </c>
      <c r="P454" t="n">
        <v>0</v>
      </c>
      <c r="Q454" t="n">
        <v>0</v>
      </c>
      <c r="R454" s="2" t="inlineStr"/>
    </row>
    <row r="455" ht="15" customHeight="1">
      <c r="A455" t="inlineStr">
        <is>
          <t>A 35381-2024</t>
        </is>
      </c>
      <c r="B455" s="1" t="n">
        <v>45531.38372685185</v>
      </c>
      <c r="C455" s="1" t="n">
        <v>46000</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13479-2024</t>
        </is>
      </c>
      <c r="B456" s="1" t="n">
        <v>45387.5900925926</v>
      </c>
      <c r="C456" s="1" t="n">
        <v>46000</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38073-2025</t>
        </is>
      </c>
      <c r="B457" s="1" t="n">
        <v>45882</v>
      </c>
      <c r="C457" s="1" t="n">
        <v>46000</v>
      </c>
      <c r="D457" t="inlineStr">
        <is>
          <t>DALARNAS LÄN</t>
        </is>
      </c>
      <c r="E457" t="inlineStr">
        <is>
          <t>MORA</t>
        </is>
      </c>
      <c r="G457" t="n">
        <v>2.5</v>
      </c>
      <c r="H457" t="n">
        <v>0</v>
      </c>
      <c r="I457" t="n">
        <v>0</v>
      </c>
      <c r="J457" t="n">
        <v>0</v>
      </c>
      <c r="K457" t="n">
        <v>0</v>
      </c>
      <c r="L457" t="n">
        <v>0</v>
      </c>
      <c r="M457" t="n">
        <v>0</v>
      </c>
      <c r="N457" t="n">
        <v>0</v>
      </c>
      <c r="O457" t="n">
        <v>0</v>
      </c>
      <c r="P457" t="n">
        <v>0</v>
      </c>
      <c r="Q457" t="n">
        <v>0</v>
      </c>
      <c r="R457" s="2" t="inlineStr"/>
    </row>
    <row r="458" ht="15" customHeight="1">
      <c r="A458" t="inlineStr">
        <is>
          <t>A 49828-2025</t>
        </is>
      </c>
      <c r="B458" s="1" t="n">
        <v>45940.44993055556</v>
      </c>
      <c r="C458" s="1" t="n">
        <v>46000</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16967-2025</t>
        </is>
      </c>
      <c r="B459" s="1" t="n">
        <v>45755.46106481482</v>
      </c>
      <c r="C459" s="1" t="n">
        <v>46000</v>
      </c>
      <c r="D459" t="inlineStr">
        <is>
          <t>DALARNAS LÄN</t>
        </is>
      </c>
      <c r="E459" t="inlineStr">
        <is>
          <t>MORA</t>
        </is>
      </c>
      <c r="F459" t="inlineStr">
        <is>
          <t>Bergvik skog öst AB</t>
        </is>
      </c>
      <c r="G459" t="n">
        <v>2.9</v>
      </c>
      <c r="H459" t="n">
        <v>0</v>
      </c>
      <c r="I459" t="n">
        <v>0</v>
      </c>
      <c r="J459" t="n">
        <v>0</v>
      </c>
      <c r="K459" t="n">
        <v>0</v>
      </c>
      <c r="L459" t="n">
        <v>0</v>
      </c>
      <c r="M459" t="n">
        <v>0</v>
      </c>
      <c r="N459" t="n">
        <v>0</v>
      </c>
      <c r="O459" t="n">
        <v>0</v>
      </c>
      <c r="P459" t="n">
        <v>0</v>
      </c>
      <c r="Q459" t="n">
        <v>0</v>
      </c>
      <c r="R459" s="2" t="inlineStr"/>
    </row>
    <row r="460" ht="15" customHeight="1">
      <c r="A460" t="inlineStr">
        <is>
          <t>A 61278-2024</t>
        </is>
      </c>
      <c r="B460" s="1" t="n">
        <v>45645.76561342592</v>
      </c>
      <c r="C460" s="1" t="n">
        <v>46000</v>
      </c>
      <c r="D460" t="inlineStr">
        <is>
          <t>DALARNAS LÄN</t>
        </is>
      </c>
      <c r="E460" t="inlineStr">
        <is>
          <t>MORA</t>
        </is>
      </c>
      <c r="G460" t="n">
        <v>1.1</v>
      </c>
      <c r="H460" t="n">
        <v>0</v>
      </c>
      <c r="I460" t="n">
        <v>0</v>
      </c>
      <c r="J460" t="n">
        <v>0</v>
      </c>
      <c r="K460" t="n">
        <v>0</v>
      </c>
      <c r="L460" t="n">
        <v>0</v>
      </c>
      <c r="M460" t="n">
        <v>0</v>
      </c>
      <c r="N460" t="n">
        <v>0</v>
      </c>
      <c r="O460" t="n">
        <v>0</v>
      </c>
      <c r="P460" t="n">
        <v>0</v>
      </c>
      <c r="Q460" t="n">
        <v>0</v>
      </c>
      <c r="R460" s="2" t="inlineStr"/>
    </row>
    <row r="461" ht="15" customHeight="1">
      <c r="A461" t="inlineStr">
        <is>
          <t>A 58473-2025</t>
        </is>
      </c>
      <c r="B461" s="1" t="n">
        <v>45985.63859953704</v>
      </c>
      <c r="C461" s="1" t="n">
        <v>46000</v>
      </c>
      <c r="D461" t="inlineStr">
        <is>
          <t>DALARNAS LÄN</t>
        </is>
      </c>
      <c r="E461" t="inlineStr">
        <is>
          <t>MORA</t>
        </is>
      </c>
      <c r="G461" t="n">
        <v>2.3</v>
      </c>
      <c r="H461" t="n">
        <v>0</v>
      </c>
      <c r="I461" t="n">
        <v>0</v>
      </c>
      <c r="J461" t="n">
        <v>0</v>
      </c>
      <c r="K461" t="n">
        <v>0</v>
      </c>
      <c r="L461" t="n">
        <v>0</v>
      </c>
      <c r="M461" t="n">
        <v>0</v>
      </c>
      <c r="N461" t="n">
        <v>0</v>
      </c>
      <c r="O461" t="n">
        <v>0</v>
      </c>
      <c r="P461" t="n">
        <v>0</v>
      </c>
      <c r="Q461" t="n">
        <v>0</v>
      </c>
      <c r="R461" s="2" t="inlineStr"/>
    </row>
    <row r="462" ht="15" customHeight="1">
      <c r="A462" t="inlineStr">
        <is>
          <t>A 58169-2025</t>
        </is>
      </c>
      <c r="B462" s="1" t="n">
        <v>45982.72690972222</v>
      </c>
      <c r="C462" s="1" t="n">
        <v>46000</v>
      </c>
      <c r="D462" t="inlineStr">
        <is>
          <t>DALARNAS LÄN</t>
        </is>
      </c>
      <c r="E462" t="inlineStr">
        <is>
          <t>MORA</t>
        </is>
      </c>
      <c r="F462" t="inlineStr">
        <is>
          <t>Bergvik skog väst AB</t>
        </is>
      </c>
      <c r="G462" t="n">
        <v>7.7</v>
      </c>
      <c r="H462" t="n">
        <v>0</v>
      </c>
      <c r="I462" t="n">
        <v>0</v>
      </c>
      <c r="J462" t="n">
        <v>0</v>
      </c>
      <c r="K462" t="n">
        <v>0</v>
      </c>
      <c r="L462" t="n">
        <v>0</v>
      </c>
      <c r="M462" t="n">
        <v>0</v>
      </c>
      <c r="N462" t="n">
        <v>0</v>
      </c>
      <c r="O462" t="n">
        <v>0</v>
      </c>
      <c r="P462" t="n">
        <v>0</v>
      </c>
      <c r="Q462" t="n">
        <v>0</v>
      </c>
      <c r="R462" s="2" t="inlineStr"/>
    </row>
    <row r="463" ht="15" customHeight="1">
      <c r="A463" t="inlineStr">
        <is>
          <t>A 58001-2025</t>
        </is>
      </c>
      <c r="B463" s="1" t="n">
        <v>45982.43615740741</v>
      </c>
      <c r="C463" s="1" t="n">
        <v>46000</v>
      </c>
      <c r="D463" t="inlineStr">
        <is>
          <t>DALARNAS LÄN</t>
        </is>
      </c>
      <c r="E463" t="inlineStr">
        <is>
          <t>MORA</t>
        </is>
      </c>
      <c r="G463" t="n">
        <v>3.2</v>
      </c>
      <c r="H463" t="n">
        <v>0</v>
      </c>
      <c r="I463" t="n">
        <v>0</v>
      </c>
      <c r="J463" t="n">
        <v>0</v>
      </c>
      <c r="K463" t="n">
        <v>0</v>
      </c>
      <c r="L463" t="n">
        <v>0</v>
      </c>
      <c r="M463" t="n">
        <v>0</v>
      </c>
      <c r="N463" t="n">
        <v>0</v>
      </c>
      <c r="O463" t="n">
        <v>0</v>
      </c>
      <c r="P463" t="n">
        <v>0</v>
      </c>
      <c r="Q463" t="n">
        <v>0</v>
      </c>
      <c r="R463" s="2" t="inlineStr"/>
    </row>
    <row r="464" ht="15" customHeight="1">
      <c r="A464" t="inlineStr">
        <is>
          <t>A 57976-2025</t>
        </is>
      </c>
      <c r="B464" s="1" t="n">
        <v>45982.39435185185</v>
      </c>
      <c r="C464" s="1" t="n">
        <v>46000</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20299-2023</t>
        </is>
      </c>
      <c r="B465" s="1" t="n">
        <v>45056</v>
      </c>
      <c r="C465" s="1" t="n">
        <v>46000</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58478-2025</t>
        </is>
      </c>
      <c r="B466" s="1" t="n">
        <v>45985.64645833334</v>
      </c>
      <c r="C466" s="1" t="n">
        <v>46000</v>
      </c>
      <c r="D466" t="inlineStr">
        <is>
          <t>DALARNAS LÄN</t>
        </is>
      </c>
      <c r="E466" t="inlineStr">
        <is>
          <t>MORA</t>
        </is>
      </c>
      <c r="G466" t="n">
        <v>6</v>
      </c>
      <c r="H466" t="n">
        <v>0</v>
      </c>
      <c r="I466" t="n">
        <v>0</v>
      </c>
      <c r="J466" t="n">
        <v>0</v>
      </c>
      <c r="K466" t="n">
        <v>0</v>
      </c>
      <c r="L466" t="n">
        <v>0</v>
      </c>
      <c r="M466" t="n">
        <v>0</v>
      </c>
      <c r="N466" t="n">
        <v>0</v>
      </c>
      <c r="O466" t="n">
        <v>0</v>
      </c>
      <c r="P466" t="n">
        <v>0</v>
      </c>
      <c r="Q466" t="n">
        <v>0</v>
      </c>
      <c r="R466" s="2" t="inlineStr"/>
    </row>
    <row r="467" ht="15" customHeight="1">
      <c r="A467" t="inlineStr">
        <is>
          <t>A 28487-2024</t>
        </is>
      </c>
      <c r="B467" s="1" t="n">
        <v>45477.75744212963</v>
      </c>
      <c r="C467" s="1" t="n">
        <v>46000</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23586-2023</t>
        </is>
      </c>
      <c r="B468" s="1" t="n">
        <v>45077</v>
      </c>
      <c r="C468" s="1" t="n">
        <v>46000</v>
      </c>
      <c r="D468" t="inlineStr">
        <is>
          <t>DALARNAS LÄN</t>
        </is>
      </c>
      <c r="E468" t="inlineStr">
        <is>
          <t>MORA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47686-2025</t>
        </is>
      </c>
      <c r="B469" s="1" t="n">
        <v>45931</v>
      </c>
      <c r="C469" s="1" t="n">
        <v>46000</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58972-2023</t>
        </is>
      </c>
      <c r="B470" s="1" t="n">
        <v>45252</v>
      </c>
      <c r="C470" s="1" t="n">
        <v>46000</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46188-2022</t>
        </is>
      </c>
      <c r="B471" s="1" t="n">
        <v>44847.518125</v>
      </c>
      <c r="C471" s="1" t="n">
        <v>46000</v>
      </c>
      <c r="D471" t="inlineStr">
        <is>
          <t>DALARNAS LÄN</t>
        </is>
      </c>
      <c r="E471" t="inlineStr">
        <is>
          <t>MORA</t>
        </is>
      </c>
      <c r="G471" t="n">
        <v>1.8</v>
      </c>
      <c r="H471" t="n">
        <v>0</v>
      </c>
      <c r="I471" t="n">
        <v>0</v>
      </c>
      <c r="J471" t="n">
        <v>0</v>
      </c>
      <c r="K471" t="n">
        <v>0</v>
      </c>
      <c r="L471" t="n">
        <v>0</v>
      </c>
      <c r="M471" t="n">
        <v>0</v>
      </c>
      <c r="N471" t="n">
        <v>0</v>
      </c>
      <c r="O471" t="n">
        <v>0</v>
      </c>
      <c r="P471" t="n">
        <v>0</v>
      </c>
      <c r="Q471" t="n">
        <v>0</v>
      </c>
      <c r="R471" s="2" t="inlineStr"/>
    </row>
    <row r="472" ht="15" customHeight="1">
      <c r="A472" t="inlineStr">
        <is>
          <t>A 42035-2022</t>
        </is>
      </c>
      <c r="B472" s="1" t="n">
        <v>44830</v>
      </c>
      <c r="C472" s="1" t="n">
        <v>46000</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15817-2024</t>
        </is>
      </c>
      <c r="B473" s="1" t="n">
        <v>45404.67387731482</v>
      </c>
      <c r="C473" s="1" t="n">
        <v>46000</v>
      </c>
      <c r="D473" t="inlineStr">
        <is>
          <t>DALARNAS LÄN</t>
        </is>
      </c>
      <c r="E473" t="inlineStr">
        <is>
          <t>MORA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59094-2025</t>
        </is>
      </c>
      <c r="B474" s="1" t="n">
        <v>45988.45105324074</v>
      </c>
      <c r="C474" s="1" t="n">
        <v>46000</v>
      </c>
      <c r="D474" t="inlineStr">
        <is>
          <t>DALARNAS LÄN</t>
        </is>
      </c>
      <c r="E474" t="inlineStr">
        <is>
          <t>MORA</t>
        </is>
      </c>
      <c r="G474" t="n">
        <v>10</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44900.65716435185</v>
      </c>
      <c r="C475" s="1" t="n">
        <v>46000</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18992-2024</t>
        </is>
      </c>
      <c r="B476" s="1" t="n">
        <v>45427.61516203704</v>
      </c>
      <c r="C476" s="1" t="n">
        <v>46000</v>
      </c>
      <c r="D476" t="inlineStr">
        <is>
          <t>DALARNAS LÄN</t>
        </is>
      </c>
      <c r="E476" t="inlineStr">
        <is>
          <t>MORA</t>
        </is>
      </c>
      <c r="G476" t="n">
        <v>9.9</v>
      </c>
      <c r="H476" t="n">
        <v>0</v>
      </c>
      <c r="I476" t="n">
        <v>0</v>
      </c>
      <c r="J476" t="n">
        <v>0</v>
      </c>
      <c r="K476" t="n">
        <v>0</v>
      </c>
      <c r="L476" t="n">
        <v>0</v>
      </c>
      <c r="M476" t="n">
        <v>0</v>
      </c>
      <c r="N476" t="n">
        <v>0</v>
      </c>
      <c r="O476" t="n">
        <v>0</v>
      </c>
      <c r="P476" t="n">
        <v>0</v>
      </c>
      <c r="Q476" t="n">
        <v>0</v>
      </c>
      <c r="R476" s="2" t="inlineStr"/>
    </row>
    <row r="477" ht="15" customHeight="1">
      <c r="A477" t="inlineStr">
        <is>
          <t>A 51771-2025</t>
        </is>
      </c>
      <c r="B477" s="1" t="n">
        <v>45951.64653935185</v>
      </c>
      <c r="C477" s="1" t="n">
        <v>46000</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60647-2022</t>
        </is>
      </c>
      <c r="B478" s="1" t="n">
        <v>44911</v>
      </c>
      <c r="C478" s="1" t="n">
        <v>46000</v>
      </c>
      <c r="D478" t="inlineStr">
        <is>
          <t>DALARNAS LÄN</t>
        </is>
      </c>
      <c r="E478" t="inlineStr">
        <is>
          <t>MORA</t>
        </is>
      </c>
      <c r="G478" t="n">
        <v>4.8</v>
      </c>
      <c r="H478" t="n">
        <v>0</v>
      </c>
      <c r="I478" t="n">
        <v>0</v>
      </c>
      <c r="J478" t="n">
        <v>0</v>
      </c>
      <c r="K478" t="n">
        <v>0</v>
      </c>
      <c r="L478" t="n">
        <v>0</v>
      </c>
      <c r="M478" t="n">
        <v>0</v>
      </c>
      <c r="N478" t="n">
        <v>0</v>
      </c>
      <c r="O478" t="n">
        <v>0</v>
      </c>
      <c r="P478" t="n">
        <v>0</v>
      </c>
      <c r="Q478" t="n">
        <v>0</v>
      </c>
      <c r="R478" s="2" t="inlineStr"/>
    </row>
    <row r="479" ht="15" customHeight="1">
      <c r="A479" t="inlineStr">
        <is>
          <t>A 59768-2025</t>
        </is>
      </c>
      <c r="B479" s="1" t="n">
        <v>45992</v>
      </c>
      <c r="C479" s="1" t="n">
        <v>46000</v>
      </c>
      <c r="D479" t="inlineStr">
        <is>
          <t>DALARNAS LÄN</t>
        </is>
      </c>
      <c r="E479" t="inlineStr">
        <is>
          <t>MORA</t>
        </is>
      </c>
      <c r="G479" t="n">
        <v>4</v>
      </c>
      <c r="H479" t="n">
        <v>0</v>
      </c>
      <c r="I479" t="n">
        <v>0</v>
      </c>
      <c r="J479" t="n">
        <v>0</v>
      </c>
      <c r="K479" t="n">
        <v>0</v>
      </c>
      <c r="L479" t="n">
        <v>0</v>
      </c>
      <c r="M479" t="n">
        <v>0</v>
      </c>
      <c r="N479" t="n">
        <v>0</v>
      </c>
      <c r="O479" t="n">
        <v>0</v>
      </c>
      <c r="P479" t="n">
        <v>0</v>
      </c>
      <c r="Q479" t="n">
        <v>0</v>
      </c>
      <c r="R479" s="2" t="inlineStr"/>
    </row>
    <row r="480" ht="15" customHeight="1">
      <c r="A480" t="inlineStr">
        <is>
          <t>A 59805-2025</t>
        </is>
      </c>
      <c r="B480" s="1" t="n">
        <v>45992.62635416666</v>
      </c>
      <c r="C480" s="1" t="n">
        <v>46000</v>
      </c>
      <c r="D480" t="inlineStr">
        <is>
          <t>DALARNAS LÄN</t>
        </is>
      </c>
      <c r="E480" t="inlineStr">
        <is>
          <t>MORA</t>
        </is>
      </c>
      <c r="G480" t="n">
        <v>4.2</v>
      </c>
      <c r="H480" t="n">
        <v>0</v>
      </c>
      <c r="I480" t="n">
        <v>0</v>
      </c>
      <c r="J480" t="n">
        <v>0</v>
      </c>
      <c r="K480" t="n">
        <v>0</v>
      </c>
      <c r="L480" t="n">
        <v>0</v>
      </c>
      <c r="M480" t="n">
        <v>0</v>
      </c>
      <c r="N480" t="n">
        <v>0</v>
      </c>
      <c r="O480" t="n">
        <v>0</v>
      </c>
      <c r="P480" t="n">
        <v>0</v>
      </c>
      <c r="Q480" t="n">
        <v>0</v>
      </c>
      <c r="R480" s="2" t="inlineStr"/>
    </row>
    <row r="481" ht="15" customHeight="1">
      <c r="A481" t="inlineStr">
        <is>
          <t>A 59669-2025</t>
        </is>
      </c>
      <c r="B481" s="1" t="n">
        <v>45992.45640046296</v>
      </c>
      <c r="C481" s="1" t="n">
        <v>46000</v>
      </c>
      <c r="D481" t="inlineStr">
        <is>
          <t>DALARNAS LÄN</t>
        </is>
      </c>
      <c r="E481" t="inlineStr">
        <is>
          <t>MORA</t>
        </is>
      </c>
      <c r="G481" t="n">
        <v>0.6</v>
      </c>
      <c r="H481" t="n">
        <v>0</v>
      </c>
      <c r="I481" t="n">
        <v>0</v>
      </c>
      <c r="J481" t="n">
        <v>0</v>
      </c>
      <c r="K481" t="n">
        <v>0</v>
      </c>
      <c r="L481" t="n">
        <v>0</v>
      </c>
      <c r="M481" t="n">
        <v>0</v>
      </c>
      <c r="N481" t="n">
        <v>0</v>
      </c>
      <c r="O481" t="n">
        <v>0</v>
      </c>
      <c r="P481" t="n">
        <v>0</v>
      </c>
      <c r="Q481" t="n">
        <v>0</v>
      </c>
      <c r="R481" s="2" t="inlineStr"/>
    </row>
    <row r="482" ht="15" customHeight="1">
      <c r="A482" t="inlineStr">
        <is>
          <t>A 56460-2022</t>
        </is>
      </c>
      <c r="B482" s="1" t="n">
        <v>44893</v>
      </c>
      <c r="C482" s="1" t="n">
        <v>46000</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437-2024</t>
        </is>
      </c>
      <c r="B483" s="1" t="n">
        <v>45296</v>
      </c>
      <c r="C483" s="1" t="n">
        <v>46000</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31395-2024</t>
        </is>
      </c>
      <c r="B484" s="1" t="n">
        <v>45505.47716435185</v>
      </c>
      <c r="C484" s="1" t="n">
        <v>46000</v>
      </c>
      <c r="D484" t="inlineStr">
        <is>
          <t>DALARNAS LÄN</t>
        </is>
      </c>
      <c r="E484" t="inlineStr">
        <is>
          <t>MORA</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60847-2021</t>
        </is>
      </c>
      <c r="B485" s="1" t="n">
        <v>44497</v>
      </c>
      <c r="C485" s="1" t="n">
        <v>46000</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15435-2024</t>
        </is>
      </c>
      <c r="B486" s="1" t="n">
        <v>45401.40806712963</v>
      </c>
      <c r="C486" s="1" t="n">
        <v>46000</v>
      </c>
      <c r="D486" t="inlineStr">
        <is>
          <t>DALARNAS LÄN</t>
        </is>
      </c>
      <c r="E486" t="inlineStr">
        <is>
          <t>MORA</t>
        </is>
      </c>
      <c r="G486" t="n">
        <v>2.1</v>
      </c>
      <c r="H486" t="n">
        <v>0</v>
      </c>
      <c r="I486" t="n">
        <v>0</v>
      </c>
      <c r="J486" t="n">
        <v>0</v>
      </c>
      <c r="K486" t="n">
        <v>0</v>
      </c>
      <c r="L486" t="n">
        <v>0</v>
      </c>
      <c r="M486" t="n">
        <v>0</v>
      </c>
      <c r="N486" t="n">
        <v>0</v>
      </c>
      <c r="O486" t="n">
        <v>0</v>
      </c>
      <c r="P486" t="n">
        <v>0</v>
      </c>
      <c r="Q486" t="n">
        <v>0</v>
      </c>
      <c r="R486" s="2" t="inlineStr"/>
    </row>
    <row r="487" ht="15" customHeight="1">
      <c r="A487" t="inlineStr">
        <is>
          <t>A 52110-2025</t>
        </is>
      </c>
      <c r="B487" s="1" t="n">
        <v>45952.69306712963</v>
      </c>
      <c r="C487" s="1" t="n">
        <v>46000</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31085-2024</t>
        </is>
      </c>
      <c r="B488" s="1" t="n">
        <v>45502.48047453703</v>
      </c>
      <c r="C488" s="1" t="n">
        <v>46000</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43863-2023</t>
        </is>
      </c>
      <c r="B489" s="1" t="n">
        <v>45187.62532407408</v>
      </c>
      <c r="C489" s="1" t="n">
        <v>46000</v>
      </c>
      <c r="D489" t="inlineStr">
        <is>
          <t>DALARNAS LÄN</t>
        </is>
      </c>
      <c r="E489" t="inlineStr">
        <is>
          <t>MORA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60051-2022</t>
        </is>
      </c>
      <c r="B490" s="1" t="n">
        <v>44909.52385416667</v>
      </c>
      <c r="C490" s="1" t="n">
        <v>46000</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13262-2022</t>
        </is>
      </c>
      <c r="B491" s="1" t="n">
        <v>44644.70184027778</v>
      </c>
      <c r="C491" s="1" t="n">
        <v>46000</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56767-2023</t>
        </is>
      </c>
      <c r="B492" s="1" t="n">
        <v>45244</v>
      </c>
      <c r="C492" s="1" t="n">
        <v>46000</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50056-2022</t>
        </is>
      </c>
      <c r="B493" s="1" t="n">
        <v>44865</v>
      </c>
      <c r="C493" s="1" t="n">
        <v>46000</v>
      </c>
      <c r="D493" t="inlineStr">
        <is>
          <t>DALARNAS LÄN</t>
        </is>
      </c>
      <c r="E493" t="inlineStr">
        <is>
          <t>MORA</t>
        </is>
      </c>
      <c r="G493" t="n">
        <v>1.2</v>
      </c>
      <c r="H493" t="n">
        <v>0</v>
      </c>
      <c r="I493" t="n">
        <v>0</v>
      </c>
      <c r="J493" t="n">
        <v>0</v>
      </c>
      <c r="K493" t="n">
        <v>0</v>
      </c>
      <c r="L493" t="n">
        <v>0</v>
      </c>
      <c r="M493" t="n">
        <v>0</v>
      </c>
      <c r="N493" t="n">
        <v>0</v>
      </c>
      <c r="O493" t="n">
        <v>0</v>
      </c>
      <c r="P493" t="n">
        <v>0</v>
      </c>
      <c r="Q493" t="n">
        <v>0</v>
      </c>
      <c r="R493" s="2" t="inlineStr"/>
    </row>
    <row r="494" ht="15" customHeight="1">
      <c r="A494" t="inlineStr">
        <is>
          <t>A 15499-2024</t>
        </is>
      </c>
      <c r="B494" s="1" t="n">
        <v>45401.53798611111</v>
      </c>
      <c r="C494" s="1" t="n">
        <v>46000</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68415-2021</t>
        </is>
      </c>
      <c r="B495" s="1" t="n">
        <v>44529</v>
      </c>
      <c r="C495" s="1" t="n">
        <v>46000</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15643-2025</t>
        </is>
      </c>
      <c r="B496" s="1" t="n">
        <v>45748.39222222222</v>
      </c>
      <c r="C496" s="1" t="n">
        <v>46000</v>
      </c>
      <c r="D496" t="inlineStr">
        <is>
          <t>DALARNAS LÄN</t>
        </is>
      </c>
      <c r="E496" t="inlineStr">
        <is>
          <t>MORA</t>
        </is>
      </c>
      <c r="G496" t="n">
        <v>7.6</v>
      </c>
      <c r="H496" t="n">
        <v>0</v>
      </c>
      <c r="I496" t="n">
        <v>0</v>
      </c>
      <c r="J496" t="n">
        <v>0</v>
      </c>
      <c r="K496" t="n">
        <v>0</v>
      </c>
      <c r="L496" t="n">
        <v>0</v>
      </c>
      <c r="M496" t="n">
        <v>0</v>
      </c>
      <c r="N496" t="n">
        <v>0</v>
      </c>
      <c r="O496" t="n">
        <v>0</v>
      </c>
      <c r="P496" t="n">
        <v>0</v>
      </c>
      <c r="Q496" t="n">
        <v>0</v>
      </c>
      <c r="R496" s="2" t="inlineStr"/>
    </row>
    <row r="497" ht="15" customHeight="1">
      <c r="A497" t="inlineStr">
        <is>
          <t>A 60957-2025</t>
        </is>
      </c>
      <c r="B497" s="1" t="n">
        <v>45999.65799768519</v>
      </c>
      <c r="C497" s="1" t="n">
        <v>46000</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60962-2025</t>
        </is>
      </c>
      <c r="B498" s="1" t="n">
        <v>45999.66488425926</v>
      </c>
      <c r="C498" s="1" t="n">
        <v>46000</v>
      </c>
      <c r="D498" t="inlineStr">
        <is>
          <t>DALARNAS LÄN</t>
        </is>
      </c>
      <c r="E498" t="inlineStr">
        <is>
          <t>MORA</t>
        </is>
      </c>
      <c r="G498" t="n">
        <v>2</v>
      </c>
      <c r="H498" t="n">
        <v>0</v>
      </c>
      <c r="I498" t="n">
        <v>0</v>
      </c>
      <c r="J498" t="n">
        <v>0</v>
      </c>
      <c r="K498" t="n">
        <v>0</v>
      </c>
      <c r="L498" t="n">
        <v>0</v>
      </c>
      <c r="M498" t="n">
        <v>0</v>
      </c>
      <c r="N498" t="n">
        <v>0</v>
      </c>
      <c r="O498" t="n">
        <v>0</v>
      </c>
      <c r="P498" t="n">
        <v>0</v>
      </c>
      <c r="Q498" t="n">
        <v>0</v>
      </c>
      <c r="R498" s="2" t="inlineStr"/>
    </row>
    <row r="499" ht="15" customHeight="1">
      <c r="A499" t="inlineStr">
        <is>
          <t>A 46755-2023</t>
        </is>
      </c>
      <c r="B499" s="1" t="n">
        <v>45198.61314814815</v>
      </c>
      <c r="C499" s="1" t="n">
        <v>46000</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52804-2025</t>
        </is>
      </c>
      <c r="B500" s="1" t="n">
        <v>45957.44552083333</v>
      </c>
      <c r="C500" s="1" t="n">
        <v>46000</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52599-2025</t>
        </is>
      </c>
      <c r="B501" s="1" t="n">
        <v>45954.65564814815</v>
      </c>
      <c r="C501" s="1" t="n">
        <v>46000</v>
      </c>
      <c r="D501" t="inlineStr">
        <is>
          <t>DALARNAS LÄN</t>
        </is>
      </c>
      <c r="E501" t="inlineStr">
        <is>
          <t>MORA</t>
        </is>
      </c>
      <c r="G501" t="n">
        <v>10.8</v>
      </c>
      <c r="H501" t="n">
        <v>0</v>
      </c>
      <c r="I501" t="n">
        <v>0</v>
      </c>
      <c r="J501" t="n">
        <v>0</v>
      </c>
      <c r="K501" t="n">
        <v>0</v>
      </c>
      <c r="L501" t="n">
        <v>0</v>
      </c>
      <c r="M501" t="n">
        <v>0</v>
      </c>
      <c r="N501" t="n">
        <v>0</v>
      </c>
      <c r="O501" t="n">
        <v>0</v>
      </c>
      <c r="P501" t="n">
        <v>0</v>
      </c>
      <c r="Q501" t="n">
        <v>0</v>
      </c>
      <c r="R501" s="2" t="inlineStr"/>
    </row>
    <row r="502" ht="15" customHeight="1">
      <c r="A502" t="inlineStr">
        <is>
          <t>A 18122-2025</t>
        </is>
      </c>
      <c r="B502" s="1" t="n">
        <v>45761.59221064814</v>
      </c>
      <c r="C502" s="1" t="n">
        <v>46000</v>
      </c>
      <c r="D502" t="inlineStr">
        <is>
          <t>DALARNAS LÄN</t>
        </is>
      </c>
      <c r="E502" t="inlineStr">
        <is>
          <t>MORA</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53418-2025</t>
        </is>
      </c>
      <c r="B503" s="1" t="n">
        <v>45959.58747685186</v>
      </c>
      <c r="C503" s="1" t="n">
        <v>46000</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44817-2023</t>
        </is>
      </c>
      <c r="B504" s="1" t="n">
        <v>45190.51887731482</v>
      </c>
      <c r="C504" s="1" t="n">
        <v>46000</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39511-2024</t>
        </is>
      </c>
      <c r="B505" s="1" t="n">
        <v>45551.68347222222</v>
      </c>
      <c r="C505" s="1" t="n">
        <v>46000</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57797-2022</t>
        </is>
      </c>
      <c r="B506" s="1" t="n">
        <v>44897</v>
      </c>
      <c r="C506" s="1" t="n">
        <v>46000</v>
      </c>
      <c r="D506" t="inlineStr">
        <is>
          <t>DALARNAS LÄN</t>
        </is>
      </c>
      <c r="E506" t="inlineStr">
        <is>
          <t>MORA</t>
        </is>
      </c>
      <c r="G506" t="n">
        <v>3.1</v>
      </c>
      <c r="H506" t="n">
        <v>0</v>
      </c>
      <c r="I506" t="n">
        <v>0</v>
      </c>
      <c r="J506" t="n">
        <v>0</v>
      </c>
      <c r="K506" t="n">
        <v>0</v>
      </c>
      <c r="L506" t="n">
        <v>0</v>
      </c>
      <c r="M506" t="n">
        <v>0</v>
      </c>
      <c r="N506" t="n">
        <v>0</v>
      </c>
      <c r="O506" t="n">
        <v>0</v>
      </c>
      <c r="P506" t="n">
        <v>0</v>
      </c>
      <c r="Q506" t="n">
        <v>0</v>
      </c>
      <c r="R506" s="2" t="inlineStr"/>
    </row>
    <row r="507" ht="15" customHeight="1">
      <c r="A507" t="inlineStr">
        <is>
          <t>A 27125-2024</t>
        </is>
      </c>
      <c r="B507" s="1" t="n">
        <v>45471</v>
      </c>
      <c r="C507" s="1" t="n">
        <v>46000</v>
      </c>
      <c r="D507" t="inlineStr">
        <is>
          <t>DALARNAS LÄN</t>
        </is>
      </c>
      <c r="E507" t="inlineStr">
        <is>
          <t>MORA</t>
        </is>
      </c>
      <c r="G507" t="n">
        <v>2.3</v>
      </c>
      <c r="H507" t="n">
        <v>0</v>
      </c>
      <c r="I507" t="n">
        <v>0</v>
      </c>
      <c r="J507" t="n">
        <v>0</v>
      </c>
      <c r="K507" t="n">
        <v>0</v>
      </c>
      <c r="L507" t="n">
        <v>0</v>
      </c>
      <c r="M507" t="n">
        <v>0</v>
      </c>
      <c r="N507" t="n">
        <v>0</v>
      </c>
      <c r="O507" t="n">
        <v>0</v>
      </c>
      <c r="P507" t="n">
        <v>0</v>
      </c>
      <c r="Q507" t="n">
        <v>0</v>
      </c>
      <c r="R507" s="2" t="inlineStr"/>
    </row>
    <row r="508" ht="15" customHeight="1">
      <c r="A508" t="inlineStr">
        <is>
          <t>A 30822-2024</t>
        </is>
      </c>
      <c r="B508" s="1" t="n">
        <v>45497</v>
      </c>
      <c r="C508" s="1" t="n">
        <v>46000</v>
      </c>
      <c r="D508" t="inlineStr">
        <is>
          <t>DALARNAS LÄN</t>
        </is>
      </c>
      <c r="E508" t="inlineStr">
        <is>
          <t>MORA</t>
        </is>
      </c>
      <c r="G508" t="n">
        <v>1.8</v>
      </c>
      <c r="H508" t="n">
        <v>0</v>
      </c>
      <c r="I508" t="n">
        <v>0</v>
      </c>
      <c r="J508" t="n">
        <v>0</v>
      </c>
      <c r="K508" t="n">
        <v>0</v>
      </c>
      <c r="L508" t="n">
        <v>0</v>
      </c>
      <c r="M508" t="n">
        <v>0</v>
      </c>
      <c r="N508" t="n">
        <v>0</v>
      </c>
      <c r="O508" t="n">
        <v>0</v>
      </c>
      <c r="P508" t="n">
        <v>0</v>
      </c>
      <c r="Q508" t="n">
        <v>0</v>
      </c>
      <c r="R508" s="2" t="inlineStr"/>
    </row>
    <row r="509" ht="15" customHeight="1">
      <c r="A509" t="inlineStr">
        <is>
          <t>A 6371-2022</t>
        </is>
      </c>
      <c r="B509" s="1" t="n">
        <v>44600</v>
      </c>
      <c r="C509" s="1" t="n">
        <v>46000</v>
      </c>
      <c r="D509" t="inlineStr">
        <is>
          <t>DALARNAS LÄN</t>
        </is>
      </c>
      <c r="E509" t="inlineStr">
        <is>
          <t>MORA</t>
        </is>
      </c>
      <c r="G509" t="n">
        <v>4.6</v>
      </c>
      <c r="H509" t="n">
        <v>0</v>
      </c>
      <c r="I509" t="n">
        <v>0</v>
      </c>
      <c r="J509" t="n">
        <v>0</v>
      </c>
      <c r="K509" t="n">
        <v>0</v>
      </c>
      <c r="L509" t="n">
        <v>0</v>
      </c>
      <c r="M509" t="n">
        <v>0</v>
      </c>
      <c r="N509" t="n">
        <v>0</v>
      </c>
      <c r="O509" t="n">
        <v>0</v>
      </c>
      <c r="P509" t="n">
        <v>0</v>
      </c>
      <c r="Q509" t="n">
        <v>0</v>
      </c>
      <c r="R509" s="2" t="inlineStr"/>
    </row>
    <row r="510" ht="15" customHeight="1">
      <c r="A510" t="inlineStr">
        <is>
          <t>A 61350-2024</t>
        </is>
      </c>
      <c r="B510" s="1" t="n">
        <v>45646.37872685185</v>
      </c>
      <c r="C510" s="1" t="n">
        <v>46000</v>
      </c>
      <c r="D510" t="inlineStr">
        <is>
          <t>DALARNAS LÄN</t>
        </is>
      </c>
      <c r="E510" t="inlineStr">
        <is>
          <t>MORA</t>
        </is>
      </c>
      <c r="G510" t="n">
        <v>1.4</v>
      </c>
      <c r="H510" t="n">
        <v>0</v>
      </c>
      <c r="I510" t="n">
        <v>0</v>
      </c>
      <c r="J510" t="n">
        <v>0</v>
      </c>
      <c r="K510" t="n">
        <v>0</v>
      </c>
      <c r="L510" t="n">
        <v>0</v>
      </c>
      <c r="M510" t="n">
        <v>0</v>
      </c>
      <c r="N510" t="n">
        <v>0</v>
      </c>
      <c r="O510" t="n">
        <v>0</v>
      </c>
      <c r="P510" t="n">
        <v>0</v>
      </c>
      <c r="Q510" t="n">
        <v>0</v>
      </c>
      <c r="R510" s="2" t="inlineStr"/>
    </row>
    <row r="511" ht="15" customHeight="1">
      <c r="A511" t="inlineStr">
        <is>
          <t>A 20126-2025</t>
        </is>
      </c>
      <c r="B511" s="1" t="n">
        <v>45772.49640046297</v>
      </c>
      <c r="C511" s="1" t="n">
        <v>46000</v>
      </c>
      <c r="D511" t="inlineStr">
        <is>
          <t>DALARNAS LÄN</t>
        </is>
      </c>
      <c r="E511" t="inlineStr">
        <is>
          <t>MORA</t>
        </is>
      </c>
      <c r="G511" t="n">
        <v>12.1</v>
      </c>
      <c r="H511" t="n">
        <v>0</v>
      </c>
      <c r="I511" t="n">
        <v>0</v>
      </c>
      <c r="J511" t="n">
        <v>0</v>
      </c>
      <c r="K511" t="n">
        <v>0</v>
      </c>
      <c r="L511" t="n">
        <v>0</v>
      </c>
      <c r="M511" t="n">
        <v>0</v>
      </c>
      <c r="N511" t="n">
        <v>0</v>
      </c>
      <c r="O511" t="n">
        <v>0</v>
      </c>
      <c r="P511" t="n">
        <v>0</v>
      </c>
      <c r="Q511" t="n">
        <v>0</v>
      </c>
      <c r="R511" s="2" t="inlineStr"/>
    </row>
    <row r="512" ht="15" customHeight="1">
      <c r="A512" t="inlineStr">
        <is>
          <t>A 27420-2024</t>
        </is>
      </c>
      <c r="B512" s="1" t="n">
        <v>45474.37850694444</v>
      </c>
      <c r="C512" s="1" t="n">
        <v>46000</v>
      </c>
      <c r="D512" t="inlineStr">
        <is>
          <t>DALARNAS LÄN</t>
        </is>
      </c>
      <c r="E512" t="inlineStr">
        <is>
          <t>MORA</t>
        </is>
      </c>
      <c r="G512" t="n">
        <v>7.3</v>
      </c>
      <c r="H512" t="n">
        <v>0</v>
      </c>
      <c r="I512" t="n">
        <v>0</v>
      </c>
      <c r="J512" t="n">
        <v>0</v>
      </c>
      <c r="K512" t="n">
        <v>0</v>
      </c>
      <c r="L512" t="n">
        <v>0</v>
      </c>
      <c r="M512" t="n">
        <v>0</v>
      </c>
      <c r="N512" t="n">
        <v>0</v>
      </c>
      <c r="O512" t="n">
        <v>0</v>
      </c>
      <c r="P512" t="n">
        <v>0</v>
      </c>
      <c r="Q512" t="n">
        <v>0</v>
      </c>
      <c r="R512" s="2" t="inlineStr"/>
    </row>
    <row r="513" ht="15" customHeight="1">
      <c r="A513" t="inlineStr">
        <is>
          <t>A 39344-2024</t>
        </is>
      </c>
      <c r="B513" s="1" t="n">
        <v>45551.44503472222</v>
      </c>
      <c r="C513" s="1" t="n">
        <v>46000</v>
      </c>
      <c r="D513" t="inlineStr">
        <is>
          <t>DALARNAS LÄN</t>
        </is>
      </c>
      <c r="E513" t="inlineStr">
        <is>
          <t>MORA</t>
        </is>
      </c>
      <c r="G513" t="n">
        <v>0.6</v>
      </c>
      <c r="H513" t="n">
        <v>0</v>
      </c>
      <c r="I513" t="n">
        <v>0</v>
      </c>
      <c r="J513" t="n">
        <v>0</v>
      </c>
      <c r="K513" t="n">
        <v>0</v>
      </c>
      <c r="L513" t="n">
        <v>0</v>
      </c>
      <c r="M513" t="n">
        <v>0</v>
      </c>
      <c r="N513" t="n">
        <v>0</v>
      </c>
      <c r="O513" t="n">
        <v>0</v>
      </c>
      <c r="P513" t="n">
        <v>0</v>
      </c>
      <c r="Q513" t="n">
        <v>0</v>
      </c>
      <c r="R513" s="2" t="inlineStr"/>
    </row>
    <row r="514" ht="15" customHeight="1">
      <c r="A514" t="inlineStr">
        <is>
          <t>A 24590-2024</t>
        </is>
      </c>
      <c r="B514" s="1" t="n">
        <v>45460</v>
      </c>
      <c r="C514" s="1" t="n">
        <v>46000</v>
      </c>
      <c r="D514" t="inlineStr">
        <is>
          <t>DALARNAS LÄN</t>
        </is>
      </c>
      <c r="E514" t="inlineStr">
        <is>
          <t>MORA</t>
        </is>
      </c>
      <c r="G514" t="n">
        <v>0.6</v>
      </c>
      <c r="H514" t="n">
        <v>0</v>
      </c>
      <c r="I514" t="n">
        <v>0</v>
      </c>
      <c r="J514" t="n">
        <v>0</v>
      </c>
      <c r="K514" t="n">
        <v>0</v>
      </c>
      <c r="L514" t="n">
        <v>0</v>
      </c>
      <c r="M514" t="n">
        <v>0</v>
      </c>
      <c r="N514" t="n">
        <v>0</v>
      </c>
      <c r="O514" t="n">
        <v>0</v>
      </c>
      <c r="P514" t="n">
        <v>0</v>
      </c>
      <c r="Q514" t="n">
        <v>0</v>
      </c>
      <c r="R514" s="2" t="inlineStr"/>
    </row>
    <row r="515" ht="15" customHeight="1">
      <c r="A515" t="inlineStr">
        <is>
          <t>A 24169-2022</t>
        </is>
      </c>
      <c r="B515" s="1" t="n">
        <v>44725.50280092593</v>
      </c>
      <c r="C515" s="1" t="n">
        <v>46000</v>
      </c>
      <c r="D515" t="inlineStr">
        <is>
          <t>DALARNAS LÄN</t>
        </is>
      </c>
      <c r="E515" t="inlineStr">
        <is>
          <t>MORA</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43641-2022</t>
        </is>
      </c>
      <c r="B516" s="1" t="n">
        <v>44837</v>
      </c>
      <c r="C516" s="1" t="n">
        <v>46000</v>
      </c>
      <c r="D516" t="inlineStr">
        <is>
          <t>DALARNAS LÄN</t>
        </is>
      </c>
      <c r="E516" t="inlineStr">
        <is>
          <t>MORA</t>
        </is>
      </c>
      <c r="G516" t="n">
        <v>1.8</v>
      </c>
      <c r="H516" t="n">
        <v>0</v>
      </c>
      <c r="I516" t="n">
        <v>0</v>
      </c>
      <c r="J516" t="n">
        <v>0</v>
      </c>
      <c r="K516" t="n">
        <v>0</v>
      </c>
      <c r="L516" t="n">
        <v>0</v>
      </c>
      <c r="M516" t="n">
        <v>0</v>
      </c>
      <c r="N516" t="n">
        <v>0</v>
      </c>
      <c r="O516" t="n">
        <v>0</v>
      </c>
      <c r="P516" t="n">
        <v>0</v>
      </c>
      <c r="Q516" t="n">
        <v>0</v>
      </c>
      <c r="R516" s="2" t="inlineStr"/>
    </row>
    <row r="517" ht="15" customHeight="1">
      <c r="A517" t="inlineStr">
        <is>
          <t>A 53750-2024</t>
        </is>
      </c>
      <c r="B517" s="1" t="n">
        <v>45615.48465277778</v>
      </c>
      <c r="C517" s="1" t="n">
        <v>46000</v>
      </c>
      <c r="D517" t="inlineStr">
        <is>
          <t>DALARNAS LÄN</t>
        </is>
      </c>
      <c r="E517" t="inlineStr">
        <is>
          <t>MORA</t>
        </is>
      </c>
      <c r="G517" t="n">
        <v>2.3</v>
      </c>
      <c r="H517" t="n">
        <v>0</v>
      </c>
      <c r="I517" t="n">
        <v>0</v>
      </c>
      <c r="J517" t="n">
        <v>0</v>
      </c>
      <c r="K517" t="n">
        <v>0</v>
      </c>
      <c r="L517" t="n">
        <v>0</v>
      </c>
      <c r="M517" t="n">
        <v>0</v>
      </c>
      <c r="N517" t="n">
        <v>0</v>
      </c>
      <c r="O517" t="n">
        <v>0</v>
      </c>
      <c r="P517" t="n">
        <v>0</v>
      </c>
      <c r="Q517" t="n">
        <v>0</v>
      </c>
      <c r="R517" s="2" t="inlineStr"/>
    </row>
    <row r="518" ht="15" customHeight="1">
      <c r="A518" t="inlineStr">
        <is>
          <t>A 10777-2025</t>
        </is>
      </c>
      <c r="B518" s="1" t="n">
        <v>45722.47743055555</v>
      </c>
      <c r="C518" s="1" t="n">
        <v>46000</v>
      </c>
      <c r="D518" t="inlineStr">
        <is>
          <t>DALARNAS LÄN</t>
        </is>
      </c>
      <c r="E518" t="inlineStr">
        <is>
          <t>MORA</t>
        </is>
      </c>
      <c r="G518" t="n">
        <v>9.9</v>
      </c>
      <c r="H518" t="n">
        <v>0</v>
      </c>
      <c r="I518" t="n">
        <v>0</v>
      </c>
      <c r="J518" t="n">
        <v>0</v>
      </c>
      <c r="K518" t="n">
        <v>0</v>
      </c>
      <c r="L518" t="n">
        <v>0</v>
      </c>
      <c r="M518" t="n">
        <v>0</v>
      </c>
      <c r="N518" t="n">
        <v>0</v>
      </c>
      <c r="O518" t="n">
        <v>0</v>
      </c>
      <c r="P518" t="n">
        <v>0</v>
      </c>
      <c r="Q518" t="n">
        <v>0</v>
      </c>
      <c r="R518" s="2" t="inlineStr"/>
    </row>
    <row r="519" ht="15" customHeight="1">
      <c r="A519" t="inlineStr">
        <is>
          <t>A 19842-2025</t>
        </is>
      </c>
      <c r="B519" s="1" t="n">
        <v>45771.47938657407</v>
      </c>
      <c r="C519" s="1" t="n">
        <v>46000</v>
      </c>
      <c r="D519" t="inlineStr">
        <is>
          <t>DALARNAS LÄN</t>
        </is>
      </c>
      <c r="E519" t="inlineStr">
        <is>
          <t>MORA</t>
        </is>
      </c>
      <c r="G519" t="n">
        <v>1.9</v>
      </c>
      <c r="H519" t="n">
        <v>0</v>
      </c>
      <c r="I519" t="n">
        <v>0</v>
      </c>
      <c r="J519" t="n">
        <v>0</v>
      </c>
      <c r="K519" t="n">
        <v>0</v>
      </c>
      <c r="L519" t="n">
        <v>0</v>
      </c>
      <c r="M519" t="n">
        <v>0</v>
      </c>
      <c r="N519" t="n">
        <v>0</v>
      </c>
      <c r="O519" t="n">
        <v>0</v>
      </c>
      <c r="P519" t="n">
        <v>0</v>
      </c>
      <c r="Q519" t="n">
        <v>0</v>
      </c>
      <c r="R519" s="2" t="inlineStr"/>
    </row>
    <row r="520" ht="15" customHeight="1">
      <c r="A520" t="inlineStr">
        <is>
          <t>A 44177-2023</t>
        </is>
      </c>
      <c r="B520" s="1" t="n">
        <v>45188.51439814815</v>
      </c>
      <c r="C520" s="1" t="n">
        <v>46000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18134-2025</t>
        </is>
      </c>
      <c r="B521" s="1" t="n">
        <v>45761.60189814815</v>
      </c>
      <c r="C521" s="1" t="n">
        <v>46000</v>
      </c>
      <c r="D521" t="inlineStr">
        <is>
          <t>DALARNAS LÄN</t>
        </is>
      </c>
      <c r="E521" t="inlineStr">
        <is>
          <t>MORA</t>
        </is>
      </c>
      <c r="F521" t="inlineStr">
        <is>
          <t>Bergvik skog öst AB</t>
        </is>
      </c>
      <c r="G521" t="n">
        <v>0.9</v>
      </c>
      <c r="H521" t="n">
        <v>0</v>
      </c>
      <c r="I521" t="n">
        <v>0</v>
      </c>
      <c r="J521" t="n">
        <v>0</v>
      </c>
      <c r="K521" t="n">
        <v>0</v>
      </c>
      <c r="L521" t="n">
        <v>0</v>
      </c>
      <c r="M521" t="n">
        <v>0</v>
      </c>
      <c r="N521" t="n">
        <v>0</v>
      </c>
      <c r="O521" t="n">
        <v>0</v>
      </c>
      <c r="P521" t="n">
        <v>0</v>
      </c>
      <c r="Q521" t="n">
        <v>0</v>
      </c>
      <c r="R521" s="2" t="inlineStr"/>
    </row>
    <row r="522" ht="15" customHeight="1">
      <c r="A522" t="inlineStr">
        <is>
          <t>A 35327-2024</t>
        </is>
      </c>
      <c r="B522" s="1" t="n">
        <v>45530.71334490741</v>
      </c>
      <c r="C522" s="1" t="n">
        <v>46000</v>
      </c>
      <c r="D522" t="inlineStr">
        <is>
          <t>DALARNAS LÄN</t>
        </is>
      </c>
      <c r="E522" t="inlineStr">
        <is>
          <t>MORA</t>
        </is>
      </c>
      <c r="G522" t="n">
        <v>5</v>
      </c>
      <c r="H522" t="n">
        <v>0</v>
      </c>
      <c r="I522" t="n">
        <v>0</v>
      </c>
      <c r="J522" t="n">
        <v>0</v>
      </c>
      <c r="K522" t="n">
        <v>0</v>
      </c>
      <c r="L522" t="n">
        <v>0</v>
      </c>
      <c r="M522" t="n">
        <v>0</v>
      </c>
      <c r="N522" t="n">
        <v>0</v>
      </c>
      <c r="O522" t="n">
        <v>0</v>
      </c>
      <c r="P522" t="n">
        <v>0</v>
      </c>
      <c r="Q522" t="n">
        <v>0</v>
      </c>
      <c r="R522" s="2" t="inlineStr"/>
    </row>
    <row r="523" ht="15" customHeight="1">
      <c r="A523" t="inlineStr">
        <is>
          <t>A 31112-2024</t>
        </is>
      </c>
      <c r="B523" s="1" t="n">
        <v>45502.55185185185</v>
      </c>
      <c r="C523" s="1" t="n">
        <v>46000</v>
      </c>
      <c r="D523" t="inlineStr">
        <is>
          <t>DALARNAS LÄN</t>
        </is>
      </c>
      <c r="E523" t="inlineStr">
        <is>
          <t>MORA</t>
        </is>
      </c>
      <c r="G523" t="n">
        <v>0.6</v>
      </c>
      <c r="H523" t="n">
        <v>0</v>
      </c>
      <c r="I523" t="n">
        <v>0</v>
      </c>
      <c r="J523" t="n">
        <v>0</v>
      </c>
      <c r="K523" t="n">
        <v>0</v>
      </c>
      <c r="L523" t="n">
        <v>0</v>
      </c>
      <c r="M523" t="n">
        <v>0</v>
      </c>
      <c r="N523" t="n">
        <v>0</v>
      </c>
      <c r="O523" t="n">
        <v>0</v>
      </c>
      <c r="P523" t="n">
        <v>0</v>
      </c>
      <c r="Q523" t="n">
        <v>0</v>
      </c>
      <c r="R523" s="2" t="inlineStr"/>
    </row>
    <row r="524" ht="15" customHeight="1">
      <c r="A524" t="inlineStr">
        <is>
          <t>A 442-2024</t>
        </is>
      </c>
      <c r="B524" s="1" t="n">
        <v>45296.60353009259</v>
      </c>
      <c r="C524" s="1" t="n">
        <v>46000</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501-2024</t>
        </is>
      </c>
      <c r="B525" s="1" t="n">
        <v>45299</v>
      </c>
      <c r="C525" s="1" t="n">
        <v>46000</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48570-2022</t>
        </is>
      </c>
      <c r="B526" s="1" t="n">
        <v>44859</v>
      </c>
      <c r="C526" s="1" t="n">
        <v>46000</v>
      </c>
      <c r="D526" t="inlineStr">
        <is>
          <t>DALARNAS LÄN</t>
        </is>
      </c>
      <c r="E526" t="inlineStr">
        <is>
          <t>MORA</t>
        </is>
      </c>
      <c r="G526" t="n">
        <v>6.2</v>
      </c>
      <c r="H526" t="n">
        <v>0</v>
      </c>
      <c r="I526" t="n">
        <v>0</v>
      </c>
      <c r="J526" t="n">
        <v>0</v>
      </c>
      <c r="K526" t="n">
        <v>0</v>
      </c>
      <c r="L526" t="n">
        <v>0</v>
      </c>
      <c r="M526" t="n">
        <v>0</v>
      </c>
      <c r="N526" t="n">
        <v>0</v>
      </c>
      <c r="O526" t="n">
        <v>0</v>
      </c>
      <c r="P526" t="n">
        <v>0</v>
      </c>
      <c r="Q526" t="n">
        <v>0</v>
      </c>
      <c r="R526" s="2" t="inlineStr"/>
    </row>
    <row r="527" ht="15" customHeight="1">
      <c r="A527" t="inlineStr">
        <is>
          <t>A 19814-2025</t>
        </is>
      </c>
      <c r="B527" s="1" t="n">
        <v>45771.45686342593</v>
      </c>
      <c r="C527" s="1" t="n">
        <v>46000</v>
      </c>
      <c r="D527" t="inlineStr">
        <is>
          <t>DALARNAS LÄN</t>
        </is>
      </c>
      <c r="E527" t="inlineStr">
        <is>
          <t>MORA</t>
        </is>
      </c>
      <c r="G527" t="n">
        <v>2.1</v>
      </c>
      <c r="H527" t="n">
        <v>0</v>
      </c>
      <c r="I527" t="n">
        <v>0</v>
      </c>
      <c r="J527" t="n">
        <v>0</v>
      </c>
      <c r="K527" t="n">
        <v>0</v>
      </c>
      <c r="L527" t="n">
        <v>0</v>
      </c>
      <c r="M527" t="n">
        <v>0</v>
      </c>
      <c r="N527" t="n">
        <v>0</v>
      </c>
      <c r="O527" t="n">
        <v>0</v>
      </c>
      <c r="P527" t="n">
        <v>0</v>
      </c>
      <c r="Q527" t="n">
        <v>0</v>
      </c>
      <c r="R527" s="2" t="inlineStr"/>
    </row>
    <row r="528" ht="15" customHeight="1">
      <c r="A528" t="inlineStr">
        <is>
          <t>A 60526-2023</t>
        </is>
      </c>
      <c r="B528" s="1" t="n">
        <v>45259</v>
      </c>
      <c r="C528" s="1" t="n">
        <v>46000</v>
      </c>
      <c r="D528" t="inlineStr">
        <is>
          <t>DALARNAS LÄN</t>
        </is>
      </c>
      <c r="E528" t="inlineStr">
        <is>
          <t>MORA</t>
        </is>
      </c>
      <c r="G528" t="n">
        <v>6.7</v>
      </c>
      <c r="H528" t="n">
        <v>0</v>
      </c>
      <c r="I528" t="n">
        <v>0</v>
      </c>
      <c r="J528" t="n">
        <v>0</v>
      </c>
      <c r="K528" t="n">
        <v>0</v>
      </c>
      <c r="L528" t="n">
        <v>0</v>
      </c>
      <c r="M528" t="n">
        <v>0</v>
      </c>
      <c r="N528" t="n">
        <v>0</v>
      </c>
      <c r="O528" t="n">
        <v>0</v>
      </c>
      <c r="P528" t="n">
        <v>0</v>
      </c>
      <c r="Q528" t="n">
        <v>0</v>
      </c>
      <c r="R528" s="2" t="inlineStr"/>
    </row>
    <row r="529" ht="15" customHeight="1">
      <c r="A529" t="inlineStr">
        <is>
          <t>A 53341-2023</t>
        </is>
      </c>
      <c r="B529" s="1" t="n">
        <v>45229</v>
      </c>
      <c r="C529" s="1" t="n">
        <v>46000</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12828-2023</t>
        </is>
      </c>
      <c r="B530" s="1" t="n">
        <v>45001</v>
      </c>
      <c r="C530" s="1" t="n">
        <v>46000</v>
      </c>
      <c r="D530" t="inlineStr">
        <is>
          <t>DALARNAS LÄN</t>
        </is>
      </c>
      <c r="E530" t="inlineStr">
        <is>
          <t>MORA</t>
        </is>
      </c>
      <c r="F530" t="inlineStr">
        <is>
          <t>Bergvik skog väst AB</t>
        </is>
      </c>
      <c r="G530" t="n">
        <v>5.4</v>
      </c>
      <c r="H530" t="n">
        <v>0</v>
      </c>
      <c r="I530" t="n">
        <v>0</v>
      </c>
      <c r="J530" t="n">
        <v>0</v>
      </c>
      <c r="K530" t="n">
        <v>0</v>
      </c>
      <c r="L530" t="n">
        <v>0</v>
      </c>
      <c r="M530" t="n">
        <v>0</v>
      </c>
      <c r="N530" t="n">
        <v>0</v>
      </c>
      <c r="O530" t="n">
        <v>0</v>
      </c>
      <c r="P530" t="n">
        <v>0</v>
      </c>
      <c r="Q530" t="n">
        <v>0</v>
      </c>
      <c r="R530" s="2" t="inlineStr"/>
    </row>
    <row r="531" ht="15" customHeight="1">
      <c r="A531" t="inlineStr">
        <is>
          <t>A 21410-2023</t>
        </is>
      </c>
      <c r="B531" s="1" t="n">
        <v>45063</v>
      </c>
      <c r="C531" s="1" t="n">
        <v>46000</v>
      </c>
      <c r="D531" t="inlineStr">
        <is>
          <t>DALARNAS LÄN</t>
        </is>
      </c>
      <c r="E531" t="inlineStr">
        <is>
          <t>MORA</t>
        </is>
      </c>
      <c r="G531" t="n">
        <v>7</v>
      </c>
      <c r="H531" t="n">
        <v>0</v>
      </c>
      <c r="I531" t="n">
        <v>0</v>
      </c>
      <c r="J531" t="n">
        <v>0</v>
      </c>
      <c r="K531" t="n">
        <v>0</v>
      </c>
      <c r="L531" t="n">
        <v>0</v>
      </c>
      <c r="M531" t="n">
        <v>0</v>
      </c>
      <c r="N531" t="n">
        <v>0</v>
      </c>
      <c r="O531" t="n">
        <v>0</v>
      </c>
      <c r="P531" t="n">
        <v>0</v>
      </c>
      <c r="Q531" t="n">
        <v>0</v>
      </c>
      <c r="R531" s="2" t="inlineStr"/>
    </row>
    <row r="532" ht="15" customHeight="1">
      <c r="A532" t="inlineStr">
        <is>
          <t>A 3531-2024</t>
        </is>
      </c>
      <c r="B532" s="1" t="n">
        <v>45320</v>
      </c>
      <c r="C532" s="1" t="n">
        <v>46000</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c r="U532">
        <f>HYPERLINK("https://klasma.github.io/Logging_2062/knärot/A 3531-2024 karta knärot.png", "A 3531-2024")</f>
        <v/>
      </c>
      <c r="V532">
        <f>HYPERLINK("https://klasma.github.io/Logging_2062/klagomål/A 3531-2024 FSC-klagomål.docx", "A 3531-2024")</f>
        <v/>
      </c>
      <c r="W532">
        <f>HYPERLINK("https://klasma.github.io/Logging_2062/klagomålsmail/A 3531-2024 FSC-klagomål mail.docx", "A 3531-2024")</f>
        <v/>
      </c>
      <c r="X532">
        <f>HYPERLINK("https://klasma.github.io/Logging_2062/tillsyn/A 3531-2024 tillsynsbegäran.docx", "A 3531-2024")</f>
        <v/>
      </c>
      <c r="Y532">
        <f>HYPERLINK("https://klasma.github.io/Logging_2062/tillsynsmail/A 3531-2024 tillsynsbegäran mail.docx", "A 3531-2024")</f>
        <v/>
      </c>
    </row>
    <row r="533" ht="15" customHeight="1">
      <c r="A533" t="inlineStr">
        <is>
          <t>A 45475-2023</t>
        </is>
      </c>
      <c r="B533" s="1" t="n">
        <v>45188</v>
      </c>
      <c r="C533" s="1" t="n">
        <v>46000</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44071-2024</t>
        </is>
      </c>
      <c r="B534" s="1" t="n">
        <v>45572.60915509259</v>
      </c>
      <c r="C534" s="1" t="n">
        <v>46000</v>
      </c>
      <c r="D534" t="inlineStr">
        <is>
          <t>DALARNAS LÄN</t>
        </is>
      </c>
      <c r="E534" t="inlineStr">
        <is>
          <t>MORA</t>
        </is>
      </c>
      <c r="G534" t="n">
        <v>4.5</v>
      </c>
      <c r="H534" t="n">
        <v>0</v>
      </c>
      <c r="I534" t="n">
        <v>0</v>
      </c>
      <c r="J534" t="n">
        <v>0</v>
      </c>
      <c r="K534" t="n">
        <v>0</v>
      </c>
      <c r="L534" t="n">
        <v>0</v>
      </c>
      <c r="M534" t="n">
        <v>0</v>
      </c>
      <c r="N534" t="n">
        <v>0</v>
      </c>
      <c r="O534" t="n">
        <v>0</v>
      </c>
      <c r="P534" t="n">
        <v>0</v>
      </c>
      <c r="Q534" t="n">
        <v>0</v>
      </c>
      <c r="R534" s="2" t="inlineStr"/>
    </row>
    <row r="535" ht="15" customHeight="1">
      <c r="A535" t="inlineStr">
        <is>
          <t>A 11463-2024</t>
        </is>
      </c>
      <c r="B535" s="1" t="n">
        <v>45372.58969907407</v>
      </c>
      <c r="C535" s="1" t="n">
        <v>46000</v>
      </c>
      <c r="D535" t="inlineStr">
        <is>
          <t>DALARNAS LÄN</t>
        </is>
      </c>
      <c r="E535" t="inlineStr">
        <is>
          <t>MORA</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57903-2022</t>
        </is>
      </c>
      <c r="B536" s="1" t="n">
        <v>44900.3521412037</v>
      </c>
      <c r="C536" s="1" t="n">
        <v>46000</v>
      </c>
      <c r="D536" t="inlineStr">
        <is>
          <t>DALARNAS LÄN</t>
        </is>
      </c>
      <c r="E536" t="inlineStr">
        <is>
          <t>MORA</t>
        </is>
      </c>
      <c r="G536" t="n">
        <v>4.3</v>
      </c>
      <c r="H536" t="n">
        <v>0</v>
      </c>
      <c r="I536" t="n">
        <v>0</v>
      </c>
      <c r="J536" t="n">
        <v>0</v>
      </c>
      <c r="K536" t="n">
        <v>0</v>
      </c>
      <c r="L536" t="n">
        <v>0</v>
      </c>
      <c r="M536" t="n">
        <v>0</v>
      </c>
      <c r="N536" t="n">
        <v>0</v>
      </c>
      <c r="O536" t="n">
        <v>0</v>
      </c>
      <c r="P536" t="n">
        <v>0</v>
      </c>
      <c r="Q536" t="n">
        <v>0</v>
      </c>
      <c r="R536" s="2" t="inlineStr"/>
    </row>
    <row r="537" ht="15" customHeight="1">
      <c r="A537" t="inlineStr">
        <is>
          <t>A 46129-2024</t>
        </is>
      </c>
      <c r="B537" s="1" t="n">
        <v>45581.43337962963</v>
      </c>
      <c r="C537" s="1" t="n">
        <v>46000</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19193-2025</t>
        </is>
      </c>
      <c r="B538" s="1" t="n">
        <v>45769.42203703704</v>
      </c>
      <c r="C538" s="1" t="n">
        <v>46000</v>
      </c>
      <c r="D538" t="inlineStr">
        <is>
          <t>DALARNAS LÄN</t>
        </is>
      </c>
      <c r="E538" t="inlineStr">
        <is>
          <t>MORA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6183-2024</t>
        </is>
      </c>
      <c r="B539" s="1" t="n">
        <v>45337.54135416666</v>
      </c>
      <c r="C539" s="1" t="n">
        <v>46000</v>
      </c>
      <c r="D539" t="inlineStr">
        <is>
          <t>DALARNAS LÄN</t>
        </is>
      </c>
      <c r="E539" t="inlineStr">
        <is>
          <t>MORA</t>
        </is>
      </c>
      <c r="G539" t="n">
        <v>7.9</v>
      </c>
      <c r="H539" t="n">
        <v>0</v>
      </c>
      <c r="I539" t="n">
        <v>0</v>
      </c>
      <c r="J539" t="n">
        <v>0</v>
      </c>
      <c r="K539" t="n">
        <v>0</v>
      </c>
      <c r="L539" t="n">
        <v>0</v>
      </c>
      <c r="M539" t="n">
        <v>0</v>
      </c>
      <c r="N539" t="n">
        <v>0</v>
      </c>
      <c r="O539" t="n">
        <v>0</v>
      </c>
      <c r="P539" t="n">
        <v>0</v>
      </c>
      <c r="Q539" t="n">
        <v>0</v>
      </c>
      <c r="R539" s="2" t="inlineStr"/>
    </row>
    <row r="540" ht="15" customHeight="1">
      <c r="A540" t="inlineStr">
        <is>
          <t>A 46152-2023</t>
        </is>
      </c>
      <c r="B540" s="1" t="n">
        <v>45196.58278935185</v>
      </c>
      <c r="C540" s="1" t="n">
        <v>46000</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28832-2023</t>
        </is>
      </c>
      <c r="B541" s="1" t="n">
        <v>45104.40493055555</v>
      </c>
      <c r="C541" s="1" t="n">
        <v>46000</v>
      </c>
      <c r="D541" t="inlineStr">
        <is>
          <t>DALARNAS LÄN</t>
        </is>
      </c>
      <c r="E541" t="inlineStr">
        <is>
          <t>MORA</t>
        </is>
      </c>
      <c r="F541" t="inlineStr">
        <is>
          <t>Bergvik skog öst AB</t>
        </is>
      </c>
      <c r="G541" t="n">
        <v>2</v>
      </c>
      <c r="H541" t="n">
        <v>0</v>
      </c>
      <c r="I541" t="n">
        <v>0</v>
      </c>
      <c r="J541" t="n">
        <v>0</v>
      </c>
      <c r="K541" t="n">
        <v>0</v>
      </c>
      <c r="L541" t="n">
        <v>0</v>
      </c>
      <c r="M541" t="n">
        <v>0</v>
      </c>
      <c r="N541" t="n">
        <v>0</v>
      </c>
      <c r="O541" t="n">
        <v>0</v>
      </c>
      <c r="P541" t="n">
        <v>0</v>
      </c>
      <c r="Q541" t="n">
        <v>0</v>
      </c>
      <c r="R541" s="2" t="inlineStr"/>
    </row>
    <row r="542" ht="15" customHeight="1">
      <c r="A542" t="inlineStr">
        <is>
          <t>A 48824-2023</t>
        </is>
      </c>
      <c r="B542" s="1" t="n">
        <v>45203</v>
      </c>
      <c r="C542" s="1" t="n">
        <v>46000</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8343-2025</t>
        </is>
      </c>
      <c r="B543" s="1" t="n">
        <v>45708.67253472222</v>
      </c>
      <c r="C543" s="1" t="n">
        <v>46000</v>
      </c>
      <c r="D543" t="inlineStr">
        <is>
          <t>DALARNAS LÄN</t>
        </is>
      </c>
      <c r="E543" t="inlineStr">
        <is>
          <t>MORA</t>
        </is>
      </c>
      <c r="G543" t="n">
        <v>3.4</v>
      </c>
      <c r="H543" t="n">
        <v>0</v>
      </c>
      <c r="I543" t="n">
        <v>0</v>
      </c>
      <c r="J543" t="n">
        <v>0</v>
      </c>
      <c r="K543" t="n">
        <v>0</v>
      </c>
      <c r="L543" t="n">
        <v>0</v>
      </c>
      <c r="M543" t="n">
        <v>0</v>
      </c>
      <c r="N543" t="n">
        <v>0</v>
      </c>
      <c r="O543" t="n">
        <v>0</v>
      </c>
      <c r="P543" t="n">
        <v>0</v>
      </c>
      <c r="Q543" t="n">
        <v>0</v>
      </c>
      <c r="R543" s="2" t="inlineStr"/>
    </row>
    <row r="544" ht="15" customHeight="1">
      <c r="A544" t="inlineStr">
        <is>
          <t>A 17163-2025</t>
        </is>
      </c>
      <c r="B544" s="1" t="n">
        <v>45756.35998842592</v>
      </c>
      <c r="C544" s="1" t="n">
        <v>46000</v>
      </c>
      <c r="D544" t="inlineStr">
        <is>
          <t>DALARNAS LÄN</t>
        </is>
      </c>
      <c r="E544" t="inlineStr">
        <is>
          <t>MORA</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34272-2024</t>
        </is>
      </c>
      <c r="B545" s="1" t="n">
        <v>45524.61752314815</v>
      </c>
      <c r="C545" s="1" t="n">
        <v>46000</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36579-2022</t>
        </is>
      </c>
      <c r="B546" s="1" t="n">
        <v>44804.61636574074</v>
      </c>
      <c r="C546" s="1" t="n">
        <v>46000</v>
      </c>
      <c r="D546" t="inlineStr">
        <is>
          <t>DALARNAS LÄN</t>
        </is>
      </c>
      <c r="E546" t="inlineStr">
        <is>
          <t>MORA</t>
        </is>
      </c>
      <c r="G546" t="n">
        <v>2.3</v>
      </c>
      <c r="H546" t="n">
        <v>0</v>
      </c>
      <c r="I546" t="n">
        <v>0</v>
      </c>
      <c r="J546" t="n">
        <v>0</v>
      </c>
      <c r="K546" t="n">
        <v>0</v>
      </c>
      <c r="L546" t="n">
        <v>0</v>
      </c>
      <c r="M546" t="n">
        <v>0</v>
      </c>
      <c r="N546" t="n">
        <v>0</v>
      </c>
      <c r="O546" t="n">
        <v>0</v>
      </c>
      <c r="P546" t="n">
        <v>0</v>
      </c>
      <c r="Q546" t="n">
        <v>0</v>
      </c>
      <c r="R546" s="2" t="inlineStr"/>
    </row>
    <row r="547" ht="15" customHeight="1">
      <c r="A547" t="inlineStr">
        <is>
          <t>A 30030-2021</t>
        </is>
      </c>
      <c r="B547" s="1" t="n">
        <v>44363</v>
      </c>
      <c r="C547" s="1" t="n">
        <v>46000</v>
      </c>
      <c r="D547" t="inlineStr">
        <is>
          <t>DALARNAS LÄN</t>
        </is>
      </c>
      <c r="E547" t="inlineStr">
        <is>
          <t>MORA</t>
        </is>
      </c>
      <c r="G547" t="n">
        <v>7.1</v>
      </c>
      <c r="H547" t="n">
        <v>0</v>
      </c>
      <c r="I547" t="n">
        <v>0</v>
      </c>
      <c r="J547" t="n">
        <v>0</v>
      </c>
      <c r="K547" t="n">
        <v>0</v>
      </c>
      <c r="L547" t="n">
        <v>0</v>
      </c>
      <c r="M547" t="n">
        <v>0</v>
      </c>
      <c r="N547" t="n">
        <v>0</v>
      </c>
      <c r="O547" t="n">
        <v>0</v>
      </c>
      <c r="P547" t="n">
        <v>0</v>
      </c>
      <c r="Q547" t="n">
        <v>0</v>
      </c>
      <c r="R547" s="2" t="inlineStr"/>
    </row>
    <row r="548" ht="15" customHeight="1">
      <c r="A548" t="inlineStr">
        <is>
          <t>A 33531-2024</t>
        </is>
      </c>
      <c r="B548" s="1" t="n">
        <v>45519.67503472222</v>
      </c>
      <c r="C548" s="1" t="n">
        <v>46000</v>
      </c>
      <c r="D548" t="inlineStr">
        <is>
          <t>DALARNAS LÄN</t>
        </is>
      </c>
      <c r="E548" t="inlineStr">
        <is>
          <t>MORA</t>
        </is>
      </c>
      <c r="G548" t="n">
        <v>14.8</v>
      </c>
      <c r="H548" t="n">
        <v>0</v>
      </c>
      <c r="I548" t="n">
        <v>0</v>
      </c>
      <c r="J548" t="n">
        <v>0</v>
      </c>
      <c r="K548" t="n">
        <v>0</v>
      </c>
      <c r="L548" t="n">
        <v>0</v>
      </c>
      <c r="M548" t="n">
        <v>0</v>
      </c>
      <c r="N548" t="n">
        <v>0</v>
      </c>
      <c r="O548" t="n">
        <v>0</v>
      </c>
      <c r="P548" t="n">
        <v>0</v>
      </c>
      <c r="Q548" t="n">
        <v>0</v>
      </c>
      <c r="R548" s="2" t="inlineStr"/>
    </row>
    <row r="549" ht="15" customHeight="1">
      <c r="A549" t="inlineStr">
        <is>
          <t>A 51780-2023</t>
        </is>
      </c>
      <c r="B549" s="1" t="n">
        <v>45222</v>
      </c>
      <c r="C549" s="1" t="n">
        <v>46000</v>
      </c>
      <c r="D549" t="inlineStr">
        <is>
          <t>DALARNAS LÄN</t>
        </is>
      </c>
      <c r="E549" t="inlineStr">
        <is>
          <t>MORA</t>
        </is>
      </c>
      <c r="G549" t="n">
        <v>9.9</v>
      </c>
      <c r="H549" t="n">
        <v>0</v>
      </c>
      <c r="I549" t="n">
        <v>0</v>
      </c>
      <c r="J549" t="n">
        <v>0</v>
      </c>
      <c r="K549" t="n">
        <v>0</v>
      </c>
      <c r="L549" t="n">
        <v>0</v>
      </c>
      <c r="M549" t="n">
        <v>0</v>
      </c>
      <c r="N549" t="n">
        <v>0</v>
      </c>
      <c r="O549" t="n">
        <v>0</v>
      </c>
      <c r="P549" t="n">
        <v>0</v>
      </c>
      <c r="Q549" t="n">
        <v>0</v>
      </c>
      <c r="R549" s="2" t="inlineStr"/>
    </row>
    <row r="550" ht="15" customHeight="1">
      <c r="A550" t="inlineStr">
        <is>
          <t>A 15818-2024</t>
        </is>
      </c>
      <c r="B550" s="1" t="n">
        <v>45404.67442129629</v>
      </c>
      <c r="C550" s="1" t="n">
        <v>46000</v>
      </c>
      <c r="D550" t="inlineStr">
        <is>
          <t>DALARNAS LÄN</t>
        </is>
      </c>
      <c r="E550" t="inlineStr">
        <is>
          <t>MORA</t>
        </is>
      </c>
      <c r="G550" t="n">
        <v>7</v>
      </c>
      <c r="H550" t="n">
        <v>0</v>
      </c>
      <c r="I550" t="n">
        <v>0</v>
      </c>
      <c r="J550" t="n">
        <v>0</v>
      </c>
      <c r="K550" t="n">
        <v>0</v>
      </c>
      <c r="L550" t="n">
        <v>0</v>
      </c>
      <c r="M550" t="n">
        <v>0</v>
      </c>
      <c r="N550" t="n">
        <v>0</v>
      </c>
      <c r="O550" t="n">
        <v>0</v>
      </c>
      <c r="P550" t="n">
        <v>0</v>
      </c>
      <c r="Q550" t="n">
        <v>0</v>
      </c>
      <c r="R550" s="2" t="inlineStr"/>
    </row>
    <row r="551" ht="15" customHeight="1">
      <c r="A551" t="inlineStr">
        <is>
          <t>A 33513-2024</t>
        </is>
      </c>
      <c r="B551" s="1" t="n">
        <v>45519.644375</v>
      </c>
      <c r="C551" s="1" t="n">
        <v>46000</v>
      </c>
      <c r="D551" t="inlineStr">
        <is>
          <t>DALARNAS LÄN</t>
        </is>
      </c>
      <c r="E551" t="inlineStr">
        <is>
          <t>MORA</t>
        </is>
      </c>
      <c r="G551" t="n">
        <v>5.9</v>
      </c>
      <c r="H551" t="n">
        <v>0</v>
      </c>
      <c r="I551" t="n">
        <v>0</v>
      </c>
      <c r="J551" t="n">
        <v>0</v>
      </c>
      <c r="K551" t="n">
        <v>0</v>
      </c>
      <c r="L551" t="n">
        <v>0</v>
      </c>
      <c r="M551" t="n">
        <v>0</v>
      </c>
      <c r="N551" t="n">
        <v>0</v>
      </c>
      <c r="O551" t="n">
        <v>0</v>
      </c>
      <c r="P551" t="n">
        <v>0</v>
      </c>
      <c r="Q551" t="n">
        <v>0</v>
      </c>
      <c r="R551" s="2" t="inlineStr"/>
    </row>
    <row r="552" ht="15" customHeight="1">
      <c r="A552" t="inlineStr">
        <is>
          <t>A 35040-2023</t>
        </is>
      </c>
      <c r="B552" s="1" t="n">
        <v>45145.36853009259</v>
      </c>
      <c r="C552" s="1" t="n">
        <v>46000</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44595-2024</t>
        </is>
      </c>
      <c r="B553" s="1" t="n">
        <v>45574.51053240741</v>
      </c>
      <c r="C553" s="1" t="n">
        <v>46000</v>
      </c>
      <c r="D553" t="inlineStr">
        <is>
          <t>DALARNAS LÄN</t>
        </is>
      </c>
      <c r="E553" t="inlineStr">
        <is>
          <t>MORA</t>
        </is>
      </c>
      <c r="G553" t="n">
        <v>0.8</v>
      </c>
      <c r="H553" t="n">
        <v>0</v>
      </c>
      <c r="I553" t="n">
        <v>0</v>
      </c>
      <c r="J553" t="n">
        <v>0</v>
      </c>
      <c r="K553" t="n">
        <v>0</v>
      </c>
      <c r="L553" t="n">
        <v>0</v>
      </c>
      <c r="M553" t="n">
        <v>0</v>
      </c>
      <c r="N553" t="n">
        <v>0</v>
      </c>
      <c r="O553" t="n">
        <v>0</v>
      </c>
      <c r="P553" t="n">
        <v>0</v>
      </c>
      <c r="Q553" t="n">
        <v>0</v>
      </c>
      <c r="R553" s="2" t="inlineStr"/>
    </row>
    <row r="554" ht="15" customHeight="1">
      <c r="A554" t="inlineStr">
        <is>
          <t>A 61293-2022</t>
        </is>
      </c>
      <c r="B554" s="1" t="n">
        <v>44915.62751157407</v>
      </c>
      <c r="C554" s="1" t="n">
        <v>46000</v>
      </c>
      <c r="D554" t="inlineStr">
        <is>
          <t>DALARNAS LÄN</t>
        </is>
      </c>
      <c r="E554" t="inlineStr">
        <is>
          <t>MORA</t>
        </is>
      </c>
      <c r="G554" t="n">
        <v>0.3</v>
      </c>
      <c r="H554" t="n">
        <v>0</v>
      </c>
      <c r="I554" t="n">
        <v>0</v>
      </c>
      <c r="J554" t="n">
        <v>0</v>
      </c>
      <c r="K554" t="n">
        <v>0</v>
      </c>
      <c r="L554" t="n">
        <v>0</v>
      </c>
      <c r="M554" t="n">
        <v>0</v>
      </c>
      <c r="N554" t="n">
        <v>0</v>
      </c>
      <c r="O554" t="n">
        <v>0</v>
      </c>
      <c r="P554" t="n">
        <v>0</v>
      </c>
      <c r="Q554" t="n">
        <v>0</v>
      </c>
      <c r="R554" s="2" t="inlineStr"/>
    </row>
    <row r="555" ht="15" customHeight="1">
      <c r="A555" t="inlineStr">
        <is>
          <t>A 46412-2024</t>
        </is>
      </c>
      <c r="B555" s="1" t="n">
        <v>45582.44894675926</v>
      </c>
      <c r="C555" s="1" t="n">
        <v>46000</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57091-2021</t>
        </is>
      </c>
      <c r="B556" s="1" t="n">
        <v>44482</v>
      </c>
      <c r="C556" s="1" t="n">
        <v>46000</v>
      </c>
      <c r="D556" t="inlineStr">
        <is>
          <t>DALARNAS LÄN</t>
        </is>
      </c>
      <c r="E556" t="inlineStr">
        <is>
          <t>MORA</t>
        </is>
      </c>
      <c r="G556" t="n">
        <v>1</v>
      </c>
      <c r="H556" t="n">
        <v>0</v>
      </c>
      <c r="I556" t="n">
        <v>0</v>
      </c>
      <c r="J556" t="n">
        <v>0</v>
      </c>
      <c r="K556" t="n">
        <v>0</v>
      </c>
      <c r="L556" t="n">
        <v>0</v>
      </c>
      <c r="M556" t="n">
        <v>0</v>
      </c>
      <c r="N556" t="n">
        <v>0</v>
      </c>
      <c r="O556" t="n">
        <v>0</v>
      </c>
      <c r="P556" t="n">
        <v>0</v>
      </c>
      <c r="Q556" t="n">
        <v>0</v>
      </c>
      <c r="R556" s="2" t="inlineStr"/>
    </row>
    <row r="557" ht="15" customHeight="1">
      <c r="A557" t="inlineStr">
        <is>
          <t>A 50685-2023</t>
        </is>
      </c>
      <c r="B557" s="1" t="n">
        <v>45210</v>
      </c>
      <c r="C557" s="1" t="n">
        <v>46000</v>
      </c>
      <c r="D557" t="inlineStr">
        <is>
          <t>DALARNAS LÄN</t>
        </is>
      </c>
      <c r="E557" t="inlineStr">
        <is>
          <t>MORA</t>
        </is>
      </c>
      <c r="G557" t="n">
        <v>1.7</v>
      </c>
      <c r="H557" t="n">
        <v>0</v>
      </c>
      <c r="I557" t="n">
        <v>0</v>
      </c>
      <c r="J557" t="n">
        <v>0</v>
      </c>
      <c r="K557" t="n">
        <v>0</v>
      </c>
      <c r="L557" t="n">
        <v>0</v>
      </c>
      <c r="M557" t="n">
        <v>0</v>
      </c>
      <c r="N557" t="n">
        <v>0</v>
      </c>
      <c r="O557" t="n">
        <v>0</v>
      </c>
      <c r="P557" t="n">
        <v>0</v>
      </c>
      <c r="Q557" t="n">
        <v>0</v>
      </c>
      <c r="R557" s="2" t="inlineStr"/>
    </row>
    <row r="558" ht="15" customHeight="1">
      <c r="A558" t="inlineStr">
        <is>
          <t>A 36740-2023</t>
        </is>
      </c>
      <c r="B558" s="1" t="n">
        <v>45153</v>
      </c>
      <c r="C558" s="1" t="n">
        <v>46000</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31177-2021</t>
        </is>
      </c>
      <c r="B559" s="1" t="n">
        <v>44368</v>
      </c>
      <c r="C559" s="1" t="n">
        <v>46000</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65186-2021</t>
        </is>
      </c>
      <c r="B560" s="1" t="n">
        <v>44515</v>
      </c>
      <c r="C560" s="1" t="n">
        <v>46000</v>
      </c>
      <c r="D560" t="inlineStr">
        <is>
          <t>DALARNAS LÄN</t>
        </is>
      </c>
      <c r="E560" t="inlineStr">
        <is>
          <t>MORA</t>
        </is>
      </c>
      <c r="G560" t="n">
        <v>1.4</v>
      </c>
      <c r="H560" t="n">
        <v>0</v>
      </c>
      <c r="I560" t="n">
        <v>0</v>
      </c>
      <c r="J560" t="n">
        <v>0</v>
      </c>
      <c r="K560" t="n">
        <v>0</v>
      </c>
      <c r="L560" t="n">
        <v>0</v>
      </c>
      <c r="M560" t="n">
        <v>0</v>
      </c>
      <c r="N560" t="n">
        <v>0</v>
      </c>
      <c r="O560" t="n">
        <v>0</v>
      </c>
      <c r="P560" t="n">
        <v>0</v>
      </c>
      <c r="Q560" t="n">
        <v>0</v>
      </c>
      <c r="R560" s="2" t="inlineStr"/>
    </row>
    <row r="561" ht="15" customHeight="1">
      <c r="A561" t="inlineStr">
        <is>
          <t>A 58171-2024</t>
        </is>
      </c>
      <c r="B561" s="1" t="n">
        <v>45632.46545138889</v>
      </c>
      <c r="C561" s="1" t="n">
        <v>46000</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17167-2025</t>
        </is>
      </c>
      <c r="B562" s="1" t="n">
        <v>45756.36844907407</v>
      </c>
      <c r="C562" s="1" t="n">
        <v>46000</v>
      </c>
      <c r="D562" t="inlineStr">
        <is>
          <t>DALARNAS LÄN</t>
        </is>
      </c>
      <c r="E562" t="inlineStr">
        <is>
          <t>MORA</t>
        </is>
      </c>
      <c r="F562" t="inlineStr">
        <is>
          <t>Bergvik skog öst AB</t>
        </is>
      </c>
      <c r="G562" t="n">
        <v>1.7</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46000</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36184-2021</t>
        </is>
      </c>
      <c r="B564" s="1" t="n">
        <v>44389</v>
      </c>
      <c r="C564" s="1" t="n">
        <v>46000</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17529-2023</t>
        </is>
      </c>
      <c r="B565" s="1" t="n">
        <v>45036.46804398148</v>
      </c>
      <c r="C565" s="1" t="n">
        <v>46000</v>
      </c>
      <c r="D565" t="inlineStr">
        <is>
          <t>DALARNAS LÄN</t>
        </is>
      </c>
      <c r="E565" t="inlineStr">
        <is>
          <t>MORA</t>
        </is>
      </c>
      <c r="G565" t="n">
        <v>6</v>
      </c>
      <c r="H565" t="n">
        <v>0</v>
      </c>
      <c r="I565" t="n">
        <v>0</v>
      </c>
      <c r="J565" t="n">
        <v>0</v>
      </c>
      <c r="K565" t="n">
        <v>0</v>
      </c>
      <c r="L565" t="n">
        <v>0</v>
      </c>
      <c r="M565" t="n">
        <v>0</v>
      </c>
      <c r="N565" t="n">
        <v>0</v>
      </c>
      <c r="O565" t="n">
        <v>0</v>
      </c>
      <c r="P565" t="n">
        <v>0</v>
      </c>
      <c r="Q565" t="n">
        <v>0</v>
      </c>
      <c r="R565" s="2" t="inlineStr"/>
    </row>
    <row r="566" ht="15" customHeight="1">
      <c r="A566" t="inlineStr">
        <is>
          <t>A 44201-2023</t>
        </is>
      </c>
      <c r="B566" s="1" t="n">
        <v>45188</v>
      </c>
      <c r="C566" s="1" t="n">
        <v>46000</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16522-2024</t>
        </is>
      </c>
      <c r="B567" s="1" t="n">
        <v>45408.41166666667</v>
      </c>
      <c r="C567" s="1" t="n">
        <v>46000</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36038-2024</t>
        </is>
      </c>
      <c r="B568" s="1" t="n">
        <v>45533</v>
      </c>
      <c r="C568" s="1" t="n">
        <v>46000</v>
      </c>
      <c r="D568" t="inlineStr">
        <is>
          <t>DALARNAS LÄN</t>
        </is>
      </c>
      <c r="E568" t="inlineStr">
        <is>
          <t>MORA</t>
        </is>
      </c>
      <c r="G568" t="n">
        <v>5.1</v>
      </c>
      <c r="H568" t="n">
        <v>0</v>
      </c>
      <c r="I568" t="n">
        <v>0</v>
      </c>
      <c r="J568" t="n">
        <v>0</v>
      </c>
      <c r="K568" t="n">
        <v>0</v>
      </c>
      <c r="L568" t="n">
        <v>0</v>
      </c>
      <c r="M568" t="n">
        <v>0</v>
      </c>
      <c r="N568" t="n">
        <v>0</v>
      </c>
      <c r="O568" t="n">
        <v>0</v>
      </c>
      <c r="P568" t="n">
        <v>0</v>
      </c>
      <c r="Q568" t="n">
        <v>0</v>
      </c>
      <c r="R568" s="2" t="inlineStr"/>
    </row>
    <row r="569" ht="15" customHeight="1">
      <c r="A569" t="inlineStr">
        <is>
          <t>A 2865-2022</t>
        </is>
      </c>
      <c r="B569" s="1" t="n">
        <v>44581</v>
      </c>
      <c r="C569" s="1" t="n">
        <v>46000</v>
      </c>
      <c r="D569" t="inlineStr">
        <is>
          <t>DALARNAS LÄN</t>
        </is>
      </c>
      <c r="E569" t="inlineStr">
        <is>
          <t>MORA</t>
        </is>
      </c>
      <c r="G569" t="n">
        <v>2</v>
      </c>
      <c r="H569" t="n">
        <v>0</v>
      </c>
      <c r="I569" t="n">
        <v>0</v>
      </c>
      <c r="J569" t="n">
        <v>0</v>
      </c>
      <c r="K569" t="n">
        <v>0</v>
      </c>
      <c r="L569" t="n">
        <v>0</v>
      </c>
      <c r="M569" t="n">
        <v>0</v>
      </c>
      <c r="N569" t="n">
        <v>0</v>
      </c>
      <c r="O569" t="n">
        <v>0</v>
      </c>
      <c r="P569" t="n">
        <v>0</v>
      </c>
      <c r="Q569" t="n">
        <v>0</v>
      </c>
      <c r="R569" s="2" t="inlineStr"/>
    </row>
    <row r="570" ht="15" customHeight="1">
      <c r="A570" t="inlineStr">
        <is>
          <t>A 56834-2024</t>
        </is>
      </c>
      <c r="B570" s="1" t="n">
        <v>45628.49931712963</v>
      </c>
      <c r="C570" s="1" t="n">
        <v>46000</v>
      </c>
      <c r="D570" t="inlineStr">
        <is>
          <t>DALARNAS LÄN</t>
        </is>
      </c>
      <c r="E570" t="inlineStr">
        <is>
          <t>MORA</t>
        </is>
      </c>
      <c r="G570" t="n">
        <v>0.4</v>
      </c>
      <c r="H570" t="n">
        <v>0</v>
      </c>
      <c r="I570" t="n">
        <v>0</v>
      </c>
      <c r="J570" t="n">
        <v>0</v>
      </c>
      <c r="K570" t="n">
        <v>0</v>
      </c>
      <c r="L570" t="n">
        <v>0</v>
      </c>
      <c r="M570" t="n">
        <v>0</v>
      </c>
      <c r="N570" t="n">
        <v>0</v>
      </c>
      <c r="O570" t="n">
        <v>0</v>
      </c>
      <c r="P570" t="n">
        <v>0</v>
      </c>
      <c r="Q570" t="n">
        <v>0</v>
      </c>
      <c r="R570" s="2" t="inlineStr"/>
    </row>
    <row r="571" ht="15" customHeight="1">
      <c r="A571" t="inlineStr">
        <is>
          <t>A 47036-2023</t>
        </is>
      </c>
      <c r="B571" s="1" t="n">
        <v>45196</v>
      </c>
      <c r="C571" s="1" t="n">
        <v>46000</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20544-2025</t>
        </is>
      </c>
      <c r="B572" s="1" t="n">
        <v>45775.63119212963</v>
      </c>
      <c r="C572" s="1" t="n">
        <v>46000</v>
      </c>
      <c r="D572" t="inlineStr">
        <is>
          <t>DALARNAS LÄN</t>
        </is>
      </c>
      <c r="E572" t="inlineStr">
        <is>
          <t>MORA</t>
        </is>
      </c>
      <c r="G572" t="n">
        <v>3.6</v>
      </c>
      <c r="H572" t="n">
        <v>0</v>
      </c>
      <c r="I572" t="n">
        <v>0</v>
      </c>
      <c r="J572" t="n">
        <v>0</v>
      </c>
      <c r="K572" t="n">
        <v>0</v>
      </c>
      <c r="L572" t="n">
        <v>0</v>
      </c>
      <c r="M572" t="n">
        <v>0</v>
      </c>
      <c r="N572" t="n">
        <v>0</v>
      </c>
      <c r="O572" t="n">
        <v>0</v>
      </c>
      <c r="P572" t="n">
        <v>0</v>
      </c>
      <c r="Q572" t="n">
        <v>0</v>
      </c>
      <c r="R572" s="2" t="inlineStr"/>
    </row>
    <row r="573" ht="15" customHeight="1">
      <c r="A573" t="inlineStr">
        <is>
          <t>A 51965-2024</t>
        </is>
      </c>
      <c r="B573" s="1" t="n">
        <v>45607.65123842593</v>
      </c>
      <c r="C573" s="1" t="n">
        <v>46000</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20401-2022</t>
        </is>
      </c>
      <c r="B574" s="1" t="n">
        <v>44699</v>
      </c>
      <c r="C574" s="1" t="n">
        <v>46000</v>
      </c>
      <c r="D574" t="inlineStr">
        <is>
          <t>DALARNAS LÄN</t>
        </is>
      </c>
      <c r="E574" t="inlineStr">
        <is>
          <t>MORA</t>
        </is>
      </c>
      <c r="G574" t="n">
        <v>3.2</v>
      </c>
      <c r="H574" t="n">
        <v>0</v>
      </c>
      <c r="I574" t="n">
        <v>0</v>
      </c>
      <c r="J574" t="n">
        <v>0</v>
      </c>
      <c r="K574" t="n">
        <v>0</v>
      </c>
      <c r="L574" t="n">
        <v>0</v>
      </c>
      <c r="M574" t="n">
        <v>0</v>
      </c>
      <c r="N574" t="n">
        <v>0</v>
      </c>
      <c r="O574" t="n">
        <v>0</v>
      </c>
      <c r="P574" t="n">
        <v>0</v>
      </c>
      <c r="Q574" t="n">
        <v>0</v>
      </c>
      <c r="R574" s="2" t="inlineStr"/>
    </row>
    <row r="575" ht="15" customHeight="1">
      <c r="A575" t="inlineStr">
        <is>
          <t>A 25494-2024</t>
        </is>
      </c>
      <c r="B575" s="1" t="n">
        <v>45463</v>
      </c>
      <c r="C575" s="1" t="n">
        <v>46000</v>
      </c>
      <c r="D575" t="inlineStr">
        <is>
          <t>DALARNAS LÄN</t>
        </is>
      </c>
      <c r="E575" t="inlineStr">
        <is>
          <t>MORA</t>
        </is>
      </c>
      <c r="G575" t="n">
        <v>4.9</v>
      </c>
      <c r="H575" t="n">
        <v>0</v>
      </c>
      <c r="I575" t="n">
        <v>0</v>
      </c>
      <c r="J575" t="n">
        <v>0</v>
      </c>
      <c r="K575" t="n">
        <v>0</v>
      </c>
      <c r="L575" t="n">
        <v>0</v>
      </c>
      <c r="M575" t="n">
        <v>0</v>
      </c>
      <c r="N575" t="n">
        <v>0</v>
      </c>
      <c r="O575" t="n">
        <v>0</v>
      </c>
      <c r="P575" t="n">
        <v>0</v>
      </c>
      <c r="Q575" t="n">
        <v>0</v>
      </c>
      <c r="R575" s="2" t="inlineStr"/>
    </row>
    <row r="576" ht="15" customHeight="1">
      <c r="A576" t="inlineStr">
        <is>
          <t>A 38627-2023</t>
        </is>
      </c>
      <c r="B576" s="1" t="n">
        <v>45162.68787037037</v>
      </c>
      <c r="C576" s="1" t="n">
        <v>46000</v>
      </c>
      <c r="D576" t="inlineStr">
        <is>
          <t>DALARNAS LÄN</t>
        </is>
      </c>
      <c r="E576" t="inlineStr">
        <is>
          <t>MORA</t>
        </is>
      </c>
      <c r="G576" t="n">
        <v>6.5</v>
      </c>
      <c r="H576" t="n">
        <v>0</v>
      </c>
      <c r="I576" t="n">
        <v>0</v>
      </c>
      <c r="J576" t="n">
        <v>0</v>
      </c>
      <c r="K576" t="n">
        <v>0</v>
      </c>
      <c r="L576" t="n">
        <v>0</v>
      </c>
      <c r="M576" t="n">
        <v>0</v>
      </c>
      <c r="N576" t="n">
        <v>0</v>
      </c>
      <c r="O576" t="n">
        <v>0</v>
      </c>
      <c r="P576" t="n">
        <v>0</v>
      </c>
      <c r="Q576" t="n">
        <v>0</v>
      </c>
      <c r="R576" s="2" t="inlineStr"/>
    </row>
    <row r="577" ht="15" customHeight="1">
      <c r="A577" t="inlineStr">
        <is>
          <t>A 64088-2023</t>
        </is>
      </c>
      <c r="B577" s="1" t="n">
        <v>45279.43570601852</v>
      </c>
      <c r="C577" s="1" t="n">
        <v>46000</v>
      </c>
      <c r="D577" t="inlineStr">
        <is>
          <t>DALARNAS LÄN</t>
        </is>
      </c>
      <c r="E577" t="inlineStr">
        <is>
          <t>MORA</t>
        </is>
      </c>
      <c r="G577" t="n">
        <v>1</v>
      </c>
      <c r="H577" t="n">
        <v>0</v>
      </c>
      <c r="I577" t="n">
        <v>0</v>
      </c>
      <c r="J577" t="n">
        <v>0</v>
      </c>
      <c r="K577" t="n">
        <v>0</v>
      </c>
      <c r="L577" t="n">
        <v>0</v>
      </c>
      <c r="M577" t="n">
        <v>0</v>
      </c>
      <c r="N577" t="n">
        <v>0</v>
      </c>
      <c r="O577" t="n">
        <v>0</v>
      </c>
      <c r="P577" t="n">
        <v>0</v>
      </c>
      <c r="Q577" t="n">
        <v>0</v>
      </c>
      <c r="R577" s="2" t="inlineStr"/>
    </row>
    <row r="578" ht="15" customHeight="1">
      <c r="A578" t="inlineStr">
        <is>
          <t>A 2830-2023</t>
        </is>
      </c>
      <c r="B578" s="1" t="n">
        <v>44945.32997685186</v>
      </c>
      <c r="C578" s="1" t="n">
        <v>46000</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39882-2024</t>
        </is>
      </c>
      <c r="B579" s="1" t="n">
        <v>45553</v>
      </c>
      <c r="C579" s="1" t="n">
        <v>46000</v>
      </c>
      <c r="D579" t="inlineStr">
        <is>
          <t>DALARNAS LÄN</t>
        </is>
      </c>
      <c r="E579" t="inlineStr">
        <is>
          <t>MORA</t>
        </is>
      </c>
      <c r="G579" t="n">
        <v>14.6</v>
      </c>
      <c r="H579" t="n">
        <v>0</v>
      </c>
      <c r="I579" t="n">
        <v>0</v>
      </c>
      <c r="J579" t="n">
        <v>0</v>
      </c>
      <c r="K579" t="n">
        <v>0</v>
      </c>
      <c r="L579" t="n">
        <v>0</v>
      </c>
      <c r="M579" t="n">
        <v>0</v>
      </c>
      <c r="N579" t="n">
        <v>0</v>
      </c>
      <c r="O579" t="n">
        <v>0</v>
      </c>
      <c r="P579" t="n">
        <v>0</v>
      </c>
      <c r="Q579" t="n">
        <v>0</v>
      </c>
      <c r="R579" s="2" t="inlineStr"/>
    </row>
    <row r="580" ht="15" customHeight="1">
      <c r="A580" t="inlineStr">
        <is>
          <t>A 43566-2023</t>
        </is>
      </c>
      <c r="B580" s="1" t="n">
        <v>45184.58199074074</v>
      </c>
      <c r="C580" s="1" t="n">
        <v>46000</v>
      </c>
      <c r="D580" t="inlineStr">
        <is>
          <t>DALARNAS LÄN</t>
        </is>
      </c>
      <c r="E580" t="inlineStr">
        <is>
          <t>MORA</t>
        </is>
      </c>
      <c r="F580" t="inlineStr">
        <is>
          <t>Bergvik skog väst AB</t>
        </is>
      </c>
      <c r="G580" t="n">
        <v>4.3</v>
      </c>
      <c r="H580" t="n">
        <v>0</v>
      </c>
      <c r="I580" t="n">
        <v>0</v>
      </c>
      <c r="J580" t="n">
        <v>0</v>
      </c>
      <c r="K580" t="n">
        <v>0</v>
      </c>
      <c r="L580" t="n">
        <v>0</v>
      </c>
      <c r="M580" t="n">
        <v>0</v>
      </c>
      <c r="N580" t="n">
        <v>0</v>
      </c>
      <c r="O580" t="n">
        <v>0</v>
      </c>
      <c r="P580" t="n">
        <v>0</v>
      </c>
      <c r="Q580" t="n">
        <v>0</v>
      </c>
      <c r="R580" s="2" t="inlineStr"/>
    </row>
    <row r="581" ht="15" customHeight="1">
      <c r="A581" t="inlineStr">
        <is>
          <t>A 46414-2024</t>
        </is>
      </c>
      <c r="B581" s="1" t="n">
        <v>45582.45226851852</v>
      </c>
      <c r="C581" s="1" t="n">
        <v>46000</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46417-2024</t>
        </is>
      </c>
      <c r="B582" s="1" t="n">
        <v>45582.45449074074</v>
      </c>
      <c r="C582" s="1" t="n">
        <v>46000</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5491-2023</t>
        </is>
      </c>
      <c r="B583" s="1" t="n">
        <v>44957</v>
      </c>
      <c r="C583" s="1" t="n">
        <v>46000</v>
      </c>
      <c r="D583" t="inlineStr">
        <is>
          <t>DALARNAS LÄN</t>
        </is>
      </c>
      <c r="E583" t="inlineStr">
        <is>
          <t>MORA</t>
        </is>
      </c>
      <c r="G583" t="n">
        <v>3.5</v>
      </c>
      <c r="H583" t="n">
        <v>0</v>
      </c>
      <c r="I583" t="n">
        <v>0</v>
      </c>
      <c r="J583" t="n">
        <v>0</v>
      </c>
      <c r="K583" t="n">
        <v>0</v>
      </c>
      <c r="L583" t="n">
        <v>0</v>
      </c>
      <c r="M583" t="n">
        <v>0</v>
      </c>
      <c r="N583" t="n">
        <v>0</v>
      </c>
      <c r="O583" t="n">
        <v>0</v>
      </c>
      <c r="P583" t="n">
        <v>0</v>
      </c>
      <c r="Q583" t="n">
        <v>0</v>
      </c>
      <c r="R583" s="2" t="inlineStr"/>
    </row>
    <row r="584" ht="15" customHeight="1">
      <c r="A584" t="inlineStr">
        <is>
          <t>A 5493-2023</t>
        </is>
      </c>
      <c r="B584" s="1" t="n">
        <v>44957</v>
      </c>
      <c r="C584" s="1" t="n">
        <v>46000</v>
      </c>
      <c r="D584" t="inlineStr">
        <is>
          <t>DALARNAS LÄN</t>
        </is>
      </c>
      <c r="E584" t="inlineStr">
        <is>
          <t>MORA</t>
        </is>
      </c>
      <c r="F584" t="inlineStr">
        <is>
          <t>Allmännings- och besparingsskogar</t>
        </is>
      </c>
      <c r="G584" t="n">
        <v>14.9</v>
      </c>
      <c r="H584" t="n">
        <v>0</v>
      </c>
      <c r="I584" t="n">
        <v>0</v>
      </c>
      <c r="J584" t="n">
        <v>0</v>
      </c>
      <c r="K584" t="n">
        <v>0</v>
      </c>
      <c r="L584" t="n">
        <v>0</v>
      </c>
      <c r="M584" t="n">
        <v>0</v>
      </c>
      <c r="N584" t="n">
        <v>0</v>
      </c>
      <c r="O584" t="n">
        <v>0</v>
      </c>
      <c r="P584" t="n">
        <v>0</v>
      </c>
      <c r="Q584" t="n">
        <v>0</v>
      </c>
      <c r="R584" s="2" t="inlineStr"/>
    </row>
    <row r="585" ht="15" customHeight="1">
      <c r="A585" t="inlineStr">
        <is>
          <t>A 48825-2023</t>
        </is>
      </c>
      <c r="B585" s="1" t="n">
        <v>45203</v>
      </c>
      <c r="C585" s="1" t="n">
        <v>46000</v>
      </c>
      <c r="D585" t="inlineStr">
        <is>
          <t>DALARNAS LÄN</t>
        </is>
      </c>
      <c r="E585" t="inlineStr">
        <is>
          <t>MORA</t>
        </is>
      </c>
      <c r="G585" t="n">
        <v>7.9</v>
      </c>
      <c r="H585" t="n">
        <v>0</v>
      </c>
      <c r="I585" t="n">
        <v>0</v>
      </c>
      <c r="J585" t="n">
        <v>0</v>
      </c>
      <c r="K585" t="n">
        <v>0</v>
      </c>
      <c r="L585" t="n">
        <v>0</v>
      </c>
      <c r="M585" t="n">
        <v>0</v>
      </c>
      <c r="N585" t="n">
        <v>0</v>
      </c>
      <c r="O585" t="n">
        <v>0</v>
      </c>
      <c r="P585" t="n">
        <v>0</v>
      </c>
      <c r="Q585" t="n">
        <v>0</v>
      </c>
      <c r="R585" s="2" t="inlineStr"/>
    </row>
    <row r="586" ht="15" customHeight="1">
      <c r="A586" t="inlineStr">
        <is>
          <t>A 29193-2023</t>
        </is>
      </c>
      <c r="B586" s="1" t="n">
        <v>45105.54791666667</v>
      </c>
      <c r="C586" s="1" t="n">
        <v>46000</v>
      </c>
      <c r="D586" t="inlineStr">
        <is>
          <t>DALARNAS LÄN</t>
        </is>
      </c>
      <c r="E586" t="inlineStr">
        <is>
          <t>MORA</t>
        </is>
      </c>
      <c r="G586" t="n">
        <v>0.4</v>
      </c>
      <c r="H586" t="n">
        <v>0</v>
      </c>
      <c r="I586" t="n">
        <v>0</v>
      </c>
      <c r="J586" t="n">
        <v>0</v>
      </c>
      <c r="K586" t="n">
        <v>0</v>
      </c>
      <c r="L586" t="n">
        <v>0</v>
      </c>
      <c r="M586" t="n">
        <v>0</v>
      </c>
      <c r="N586" t="n">
        <v>0</v>
      </c>
      <c r="O586" t="n">
        <v>0</v>
      </c>
      <c r="P586" t="n">
        <v>0</v>
      </c>
      <c r="Q586" t="n">
        <v>0</v>
      </c>
      <c r="R586" s="2" t="inlineStr"/>
    </row>
    <row r="587" ht="15" customHeight="1">
      <c r="A587" t="inlineStr">
        <is>
          <t>A 18444-2024</t>
        </is>
      </c>
      <c r="B587" s="1" t="n">
        <v>45425.45568287037</v>
      </c>
      <c r="C587" s="1" t="n">
        <v>46000</v>
      </c>
      <c r="D587" t="inlineStr">
        <is>
          <t>DALARNAS LÄN</t>
        </is>
      </c>
      <c r="E587" t="inlineStr">
        <is>
          <t>MORA</t>
        </is>
      </c>
      <c r="G587" t="n">
        <v>5</v>
      </c>
      <c r="H587" t="n">
        <v>0</v>
      </c>
      <c r="I587" t="n">
        <v>0</v>
      </c>
      <c r="J587" t="n">
        <v>0</v>
      </c>
      <c r="K587" t="n">
        <v>0</v>
      </c>
      <c r="L587" t="n">
        <v>0</v>
      </c>
      <c r="M587" t="n">
        <v>0</v>
      </c>
      <c r="N587" t="n">
        <v>0</v>
      </c>
      <c r="O587" t="n">
        <v>0</v>
      </c>
      <c r="P587" t="n">
        <v>0</v>
      </c>
      <c r="Q587" t="n">
        <v>0</v>
      </c>
      <c r="R587" s="2" t="inlineStr"/>
    </row>
    <row r="588" ht="15" customHeight="1">
      <c r="A588" t="inlineStr">
        <is>
          <t>A 47784-2024</t>
        </is>
      </c>
      <c r="B588" s="1" t="n">
        <v>45588.59290509259</v>
      </c>
      <c r="C588" s="1" t="n">
        <v>46000</v>
      </c>
      <c r="D588" t="inlineStr">
        <is>
          <t>DALARNAS LÄN</t>
        </is>
      </c>
      <c r="E588" t="inlineStr">
        <is>
          <t>MORA</t>
        </is>
      </c>
      <c r="G588" t="n">
        <v>15.3</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45147.3934837963</v>
      </c>
      <c r="C589" s="1" t="n">
        <v>46000</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59174-2023</t>
        </is>
      </c>
      <c r="B590" s="1" t="n">
        <v>45253.43202546296</v>
      </c>
      <c r="C590" s="1" t="n">
        <v>46000</v>
      </c>
      <c r="D590" t="inlineStr">
        <is>
          <t>DALARNAS LÄN</t>
        </is>
      </c>
      <c r="E590" t="inlineStr">
        <is>
          <t>MORA</t>
        </is>
      </c>
      <c r="G590" t="n">
        <v>2.5</v>
      </c>
      <c r="H590" t="n">
        <v>0</v>
      </c>
      <c r="I590" t="n">
        <v>0</v>
      </c>
      <c r="J590" t="n">
        <v>0</v>
      </c>
      <c r="K590" t="n">
        <v>0</v>
      </c>
      <c r="L590" t="n">
        <v>0</v>
      </c>
      <c r="M590" t="n">
        <v>0</v>
      </c>
      <c r="N590" t="n">
        <v>0</v>
      </c>
      <c r="O590" t="n">
        <v>0</v>
      </c>
      <c r="P590" t="n">
        <v>0</v>
      </c>
      <c r="Q590" t="n">
        <v>0</v>
      </c>
      <c r="R590" s="2" t="inlineStr"/>
    </row>
    <row r="591" ht="15" customHeight="1">
      <c r="A591" t="inlineStr">
        <is>
          <t>A 55331-2022</t>
        </is>
      </c>
      <c r="B591" s="1" t="n">
        <v>44887.43714120371</v>
      </c>
      <c r="C591" s="1" t="n">
        <v>46000</v>
      </c>
      <c r="D591" t="inlineStr">
        <is>
          <t>DALARNAS LÄN</t>
        </is>
      </c>
      <c r="E591" t="inlineStr">
        <is>
          <t>MORA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42085-2024</t>
        </is>
      </c>
      <c r="B592" s="1" t="n">
        <v>45562.33179398148</v>
      </c>
      <c r="C592" s="1" t="n">
        <v>46000</v>
      </c>
      <c r="D592" t="inlineStr">
        <is>
          <t>DALARNAS LÄN</t>
        </is>
      </c>
      <c r="E592" t="inlineStr">
        <is>
          <t>MORA</t>
        </is>
      </c>
      <c r="G592" t="n">
        <v>4.9</v>
      </c>
      <c r="H592" t="n">
        <v>0</v>
      </c>
      <c r="I592" t="n">
        <v>0</v>
      </c>
      <c r="J592" t="n">
        <v>0</v>
      </c>
      <c r="K592" t="n">
        <v>0</v>
      </c>
      <c r="L592" t="n">
        <v>0</v>
      </c>
      <c r="M592" t="n">
        <v>0</v>
      </c>
      <c r="N592" t="n">
        <v>0</v>
      </c>
      <c r="O592" t="n">
        <v>0</v>
      </c>
      <c r="P592" t="n">
        <v>0</v>
      </c>
      <c r="Q592" t="n">
        <v>0</v>
      </c>
      <c r="R592" s="2" t="inlineStr"/>
    </row>
    <row r="593" ht="15" customHeight="1">
      <c r="A593" t="inlineStr">
        <is>
          <t>A 60187-2024</t>
        </is>
      </c>
      <c r="B593" s="1" t="n">
        <v>45642.64803240741</v>
      </c>
      <c r="C593" s="1" t="n">
        <v>46000</v>
      </c>
      <c r="D593" t="inlineStr">
        <is>
          <t>DALARNAS LÄN</t>
        </is>
      </c>
      <c r="E593" t="inlineStr">
        <is>
          <t>MORA</t>
        </is>
      </c>
      <c r="F593" t="inlineStr">
        <is>
          <t>Allmännings- och besparingsskogar</t>
        </is>
      </c>
      <c r="G593" t="n">
        <v>24.6</v>
      </c>
      <c r="H593" t="n">
        <v>0</v>
      </c>
      <c r="I593" t="n">
        <v>0</v>
      </c>
      <c r="J593" t="n">
        <v>0</v>
      </c>
      <c r="K593" t="n">
        <v>0</v>
      </c>
      <c r="L593" t="n">
        <v>0</v>
      </c>
      <c r="M593" t="n">
        <v>0</v>
      </c>
      <c r="N593" t="n">
        <v>0</v>
      </c>
      <c r="O593" t="n">
        <v>0</v>
      </c>
      <c r="P593" t="n">
        <v>0</v>
      </c>
      <c r="Q593" t="n">
        <v>0</v>
      </c>
      <c r="R593" s="2" t="inlineStr"/>
    </row>
    <row r="594" ht="15" customHeight="1">
      <c r="A594" t="inlineStr">
        <is>
          <t>A 61222-2023</t>
        </is>
      </c>
      <c r="B594" s="1" t="n">
        <v>45264</v>
      </c>
      <c r="C594" s="1" t="n">
        <v>46000</v>
      </c>
      <c r="D594" t="inlineStr">
        <is>
          <t>DALARNAS LÄN</t>
        </is>
      </c>
      <c r="E594" t="inlineStr">
        <is>
          <t>MORA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40949-2023</t>
        </is>
      </c>
      <c r="B595" s="1" t="n">
        <v>45173</v>
      </c>
      <c r="C595" s="1" t="n">
        <v>46000</v>
      </c>
      <c r="D595" t="inlineStr">
        <is>
          <t>DALARNAS LÄN</t>
        </is>
      </c>
      <c r="E595" t="inlineStr">
        <is>
          <t>MORA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5216-2025</t>
        </is>
      </c>
      <c r="B596" s="1" t="n">
        <v>45691.69671296296</v>
      </c>
      <c r="C596" s="1" t="n">
        <v>46000</v>
      </c>
      <c r="D596" t="inlineStr">
        <is>
          <t>DALARNAS LÄN</t>
        </is>
      </c>
      <c r="E596" t="inlineStr">
        <is>
          <t>MORA</t>
        </is>
      </c>
      <c r="G596" t="n">
        <v>2.5</v>
      </c>
      <c r="H596" t="n">
        <v>0</v>
      </c>
      <c r="I596" t="n">
        <v>0</v>
      </c>
      <c r="J596" t="n">
        <v>0</v>
      </c>
      <c r="K596" t="n">
        <v>0</v>
      </c>
      <c r="L596" t="n">
        <v>0</v>
      </c>
      <c r="M596" t="n">
        <v>0</v>
      </c>
      <c r="N596" t="n">
        <v>0</v>
      </c>
      <c r="O596" t="n">
        <v>0</v>
      </c>
      <c r="P596" t="n">
        <v>0</v>
      </c>
      <c r="Q596" t="n">
        <v>0</v>
      </c>
      <c r="R596" s="2" t="inlineStr"/>
    </row>
    <row r="597" ht="15" customHeight="1">
      <c r="A597" t="inlineStr">
        <is>
          <t>A 45674-2024</t>
        </is>
      </c>
      <c r="B597" s="1" t="n">
        <v>45573</v>
      </c>
      <c r="C597" s="1" t="n">
        <v>46000</v>
      </c>
      <c r="D597" t="inlineStr">
        <is>
          <t>DALARNAS LÄN</t>
        </is>
      </c>
      <c r="E597" t="inlineStr">
        <is>
          <t>MORA</t>
        </is>
      </c>
      <c r="G597" t="n">
        <v>3.2</v>
      </c>
      <c r="H597" t="n">
        <v>0</v>
      </c>
      <c r="I597" t="n">
        <v>0</v>
      </c>
      <c r="J597" t="n">
        <v>0</v>
      </c>
      <c r="K597" t="n">
        <v>0</v>
      </c>
      <c r="L597" t="n">
        <v>0</v>
      </c>
      <c r="M597" t="n">
        <v>0</v>
      </c>
      <c r="N597" t="n">
        <v>0</v>
      </c>
      <c r="O597" t="n">
        <v>0</v>
      </c>
      <c r="P597" t="n">
        <v>0</v>
      </c>
      <c r="Q597" t="n">
        <v>0</v>
      </c>
      <c r="R597" s="2" t="inlineStr"/>
    </row>
    <row r="598" ht="15" customHeight="1">
      <c r="A598" t="inlineStr">
        <is>
          <t>A 18139-2025</t>
        </is>
      </c>
      <c r="B598" s="1" t="n">
        <v>45761.60459490741</v>
      </c>
      <c r="C598" s="1" t="n">
        <v>46000</v>
      </c>
      <c r="D598" t="inlineStr">
        <is>
          <t>DALARNAS LÄN</t>
        </is>
      </c>
      <c r="E598" t="inlineStr">
        <is>
          <t>MORA</t>
        </is>
      </c>
      <c r="F598" t="inlineStr">
        <is>
          <t>Bergvik skog öst AB</t>
        </is>
      </c>
      <c r="G598" t="n">
        <v>3</v>
      </c>
      <c r="H598" t="n">
        <v>0</v>
      </c>
      <c r="I598" t="n">
        <v>0</v>
      </c>
      <c r="J598" t="n">
        <v>0</v>
      </c>
      <c r="K598" t="n">
        <v>0</v>
      </c>
      <c r="L598" t="n">
        <v>0</v>
      </c>
      <c r="M598" t="n">
        <v>0</v>
      </c>
      <c r="N598" t="n">
        <v>0</v>
      </c>
      <c r="O598" t="n">
        <v>0</v>
      </c>
      <c r="P598" t="n">
        <v>0</v>
      </c>
      <c r="Q598" t="n">
        <v>0</v>
      </c>
      <c r="R598" s="2" t="inlineStr"/>
    </row>
    <row r="599" ht="15" customHeight="1">
      <c r="A599" t="inlineStr">
        <is>
          <t>A 57999-2023</t>
        </is>
      </c>
      <c r="B599" s="1" t="n">
        <v>45247</v>
      </c>
      <c r="C599" s="1" t="n">
        <v>46000</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24335-2022</t>
        </is>
      </c>
      <c r="B600" s="1" t="n">
        <v>44725</v>
      </c>
      <c r="C600" s="1" t="n">
        <v>46000</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55120-2024</t>
        </is>
      </c>
      <c r="B601" s="1" t="n">
        <v>45621.45765046297</v>
      </c>
      <c r="C601" s="1" t="n">
        <v>46000</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34660-2021</t>
        </is>
      </c>
      <c r="B602" s="1" t="n">
        <v>44382.57981481482</v>
      </c>
      <c r="C602" s="1" t="n">
        <v>46000</v>
      </c>
      <c r="D602" t="inlineStr">
        <is>
          <t>DALARNAS LÄN</t>
        </is>
      </c>
      <c r="E602" t="inlineStr">
        <is>
          <t>MORA</t>
        </is>
      </c>
      <c r="G602" t="n">
        <v>7.5</v>
      </c>
      <c r="H602" t="n">
        <v>0</v>
      </c>
      <c r="I602" t="n">
        <v>0</v>
      </c>
      <c r="J602" t="n">
        <v>0</v>
      </c>
      <c r="K602" t="n">
        <v>0</v>
      </c>
      <c r="L602" t="n">
        <v>0</v>
      </c>
      <c r="M602" t="n">
        <v>0</v>
      </c>
      <c r="N602" t="n">
        <v>0</v>
      </c>
      <c r="O602" t="n">
        <v>0</v>
      </c>
      <c r="P602" t="n">
        <v>0</v>
      </c>
      <c r="Q602" t="n">
        <v>0</v>
      </c>
      <c r="R602" s="2" t="inlineStr"/>
    </row>
    <row r="603" ht="15" customHeight="1">
      <c r="A603" t="inlineStr">
        <is>
          <t>A 42934-2024</t>
        </is>
      </c>
      <c r="B603" s="1" t="n">
        <v>45567.33655092592</v>
      </c>
      <c r="C603" s="1" t="n">
        <v>46000</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17516-2024</t>
        </is>
      </c>
      <c r="B604" s="1" t="n">
        <v>45415.58502314815</v>
      </c>
      <c r="C604" s="1" t="n">
        <v>46000</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49159-2023</t>
        </is>
      </c>
      <c r="B605" s="1" t="n">
        <v>45210</v>
      </c>
      <c r="C605" s="1" t="n">
        <v>46000</v>
      </c>
      <c r="D605" t="inlineStr">
        <is>
          <t>DALARNAS LÄN</t>
        </is>
      </c>
      <c r="E605" t="inlineStr">
        <is>
          <t>MORA</t>
        </is>
      </c>
      <c r="G605" t="n">
        <v>1.6</v>
      </c>
      <c r="H605" t="n">
        <v>0</v>
      </c>
      <c r="I605" t="n">
        <v>0</v>
      </c>
      <c r="J605" t="n">
        <v>0</v>
      </c>
      <c r="K605" t="n">
        <v>0</v>
      </c>
      <c r="L605" t="n">
        <v>0</v>
      </c>
      <c r="M605" t="n">
        <v>0</v>
      </c>
      <c r="N605" t="n">
        <v>0</v>
      </c>
      <c r="O605" t="n">
        <v>0</v>
      </c>
      <c r="P605" t="n">
        <v>0</v>
      </c>
      <c r="Q605" t="n">
        <v>0</v>
      </c>
      <c r="R605" s="2" t="inlineStr"/>
    </row>
    <row r="606" ht="15" customHeight="1">
      <c r="A606" t="inlineStr">
        <is>
          <t>A 29188-2023</t>
        </is>
      </c>
      <c r="B606" s="1" t="n">
        <v>45105.54270833333</v>
      </c>
      <c r="C606" s="1" t="n">
        <v>46000</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12151-2021</t>
        </is>
      </c>
      <c r="B607" s="1" t="n">
        <v>44266</v>
      </c>
      <c r="C607" s="1" t="n">
        <v>46000</v>
      </c>
      <c r="D607" t="inlineStr">
        <is>
          <t>DALARNAS LÄN</t>
        </is>
      </c>
      <c r="E607" t="inlineStr">
        <is>
          <t>MORA</t>
        </is>
      </c>
      <c r="G607" t="n">
        <v>0.5</v>
      </c>
      <c r="H607" t="n">
        <v>0</v>
      </c>
      <c r="I607" t="n">
        <v>0</v>
      </c>
      <c r="J607" t="n">
        <v>0</v>
      </c>
      <c r="K607" t="n">
        <v>0</v>
      </c>
      <c r="L607" t="n">
        <v>0</v>
      </c>
      <c r="M607" t="n">
        <v>0</v>
      </c>
      <c r="N607" t="n">
        <v>0</v>
      </c>
      <c r="O607" t="n">
        <v>0</v>
      </c>
      <c r="P607" t="n">
        <v>0</v>
      </c>
      <c r="Q607" t="n">
        <v>0</v>
      </c>
      <c r="R607" s="2" t="inlineStr"/>
    </row>
    <row r="608" ht="15" customHeight="1">
      <c r="A608" t="inlineStr">
        <is>
          <t>A 26314-2021</t>
        </is>
      </c>
      <c r="B608" s="1" t="n">
        <v>44347</v>
      </c>
      <c r="C608" s="1" t="n">
        <v>46000</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30985-2024</t>
        </is>
      </c>
      <c r="B609" s="1" t="n">
        <v>45499.51721064815</v>
      </c>
      <c r="C609" s="1" t="n">
        <v>46000</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18202-2024</t>
        </is>
      </c>
      <c r="B610" s="1" t="n">
        <v>45420.68172453704</v>
      </c>
      <c r="C610" s="1" t="n">
        <v>46000</v>
      </c>
      <c r="D610" t="inlineStr">
        <is>
          <t>DALARNAS LÄN</t>
        </is>
      </c>
      <c r="E610" t="inlineStr">
        <is>
          <t>MORA</t>
        </is>
      </c>
      <c r="G610" t="n">
        <v>2</v>
      </c>
      <c r="H610" t="n">
        <v>0</v>
      </c>
      <c r="I610" t="n">
        <v>0</v>
      </c>
      <c r="J610" t="n">
        <v>0</v>
      </c>
      <c r="K610" t="n">
        <v>0</v>
      </c>
      <c r="L610" t="n">
        <v>0</v>
      </c>
      <c r="M610" t="n">
        <v>0</v>
      </c>
      <c r="N610" t="n">
        <v>0</v>
      </c>
      <c r="O610" t="n">
        <v>0</v>
      </c>
      <c r="P610" t="n">
        <v>0</v>
      </c>
      <c r="Q610" t="n">
        <v>0</v>
      </c>
      <c r="R610" s="2" t="inlineStr"/>
    </row>
    <row r="611" ht="15" customHeight="1">
      <c r="A611" t="inlineStr">
        <is>
          <t>A 40286-2024</t>
        </is>
      </c>
      <c r="B611" s="1" t="n">
        <v>45554.6687037037</v>
      </c>
      <c r="C611" s="1" t="n">
        <v>46000</v>
      </c>
      <c r="D611" t="inlineStr">
        <is>
          <t>DALARNAS LÄN</t>
        </is>
      </c>
      <c r="E611" t="inlineStr">
        <is>
          <t>MORA</t>
        </is>
      </c>
      <c r="G611" t="n">
        <v>0.4</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45174.34662037037</v>
      </c>
      <c r="C612" s="1" t="n">
        <v>46000</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43826-2022</t>
        </is>
      </c>
      <c r="B613" s="1" t="n">
        <v>44838</v>
      </c>
      <c r="C613" s="1" t="n">
        <v>46000</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44106-2023</t>
        </is>
      </c>
      <c r="B614" s="1" t="n">
        <v>45188</v>
      </c>
      <c r="C614" s="1" t="n">
        <v>46000</v>
      </c>
      <c r="D614" t="inlineStr">
        <is>
          <t>DALARNAS LÄN</t>
        </is>
      </c>
      <c r="E614" t="inlineStr">
        <is>
          <t>MORA</t>
        </is>
      </c>
      <c r="G614" t="n">
        <v>10.1</v>
      </c>
      <c r="H614" t="n">
        <v>0</v>
      </c>
      <c r="I614" t="n">
        <v>0</v>
      </c>
      <c r="J614" t="n">
        <v>0</v>
      </c>
      <c r="K614" t="n">
        <v>0</v>
      </c>
      <c r="L614" t="n">
        <v>0</v>
      </c>
      <c r="M614" t="n">
        <v>0</v>
      </c>
      <c r="N614" t="n">
        <v>0</v>
      </c>
      <c r="O614" t="n">
        <v>0</v>
      </c>
      <c r="P614" t="n">
        <v>0</v>
      </c>
      <c r="Q614" t="n">
        <v>0</v>
      </c>
      <c r="R614" s="2" t="inlineStr"/>
    </row>
    <row r="615" ht="15" customHeight="1">
      <c r="A615" t="inlineStr">
        <is>
          <t>A 59002-2024</t>
        </is>
      </c>
      <c r="B615" s="1" t="n">
        <v>45636</v>
      </c>
      <c r="C615" s="1" t="n">
        <v>46000</v>
      </c>
      <c r="D615" t="inlineStr">
        <is>
          <t>DALARNAS LÄN</t>
        </is>
      </c>
      <c r="E615" t="inlineStr">
        <is>
          <t>MORA</t>
        </is>
      </c>
      <c r="F615" t="inlineStr">
        <is>
          <t>Bergvik skog väst AB</t>
        </is>
      </c>
      <c r="G615" t="n">
        <v>24.8</v>
      </c>
      <c r="H615" t="n">
        <v>0</v>
      </c>
      <c r="I615" t="n">
        <v>0</v>
      </c>
      <c r="J615" t="n">
        <v>0</v>
      </c>
      <c r="K615" t="n">
        <v>0</v>
      </c>
      <c r="L615" t="n">
        <v>0</v>
      </c>
      <c r="M615" t="n">
        <v>0</v>
      </c>
      <c r="N615" t="n">
        <v>0</v>
      </c>
      <c r="O615" t="n">
        <v>0</v>
      </c>
      <c r="P615" t="n">
        <v>0</v>
      </c>
      <c r="Q615" t="n">
        <v>0</v>
      </c>
      <c r="R615" s="2" t="inlineStr"/>
    </row>
    <row r="616" ht="15" customHeight="1">
      <c r="A616" t="inlineStr">
        <is>
          <t>A 5980-2025</t>
        </is>
      </c>
      <c r="B616" s="1" t="n">
        <v>45695.54651620371</v>
      </c>
      <c r="C616" s="1" t="n">
        <v>46000</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5527-2024</t>
        </is>
      </c>
      <c r="B617" s="1" t="n">
        <v>45334.38981481481</v>
      </c>
      <c r="C617" s="1" t="n">
        <v>46000</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39856-2024</t>
        </is>
      </c>
      <c r="B618" s="1" t="n">
        <v>45553.44084490741</v>
      </c>
      <c r="C618" s="1" t="n">
        <v>46000</v>
      </c>
      <c r="D618" t="inlineStr">
        <is>
          <t>DALARNAS LÄN</t>
        </is>
      </c>
      <c r="E618" t="inlineStr">
        <is>
          <t>MORA</t>
        </is>
      </c>
      <c r="G618" t="n">
        <v>4.8</v>
      </c>
      <c r="H618" t="n">
        <v>0</v>
      </c>
      <c r="I618" t="n">
        <v>0</v>
      </c>
      <c r="J618" t="n">
        <v>0</v>
      </c>
      <c r="K618" t="n">
        <v>0</v>
      </c>
      <c r="L618" t="n">
        <v>0</v>
      </c>
      <c r="M618" t="n">
        <v>0</v>
      </c>
      <c r="N618" t="n">
        <v>0</v>
      </c>
      <c r="O618" t="n">
        <v>0</v>
      </c>
      <c r="P618" t="n">
        <v>0</v>
      </c>
      <c r="Q618" t="n">
        <v>0</v>
      </c>
      <c r="R618" s="2" t="inlineStr"/>
    </row>
    <row r="619" ht="15" customHeight="1">
      <c r="A619" t="inlineStr">
        <is>
          <t>A 52288-2024</t>
        </is>
      </c>
      <c r="B619" s="1" t="n">
        <v>45608.69395833334</v>
      </c>
      <c r="C619" s="1" t="n">
        <v>46000</v>
      </c>
      <c r="D619" t="inlineStr">
        <is>
          <t>DALARNAS LÄN</t>
        </is>
      </c>
      <c r="E619" t="inlineStr">
        <is>
          <t>MORA</t>
        </is>
      </c>
      <c r="G619" t="n">
        <v>2</v>
      </c>
      <c r="H619" t="n">
        <v>0</v>
      </c>
      <c r="I619" t="n">
        <v>0</v>
      </c>
      <c r="J619" t="n">
        <v>0</v>
      </c>
      <c r="K619" t="n">
        <v>0</v>
      </c>
      <c r="L619" t="n">
        <v>0</v>
      </c>
      <c r="M619" t="n">
        <v>0</v>
      </c>
      <c r="N619" t="n">
        <v>0</v>
      </c>
      <c r="O619" t="n">
        <v>0</v>
      </c>
      <c r="P619" t="n">
        <v>0</v>
      </c>
      <c r="Q619" t="n">
        <v>0</v>
      </c>
      <c r="R619" s="2" t="inlineStr"/>
    </row>
    <row r="620" ht="15" customHeight="1">
      <c r="A620" t="inlineStr">
        <is>
          <t>A 43879-2022</t>
        </is>
      </c>
      <c r="B620" s="1" t="n">
        <v>44838.46721064814</v>
      </c>
      <c r="C620" s="1" t="n">
        <v>46000</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12920-2022</t>
        </is>
      </c>
      <c r="B621" s="1" t="n">
        <v>44642.65418981481</v>
      </c>
      <c r="C621" s="1" t="n">
        <v>46000</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17280-2025</t>
        </is>
      </c>
      <c r="B622" s="1" t="n">
        <v>45756</v>
      </c>
      <c r="C622" s="1" t="n">
        <v>46000</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34282-2024</t>
        </is>
      </c>
      <c r="B623" s="1" t="n">
        <v>45524.62600694445</v>
      </c>
      <c r="C623" s="1" t="n">
        <v>46000</v>
      </c>
      <c r="D623" t="inlineStr">
        <is>
          <t>DALARNAS LÄN</t>
        </is>
      </c>
      <c r="E623" t="inlineStr">
        <is>
          <t>MORA</t>
        </is>
      </c>
      <c r="G623" t="n">
        <v>0.5</v>
      </c>
      <c r="H623" t="n">
        <v>0</v>
      </c>
      <c r="I623" t="n">
        <v>0</v>
      </c>
      <c r="J623" t="n">
        <v>0</v>
      </c>
      <c r="K623" t="n">
        <v>0</v>
      </c>
      <c r="L623" t="n">
        <v>0</v>
      </c>
      <c r="M623" t="n">
        <v>0</v>
      </c>
      <c r="N623" t="n">
        <v>0</v>
      </c>
      <c r="O623" t="n">
        <v>0</v>
      </c>
      <c r="P623" t="n">
        <v>0</v>
      </c>
      <c r="Q623" t="n">
        <v>0</v>
      </c>
      <c r="R623" s="2" t="inlineStr"/>
    </row>
    <row r="624" ht="15" customHeight="1">
      <c r="A624" t="inlineStr">
        <is>
          <t>A 38055-2024</t>
        </is>
      </c>
      <c r="B624" s="1" t="n">
        <v>45544</v>
      </c>
      <c r="C624" s="1" t="n">
        <v>46000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7116-2024</t>
        </is>
      </c>
      <c r="B625" s="1" t="n">
        <v>45343.95445601852</v>
      </c>
      <c r="C625" s="1" t="n">
        <v>46000</v>
      </c>
      <c r="D625" t="inlineStr">
        <is>
          <t>DALARNAS LÄN</t>
        </is>
      </c>
      <c r="E625" t="inlineStr">
        <is>
          <t>MORA</t>
        </is>
      </c>
      <c r="G625" t="n">
        <v>0.3</v>
      </c>
      <c r="H625" t="n">
        <v>0</v>
      </c>
      <c r="I625" t="n">
        <v>0</v>
      </c>
      <c r="J625" t="n">
        <v>0</v>
      </c>
      <c r="K625" t="n">
        <v>0</v>
      </c>
      <c r="L625" t="n">
        <v>0</v>
      </c>
      <c r="M625" t="n">
        <v>0</v>
      </c>
      <c r="N625" t="n">
        <v>0</v>
      </c>
      <c r="O625" t="n">
        <v>0</v>
      </c>
      <c r="P625" t="n">
        <v>0</v>
      </c>
      <c r="Q625" t="n">
        <v>0</v>
      </c>
      <c r="R625" s="2" t="inlineStr"/>
    </row>
    <row r="626" ht="15" customHeight="1">
      <c r="A626" t="inlineStr">
        <is>
          <t>A 22785-2023</t>
        </is>
      </c>
      <c r="B626" s="1" t="n">
        <v>45072.34796296297</v>
      </c>
      <c r="C626" s="1" t="n">
        <v>46000</v>
      </c>
      <c r="D626" t="inlineStr">
        <is>
          <t>DALARNAS LÄN</t>
        </is>
      </c>
      <c r="E626" t="inlineStr">
        <is>
          <t>MORA</t>
        </is>
      </c>
      <c r="G626" t="n">
        <v>0.7</v>
      </c>
      <c r="H626" t="n">
        <v>0</v>
      </c>
      <c r="I626" t="n">
        <v>0</v>
      </c>
      <c r="J626" t="n">
        <v>0</v>
      </c>
      <c r="K626" t="n">
        <v>0</v>
      </c>
      <c r="L626" t="n">
        <v>0</v>
      </c>
      <c r="M626" t="n">
        <v>0</v>
      </c>
      <c r="N626" t="n">
        <v>0</v>
      </c>
      <c r="O626" t="n">
        <v>0</v>
      </c>
      <c r="P626" t="n">
        <v>0</v>
      </c>
      <c r="Q626" t="n">
        <v>0</v>
      </c>
      <c r="R626" s="2" t="inlineStr"/>
    </row>
    <row r="627" ht="15" customHeight="1">
      <c r="A627" t="inlineStr">
        <is>
          <t>A 60718-2023</t>
        </is>
      </c>
      <c r="B627" s="1" t="n">
        <v>45260.5284375</v>
      </c>
      <c r="C627" s="1" t="n">
        <v>46000</v>
      </c>
      <c r="D627" t="inlineStr">
        <is>
          <t>DALARNAS LÄN</t>
        </is>
      </c>
      <c r="E627" t="inlineStr">
        <is>
          <t>MORA</t>
        </is>
      </c>
      <c r="G627" t="n">
        <v>2.6</v>
      </c>
      <c r="H627" t="n">
        <v>0</v>
      </c>
      <c r="I627" t="n">
        <v>0</v>
      </c>
      <c r="J627" t="n">
        <v>0</v>
      </c>
      <c r="K627" t="n">
        <v>0</v>
      </c>
      <c r="L627" t="n">
        <v>0</v>
      </c>
      <c r="M627" t="n">
        <v>0</v>
      </c>
      <c r="N627" t="n">
        <v>0</v>
      </c>
      <c r="O627" t="n">
        <v>0</v>
      </c>
      <c r="P627" t="n">
        <v>0</v>
      </c>
      <c r="Q627" t="n">
        <v>0</v>
      </c>
      <c r="R627" s="2" t="inlineStr"/>
    </row>
    <row r="628" ht="15" customHeight="1">
      <c r="A628" t="inlineStr">
        <is>
          <t>A 7972-2024</t>
        </is>
      </c>
      <c r="B628" s="1" t="n">
        <v>45350</v>
      </c>
      <c r="C628" s="1" t="n">
        <v>46000</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16637-2025</t>
        </is>
      </c>
      <c r="B629" s="1" t="n">
        <v>45754.36738425926</v>
      </c>
      <c r="C629" s="1" t="n">
        <v>46000</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8146-2021</t>
        </is>
      </c>
      <c r="B630" s="1" t="n">
        <v>44244</v>
      </c>
      <c r="C630" s="1" t="n">
        <v>46000</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49991-2023</t>
        </is>
      </c>
      <c r="B631" s="1" t="n">
        <v>45215.43879629629</v>
      </c>
      <c r="C631" s="1" t="n">
        <v>46000</v>
      </c>
      <c r="D631" t="inlineStr">
        <is>
          <t>DALARNAS LÄN</t>
        </is>
      </c>
      <c r="E631" t="inlineStr">
        <is>
          <t>MORA</t>
        </is>
      </c>
      <c r="G631" t="n">
        <v>1.8</v>
      </c>
      <c r="H631" t="n">
        <v>0</v>
      </c>
      <c r="I631" t="n">
        <v>0</v>
      </c>
      <c r="J631" t="n">
        <v>0</v>
      </c>
      <c r="K631" t="n">
        <v>0</v>
      </c>
      <c r="L631" t="n">
        <v>0</v>
      </c>
      <c r="M631" t="n">
        <v>0</v>
      </c>
      <c r="N631" t="n">
        <v>0</v>
      </c>
      <c r="O631" t="n">
        <v>0</v>
      </c>
      <c r="P631" t="n">
        <v>0</v>
      </c>
      <c r="Q631" t="n">
        <v>0</v>
      </c>
      <c r="R631" s="2" t="inlineStr"/>
    </row>
    <row r="632" ht="15" customHeight="1">
      <c r="A632" t="inlineStr">
        <is>
          <t>A 28131-2024</t>
        </is>
      </c>
      <c r="B632" s="1" t="n">
        <v>45476.68435185185</v>
      </c>
      <c r="C632" s="1" t="n">
        <v>46000</v>
      </c>
      <c r="D632" t="inlineStr">
        <is>
          <t>DALARNAS LÄN</t>
        </is>
      </c>
      <c r="E632" t="inlineStr">
        <is>
          <t>MORA</t>
        </is>
      </c>
      <c r="G632" t="n">
        <v>0.8</v>
      </c>
      <c r="H632" t="n">
        <v>0</v>
      </c>
      <c r="I632" t="n">
        <v>0</v>
      </c>
      <c r="J632" t="n">
        <v>0</v>
      </c>
      <c r="K632" t="n">
        <v>0</v>
      </c>
      <c r="L632" t="n">
        <v>0</v>
      </c>
      <c r="M632" t="n">
        <v>0</v>
      </c>
      <c r="N632" t="n">
        <v>0</v>
      </c>
      <c r="O632" t="n">
        <v>0</v>
      </c>
      <c r="P632" t="n">
        <v>0</v>
      </c>
      <c r="Q632" t="n">
        <v>0</v>
      </c>
      <c r="R632" s="2" t="inlineStr"/>
    </row>
    <row r="633" ht="15" customHeight="1">
      <c r="A633" t="inlineStr">
        <is>
          <t>A 28132-2024</t>
        </is>
      </c>
      <c r="B633" s="1" t="n">
        <v>45476.68616898148</v>
      </c>
      <c r="C633" s="1" t="n">
        <v>46000</v>
      </c>
      <c r="D633" t="inlineStr">
        <is>
          <t>DALARNAS LÄN</t>
        </is>
      </c>
      <c r="E633" t="inlineStr">
        <is>
          <t>MORA</t>
        </is>
      </c>
      <c r="G633" t="n">
        <v>0.2</v>
      </c>
      <c r="H633" t="n">
        <v>0</v>
      </c>
      <c r="I633" t="n">
        <v>0</v>
      </c>
      <c r="J633" t="n">
        <v>0</v>
      </c>
      <c r="K633" t="n">
        <v>0</v>
      </c>
      <c r="L633" t="n">
        <v>0</v>
      </c>
      <c r="M633" t="n">
        <v>0</v>
      </c>
      <c r="N633" t="n">
        <v>0</v>
      </c>
      <c r="O633" t="n">
        <v>0</v>
      </c>
      <c r="P633" t="n">
        <v>0</v>
      </c>
      <c r="Q633" t="n">
        <v>0</v>
      </c>
      <c r="R633" s="2" t="inlineStr"/>
    </row>
    <row r="634" ht="15" customHeight="1">
      <c r="A634" t="inlineStr">
        <is>
          <t>A 12987-2024</t>
        </is>
      </c>
      <c r="B634" s="1" t="n">
        <v>45385.55375</v>
      </c>
      <c r="C634" s="1" t="n">
        <v>46000</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48170-2024</t>
        </is>
      </c>
      <c r="B635" s="1" t="n">
        <v>45589.76975694444</v>
      </c>
      <c r="C635" s="1" t="n">
        <v>46000</v>
      </c>
      <c r="D635" t="inlineStr">
        <is>
          <t>DALARNAS LÄN</t>
        </is>
      </c>
      <c r="E635" t="inlineStr">
        <is>
          <t>MORA</t>
        </is>
      </c>
      <c r="G635" t="n">
        <v>2.4</v>
      </c>
      <c r="H635" t="n">
        <v>0</v>
      </c>
      <c r="I635" t="n">
        <v>0</v>
      </c>
      <c r="J635" t="n">
        <v>0</v>
      </c>
      <c r="K635" t="n">
        <v>0</v>
      </c>
      <c r="L635" t="n">
        <v>0</v>
      </c>
      <c r="M635" t="n">
        <v>0</v>
      </c>
      <c r="N635" t="n">
        <v>0</v>
      </c>
      <c r="O635" t="n">
        <v>0</v>
      </c>
      <c r="P635" t="n">
        <v>0</v>
      </c>
      <c r="Q635" t="n">
        <v>0</v>
      </c>
      <c r="R635" s="2" t="inlineStr"/>
    </row>
    <row r="636" ht="15" customHeight="1">
      <c r="A636" t="inlineStr">
        <is>
          <t>A 58892-2023</t>
        </is>
      </c>
      <c r="B636" s="1" t="n">
        <v>45252.48592592592</v>
      </c>
      <c r="C636" s="1" t="n">
        <v>46000</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27975-2023</t>
        </is>
      </c>
      <c r="B637" s="1" t="n">
        <v>45098</v>
      </c>
      <c r="C637" s="1" t="n">
        <v>46000</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55222-2023</t>
        </is>
      </c>
      <c r="B638" s="1" t="n">
        <v>45237.60775462963</v>
      </c>
      <c r="C638" s="1" t="n">
        <v>46000</v>
      </c>
      <c r="D638" t="inlineStr">
        <is>
          <t>DALARNAS LÄN</t>
        </is>
      </c>
      <c r="E638" t="inlineStr">
        <is>
          <t>MORA</t>
        </is>
      </c>
      <c r="F638" t="inlineStr">
        <is>
          <t>Allmännings- och besparingsskogar</t>
        </is>
      </c>
      <c r="G638" t="n">
        <v>19.8</v>
      </c>
      <c r="H638" t="n">
        <v>0</v>
      </c>
      <c r="I638" t="n">
        <v>0</v>
      </c>
      <c r="J638" t="n">
        <v>0</v>
      </c>
      <c r="K638" t="n">
        <v>0</v>
      </c>
      <c r="L638" t="n">
        <v>0</v>
      </c>
      <c r="M638" t="n">
        <v>0</v>
      </c>
      <c r="N638" t="n">
        <v>0</v>
      </c>
      <c r="O638" t="n">
        <v>0</v>
      </c>
      <c r="P638" t="n">
        <v>0</v>
      </c>
      <c r="Q638" t="n">
        <v>0</v>
      </c>
      <c r="R638" s="2" t="inlineStr"/>
    </row>
    <row r="639" ht="15" customHeight="1">
      <c r="A639" t="inlineStr">
        <is>
          <t>A 24772-2024</t>
        </is>
      </c>
      <c r="B639" s="1" t="n">
        <v>45460.70204861111</v>
      </c>
      <c r="C639" s="1" t="n">
        <v>46000</v>
      </c>
      <c r="D639" t="inlineStr">
        <is>
          <t>DALARNAS LÄN</t>
        </is>
      </c>
      <c r="E639" t="inlineStr">
        <is>
          <t>MORA</t>
        </is>
      </c>
      <c r="G639" t="n">
        <v>0.9</v>
      </c>
      <c r="H639" t="n">
        <v>0</v>
      </c>
      <c r="I639" t="n">
        <v>0</v>
      </c>
      <c r="J639" t="n">
        <v>0</v>
      </c>
      <c r="K639" t="n">
        <v>0</v>
      </c>
      <c r="L639" t="n">
        <v>0</v>
      </c>
      <c r="M639" t="n">
        <v>0</v>
      </c>
      <c r="N639" t="n">
        <v>0</v>
      </c>
      <c r="O639" t="n">
        <v>0</v>
      </c>
      <c r="P639" t="n">
        <v>0</v>
      </c>
      <c r="Q639" t="n">
        <v>0</v>
      </c>
      <c r="R639" s="2" t="inlineStr"/>
    </row>
    <row r="640" ht="15" customHeight="1">
      <c r="A640" t="inlineStr">
        <is>
          <t>A 5486-2023</t>
        </is>
      </c>
      <c r="B640" s="1" t="n">
        <v>44957</v>
      </c>
      <c r="C640" s="1" t="n">
        <v>46000</v>
      </c>
      <c r="D640" t="inlineStr">
        <is>
          <t>DALARNAS LÄN</t>
        </is>
      </c>
      <c r="E640" t="inlineStr">
        <is>
          <t>MORA</t>
        </is>
      </c>
      <c r="G640" t="n">
        <v>3.2</v>
      </c>
      <c r="H640" t="n">
        <v>0</v>
      </c>
      <c r="I640" t="n">
        <v>0</v>
      </c>
      <c r="J640" t="n">
        <v>0</v>
      </c>
      <c r="K640" t="n">
        <v>0</v>
      </c>
      <c r="L640" t="n">
        <v>0</v>
      </c>
      <c r="M640" t="n">
        <v>0</v>
      </c>
      <c r="N640" t="n">
        <v>0</v>
      </c>
      <c r="O640" t="n">
        <v>0</v>
      </c>
      <c r="P640" t="n">
        <v>0</v>
      </c>
      <c r="Q640" t="n">
        <v>0</v>
      </c>
      <c r="R640" s="2" t="inlineStr"/>
    </row>
    <row r="641" ht="15" customHeight="1">
      <c r="A641" t="inlineStr">
        <is>
          <t>A 42943-2024</t>
        </is>
      </c>
      <c r="B641" s="1" t="n">
        <v>45567.35359953704</v>
      </c>
      <c r="C641" s="1" t="n">
        <v>46000</v>
      </c>
      <c r="D641" t="inlineStr">
        <is>
          <t>DALARNAS LÄN</t>
        </is>
      </c>
      <c r="E641" t="inlineStr">
        <is>
          <t>MORA</t>
        </is>
      </c>
      <c r="G641" t="n">
        <v>0.5</v>
      </c>
      <c r="H641" t="n">
        <v>0</v>
      </c>
      <c r="I641" t="n">
        <v>0</v>
      </c>
      <c r="J641" t="n">
        <v>0</v>
      </c>
      <c r="K641" t="n">
        <v>0</v>
      </c>
      <c r="L641" t="n">
        <v>0</v>
      </c>
      <c r="M641" t="n">
        <v>0</v>
      </c>
      <c r="N641" t="n">
        <v>0</v>
      </c>
      <c r="O641" t="n">
        <v>0</v>
      </c>
      <c r="P641" t="n">
        <v>0</v>
      </c>
      <c r="Q641" t="n">
        <v>0</v>
      </c>
      <c r="R641" s="2" t="inlineStr"/>
    </row>
    <row r="642" ht="15" customHeight="1">
      <c r="A642" t="inlineStr">
        <is>
          <t>A 9855-2024</t>
        </is>
      </c>
      <c r="B642" s="1" t="n">
        <v>45363.40368055556</v>
      </c>
      <c r="C642" s="1" t="n">
        <v>46000</v>
      </c>
      <c r="D642" t="inlineStr">
        <is>
          <t>DALARNAS LÄN</t>
        </is>
      </c>
      <c r="E642" t="inlineStr">
        <is>
          <t>MORA</t>
        </is>
      </c>
      <c r="G642" t="n">
        <v>8.6</v>
      </c>
      <c r="H642" t="n">
        <v>0</v>
      </c>
      <c r="I642" t="n">
        <v>0</v>
      </c>
      <c r="J642" t="n">
        <v>0</v>
      </c>
      <c r="K642" t="n">
        <v>0</v>
      </c>
      <c r="L642" t="n">
        <v>0</v>
      </c>
      <c r="M642" t="n">
        <v>0</v>
      </c>
      <c r="N642" t="n">
        <v>0</v>
      </c>
      <c r="O642" t="n">
        <v>0</v>
      </c>
      <c r="P642" t="n">
        <v>0</v>
      </c>
      <c r="Q642" t="n">
        <v>0</v>
      </c>
      <c r="R642" s="2" t="inlineStr"/>
    </row>
    <row r="643" ht="15" customHeight="1">
      <c r="A643" t="inlineStr">
        <is>
          <t>A 21244-2024</t>
        </is>
      </c>
      <c r="B643" s="1" t="n">
        <v>45440.59936342593</v>
      </c>
      <c r="C643" s="1" t="n">
        <v>46000</v>
      </c>
      <c r="D643" t="inlineStr">
        <is>
          <t>DALARNAS LÄN</t>
        </is>
      </c>
      <c r="E643" t="inlineStr">
        <is>
          <t>MORA</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28964-2024</t>
        </is>
      </c>
      <c r="B644" s="1" t="n">
        <v>45481.42923611111</v>
      </c>
      <c r="C644" s="1" t="n">
        <v>46000</v>
      </c>
      <c r="D644" t="inlineStr">
        <is>
          <t>DALARNAS LÄN</t>
        </is>
      </c>
      <c r="E644" t="inlineStr">
        <is>
          <t>MORA</t>
        </is>
      </c>
      <c r="G644" t="n">
        <v>1.3</v>
      </c>
      <c r="H644" t="n">
        <v>0</v>
      </c>
      <c r="I644" t="n">
        <v>0</v>
      </c>
      <c r="J644" t="n">
        <v>0</v>
      </c>
      <c r="K644" t="n">
        <v>0</v>
      </c>
      <c r="L644" t="n">
        <v>0</v>
      </c>
      <c r="M644" t="n">
        <v>0</v>
      </c>
      <c r="N644" t="n">
        <v>0</v>
      </c>
      <c r="O644" t="n">
        <v>0</v>
      </c>
      <c r="P644" t="n">
        <v>0</v>
      </c>
      <c r="Q644" t="n">
        <v>0</v>
      </c>
      <c r="R644" s="2" t="inlineStr"/>
    </row>
    <row r="645" ht="15" customHeight="1">
      <c r="A645" t="inlineStr">
        <is>
          <t>A 30194-2024</t>
        </is>
      </c>
      <c r="B645" s="1" t="n">
        <v>45490.33387731481</v>
      </c>
      <c r="C645" s="1" t="n">
        <v>46000</v>
      </c>
      <c r="D645" t="inlineStr">
        <is>
          <t>DALARNAS LÄN</t>
        </is>
      </c>
      <c r="E645" t="inlineStr">
        <is>
          <t>MORA</t>
        </is>
      </c>
      <c r="G645" t="n">
        <v>3.1</v>
      </c>
      <c r="H645" t="n">
        <v>0</v>
      </c>
      <c r="I645" t="n">
        <v>0</v>
      </c>
      <c r="J645" t="n">
        <v>0</v>
      </c>
      <c r="K645" t="n">
        <v>0</v>
      </c>
      <c r="L645" t="n">
        <v>0</v>
      </c>
      <c r="M645" t="n">
        <v>0</v>
      </c>
      <c r="N645" t="n">
        <v>0</v>
      </c>
      <c r="O645" t="n">
        <v>0</v>
      </c>
      <c r="P645" t="n">
        <v>0</v>
      </c>
      <c r="Q645" t="n">
        <v>0</v>
      </c>
      <c r="R645" s="2" t="inlineStr"/>
    </row>
    <row r="646" ht="15" customHeight="1">
      <c r="A646" t="inlineStr">
        <is>
          <t>A 58177-2024</t>
        </is>
      </c>
      <c r="B646" s="1" t="n">
        <v>45632.46821759259</v>
      </c>
      <c r="C646" s="1" t="n">
        <v>46000</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45390-2024</t>
        </is>
      </c>
      <c r="B647" s="1" t="n">
        <v>45576.54820601852</v>
      </c>
      <c r="C647" s="1" t="n">
        <v>46000</v>
      </c>
      <c r="D647" t="inlineStr">
        <is>
          <t>DALARNAS LÄN</t>
        </is>
      </c>
      <c r="E647" t="inlineStr">
        <is>
          <t>MORA</t>
        </is>
      </c>
      <c r="F647" t="inlineStr">
        <is>
          <t>Bergvik skog väst AB</t>
        </is>
      </c>
      <c r="G647" t="n">
        <v>5.6</v>
      </c>
      <c r="H647" t="n">
        <v>0</v>
      </c>
      <c r="I647" t="n">
        <v>0</v>
      </c>
      <c r="J647" t="n">
        <v>0</v>
      </c>
      <c r="K647" t="n">
        <v>0</v>
      </c>
      <c r="L647" t="n">
        <v>0</v>
      </c>
      <c r="M647" t="n">
        <v>0</v>
      </c>
      <c r="N647" t="n">
        <v>0</v>
      </c>
      <c r="O647" t="n">
        <v>0</v>
      </c>
      <c r="P647" t="n">
        <v>0</v>
      </c>
      <c r="Q647" t="n">
        <v>0</v>
      </c>
      <c r="R647" s="2" t="inlineStr"/>
    </row>
    <row r="648" ht="15" customHeight="1">
      <c r="A648" t="inlineStr">
        <is>
          <t>A 58089-2024</t>
        </is>
      </c>
      <c r="B648" s="1" t="n">
        <v>45632.34984953704</v>
      </c>
      <c r="C648" s="1" t="n">
        <v>46000</v>
      </c>
      <c r="D648" t="inlineStr">
        <is>
          <t>DALARNAS LÄN</t>
        </is>
      </c>
      <c r="E648" t="inlineStr">
        <is>
          <t>MORA</t>
        </is>
      </c>
      <c r="G648" t="n">
        <v>1.4</v>
      </c>
      <c r="H648" t="n">
        <v>0</v>
      </c>
      <c r="I648" t="n">
        <v>0</v>
      </c>
      <c r="J648" t="n">
        <v>0</v>
      </c>
      <c r="K648" t="n">
        <v>0</v>
      </c>
      <c r="L648" t="n">
        <v>0</v>
      </c>
      <c r="M648" t="n">
        <v>0</v>
      </c>
      <c r="N648" t="n">
        <v>0</v>
      </c>
      <c r="O648" t="n">
        <v>0</v>
      </c>
      <c r="P648" t="n">
        <v>0</v>
      </c>
      <c r="Q648" t="n">
        <v>0</v>
      </c>
      <c r="R648" s="2" t="inlineStr"/>
    </row>
    <row r="649" ht="15" customHeight="1">
      <c r="A649" t="inlineStr">
        <is>
          <t>A 4208-2023</t>
        </is>
      </c>
      <c r="B649" s="1" t="n">
        <v>44953</v>
      </c>
      <c r="C649" s="1" t="n">
        <v>46000</v>
      </c>
      <c r="D649" t="inlineStr">
        <is>
          <t>DALARNAS LÄN</t>
        </is>
      </c>
      <c r="E649" t="inlineStr">
        <is>
          <t>MORA</t>
        </is>
      </c>
      <c r="G649" t="n">
        <v>2.4</v>
      </c>
      <c r="H649" t="n">
        <v>0</v>
      </c>
      <c r="I649" t="n">
        <v>0</v>
      </c>
      <c r="J649" t="n">
        <v>0</v>
      </c>
      <c r="K649" t="n">
        <v>0</v>
      </c>
      <c r="L649" t="n">
        <v>0</v>
      </c>
      <c r="M649" t="n">
        <v>0</v>
      </c>
      <c r="N649" t="n">
        <v>0</v>
      </c>
      <c r="O649" t="n">
        <v>0</v>
      </c>
      <c r="P649" t="n">
        <v>0</v>
      </c>
      <c r="Q649" t="n">
        <v>0</v>
      </c>
      <c r="R649" s="2" t="inlineStr"/>
    </row>
    <row r="650" ht="15" customHeight="1">
      <c r="A650" t="inlineStr">
        <is>
          <t>A 4210-2023</t>
        </is>
      </c>
      <c r="B650" s="1" t="n">
        <v>44953.44965277778</v>
      </c>
      <c r="C650" s="1" t="n">
        <v>46000</v>
      </c>
      <c r="D650" t="inlineStr">
        <is>
          <t>DALARNAS LÄN</t>
        </is>
      </c>
      <c r="E650" t="inlineStr">
        <is>
          <t>MORA</t>
        </is>
      </c>
      <c r="G650" t="n">
        <v>0.9</v>
      </c>
      <c r="H650" t="n">
        <v>0</v>
      </c>
      <c r="I650" t="n">
        <v>0</v>
      </c>
      <c r="J650" t="n">
        <v>0</v>
      </c>
      <c r="K650" t="n">
        <v>0</v>
      </c>
      <c r="L650" t="n">
        <v>0</v>
      </c>
      <c r="M650" t="n">
        <v>0</v>
      </c>
      <c r="N650" t="n">
        <v>0</v>
      </c>
      <c r="O650" t="n">
        <v>0</v>
      </c>
      <c r="P650" t="n">
        <v>0</v>
      </c>
      <c r="Q650" t="n">
        <v>0</v>
      </c>
      <c r="R650" s="2" t="inlineStr"/>
    </row>
    <row r="651" ht="15" customHeight="1">
      <c r="A651" t="inlineStr">
        <is>
          <t>A 44769-2021</t>
        </is>
      </c>
      <c r="B651" s="1" t="n">
        <v>44438</v>
      </c>
      <c r="C651" s="1" t="n">
        <v>46000</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58036-2024</t>
        </is>
      </c>
      <c r="B652" s="1" t="n">
        <v>45631.71893518518</v>
      </c>
      <c r="C652" s="1" t="n">
        <v>46000</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3430-2023</t>
        </is>
      </c>
      <c r="B653" s="1" t="n">
        <v>44949.57856481482</v>
      </c>
      <c r="C653" s="1" t="n">
        <v>46000</v>
      </c>
      <c r="D653" t="inlineStr">
        <is>
          <t>DALARNAS LÄN</t>
        </is>
      </c>
      <c r="E653" t="inlineStr">
        <is>
          <t>MORA</t>
        </is>
      </c>
      <c r="G653" t="n">
        <v>2.6</v>
      </c>
      <c r="H653" t="n">
        <v>0</v>
      </c>
      <c r="I653" t="n">
        <v>0</v>
      </c>
      <c r="J653" t="n">
        <v>0</v>
      </c>
      <c r="K653" t="n">
        <v>0</v>
      </c>
      <c r="L653" t="n">
        <v>0</v>
      </c>
      <c r="M653" t="n">
        <v>0</v>
      </c>
      <c r="N653" t="n">
        <v>0</v>
      </c>
      <c r="O653" t="n">
        <v>0</v>
      </c>
      <c r="P653" t="n">
        <v>0</v>
      </c>
      <c r="Q653" t="n">
        <v>0</v>
      </c>
      <c r="R653" s="2" t="inlineStr"/>
    </row>
    <row r="654" ht="15" customHeight="1">
      <c r="A654" t="inlineStr">
        <is>
          <t>A 15172-2025</t>
        </is>
      </c>
      <c r="B654" s="1" t="n">
        <v>45744.50722222222</v>
      </c>
      <c r="C654" s="1" t="n">
        <v>46000</v>
      </c>
      <c r="D654" t="inlineStr">
        <is>
          <t>DALARNAS LÄN</t>
        </is>
      </c>
      <c r="E654" t="inlineStr">
        <is>
          <t>MORA</t>
        </is>
      </c>
      <c r="G654" t="n">
        <v>3.2</v>
      </c>
      <c r="H654" t="n">
        <v>0</v>
      </c>
      <c r="I654" t="n">
        <v>0</v>
      </c>
      <c r="J654" t="n">
        <v>0</v>
      </c>
      <c r="K654" t="n">
        <v>0</v>
      </c>
      <c r="L654" t="n">
        <v>0</v>
      </c>
      <c r="M654" t="n">
        <v>0</v>
      </c>
      <c r="N654" t="n">
        <v>0</v>
      </c>
      <c r="O654" t="n">
        <v>0</v>
      </c>
      <c r="P654" t="n">
        <v>0</v>
      </c>
      <c r="Q654" t="n">
        <v>0</v>
      </c>
      <c r="R654" s="2" t="inlineStr"/>
    </row>
    <row r="655" ht="15" customHeight="1">
      <c r="A655" t="inlineStr">
        <is>
          <t>A 39897-2022</t>
        </is>
      </c>
      <c r="B655" s="1" t="n">
        <v>44819.66083333334</v>
      </c>
      <c r="C655" s="1" t="n">
        <v>46000</v>
      </c>
      <c r="D655" t="inlineStr">
        <is>
          <t>DALARNAS LÄN</t>
        </is>
      </c>
      <c r="E655" t="inlineStr">
        <is>
          <t>MORA</t>
        </is>
      </c>
      <c r="G655" t="n">
        <v>15.8</v>
      </c>
      <c r="H655" t="n">
        <v>0</v>
      </c>
      <c r="I655" t="n">
        <v>0</v>
      </c>
      <c r="J655" t="n">
        <v>0</v>
      </c>
      <c r="K655" t="n">
        <v>0</v>
      </c>
      <c r="L655" t="n">
        <v>0</v>
      </c>
      <c r="M655" t="n">
        <v>0</v>
      </c>
      <c r="N655" t="n">
        <v>0</v>
      </c>
      <c r="O655" t="n">
        <v>0</v>
      </c>
      <c r="P655" t="n">
        <v>0</v>
      </c>
      <c r="Q655" t="n">
        <v>0</v>
      </c>
      <c r="R655" s="2" t="inlineStr"/>
    </row>
    <row r="656" ht="15" customHeight="1">
      <c r="A656" t="inlineStr">
        <is>
          <t>A 62853-2023</t>
        </is>
      </c>
      <c r="B656" s="1" t="n">
        <v>45272</v>
      </c>
      <c r="C656" s="1" t="n">
        <v>46000</v>
      </c>
      <c r="D656" t="inlineStr">
        <is>
          <t>DALARNAS LÄN</t>
        </is>
      </c>
      <c r="E656" t="inlineStr">
        <is>
          <t>MORA</t>
        </is>
      </c>
      <c r="G656" t="n">
        <v>13.6</v>
      </c>
      <c r="H656" t="n">
        <v>0</v>
      </c>
      <c r="I656" t="n">
        <v>0</v>
      </c>
      <c r="J656" t="n">
        <v>0</v>
      </c>
      <c r="K656" t="n">
        <v>0</v>
      </c>
      <c r="L656" t="n">
        <v>0</v>
      </c>
      <c r="M656" t="n">
        <v>0</v>
      </c>
      <c r="N656" t="n">
        <v>0</v>
      </c>
      <c r="O656" t="n">
        <v>0</v>
      </c>
      <c r="P656" t="n">
        <v>0</v>
      </c>
      <c r="Q656" t="n">
        <v>0</v>
      </c>
      <c r="R656" s="2" t="inlineStr"/>
    </row>
    <row r="657" ht="15" customHeight="1">
      <c r="A657" t="inlineStr">
        <is>
          <t>A 11919-2024</t>
        </is>
      </c>
      <c r="B657" s="1" t="n">
        <v>45376.61019675926</v>
      </c>
      <c r="C657" s="1" t="n">
        <v>46000</v>
      </c>
      <c r="D657" t="inlineStr">
        <is>
          <t>DALARNAS LÄN</t>
        </is>
      </c>
      <c r="E657" t="inlineStr">
        <is>
          <t>MORA</t>
        </is>
      </c>
      <c r="G657" t="n">
        <v>3.5</v>
      </c>
      <c r="H657" t="n">
        <v>0</v>
      </c>
      <c r="I657" t="n">
        <v>0</v>
      </c>
      <c r="J657" t="n">
        <v>0</v>
      </c>
      <c r="K657" t="n">
        <v>0</v>
      </c>
      <c r="L657" t="n">
        <v>0</v>
      </c>
      <c r="M657" t="n">
        <v>0</v>
      </c>
      <c r="N657" t="n">
        <v>0</v>
      </c>
      <c r="O657" t="n">
        <v>0</v>
      </c>
      <c r="P657" t="n">
        <v>0</v>
      </c>
      <c r="Q657" t="n">
        <v>0</v>
      </c>
      <c r="R657" s="2" t="inlineStr"/>
    </row>
    <row r="658" ht="15" customHeight="1">
      <c r="A658" t="inlineStr">
        <is>
          <t>A 1897-2023</t>
        </is>
      </c>
      <c r="B658" s="1" t="n">
        <v>44937</v>
      </c>
      <c r="C658" s="1" t="n">
        <v>46000</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ht="15" customHeight="1">
      <c r="A659" t="inlineStr">
        <is>
          <t>A 37385-2022</t>
        </is>
      </c>
      <c r="B659" s="1" t="n">
        <v>44806</v>
      </c>
      <c r="C659" s="1" t="n">
        <v>46000</v>
      </c>
      <c r="D659" t="inlineStr">
        <is>
          <t>DALARNAS LÄN</t>
        </is>
      </c>
      <c r="E659" t="inlineStr">
        <is>
          <t>MORA</t>
        </is>
      </c>
      <c r="G659" t="n">
        <v>2.2</v>
      </c>
      <c r="H659" t="n">
        <v>0</v>
      </c>
      <c r="I659" t="n">
        <v>0</v>
      </c>
      <c r="J659" t="n">
        <v>0</v>
      </c>
      <c r="K659" t="n">
        <v>0</v>
      </c>
      <c r="L659" t="n">
        <v>0</v>
      </c>
      <c r="M659" t="n">
        <v>0</v>
      </c>
      <c r="N659" t="n">
        <v>0</v>
      </c>
      <c r="O659" t="n">
        <v>0</v>
      </c>
      <c r="P659" t="n">
        <v>0</v>
      </c>
      <c r="Q659" t="n">
        <v>0</v>
      </c>
      <c r="R659" s="2" t="inlineStr"/>
    </row>
    <row r="660" ht="15" customHeight="1">
      <c r="A660" t="inlineStr">
        <is>
          <t>A 42391-2023</t>
        </is>
      </c>
      <c r="B660" s="1" t="n">
        <v>45180</v>
      </c>
      <c r="C660" s="1" t="n">
        <v>46000</v>
      </c>
      <c r="D660" t="inlineStr">
        <is>
          <t>DALARNAS LÄN</t>
        </is>
      </c>
      <c r="E660" t="inlineStr">
        <is>
          <t>MORA</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70141-2021</t>
        </is>
      </c>
      <c r="B661" s="1" t="n">
        <v>44533</v>
      </c>
      <c r="C661" s="1" t="n">
        <v>46000</v>
      </c>
      <c r="D661" t="inlineStr">
        <is>
          <t>DALARNAS LÄN</t>
        </is>
      </c>
      <c r="E661" t="inlineStr">
        <is>
          <t>MORA</t>
        </is>
      </c>
      <c r="G661" t="n">
        <v>4.1</v>
      </c>
      <c r="H661" t="n">
        <v>0</v>
      </c>
      <c r="I661" t="n">
        <v>0</v>
      </c>
      <c r="J661" t="n">
        <v>0</v>
      </c>
      <c r="K661" t="n">
        <v>0</v>
      </c>
      <c r="L661" t="n">
        <v>0</v>
      </c>
      <c r="M661" t="n">
        <v>0</v>
      </c>
      <c r="N661" t="n">
        <v>0</v>
      </c>
      <c r="O661" t="n">
        <v>0</v>
      </c>
      <c r="P661" t="n">
        <v>0</v>
      </c>
      <c r="Q661" t="n">
        <v>0</v>
      </c>
      <c r="R661" s="2" t="inlineStr"/>
    </row>
    <row r="662" ht="15" customHeight="1">
      <c r="A662" t="inlineStr">
        <is>
          <t>A 64093-2023</t>
        </is>
      </c>
      <c r="B662" s="1" t="n">
        <v>45279</v>
      </c>
      <c r="C662" s="1" t="n">
        <v>46000</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37471-2024</t>
        </is>
      </c>
      <c r="B663" s="1" t="n">
        <v>45540.85054398148</v>
      </c>
      <c r="C663" s="1" t="n">
        <v>46000</v>
      </c>
      <c r="D663" t="inlineStr">
        <is>
          <t>DALARNAS LÄN</t>
        </is>
      </c>
      <c r="E663" t="inlineStr">
        <is>
          <t>MORA</t>
        </is>
      </c>
      <c r="G663" t="n">
        <v>3.5</v>
      </c>
      <c r="H663" t="n">
        <v>0</v>
      </c>
      <c r="I663" t="n">
        <v>0</v>
      </c>
      <c r="J663" t="n">
        <v>0</v>
      </c>
      <c r="K663" t="n">
        <v>0</v>
      </c>
      <c r="L663" t="n">
        <v>0</v>
      </c>
      <c r="M663" t="n">
        <v>0</v>
      </c>
      <c r="N663" t="n">
        <v>0</v>
      </c>
      <c r="O663" t="n">
        <v>0</v>
      </c>
      <c r="P663" t="n">
        <v>0</v>
      </c>
      <c r="Q663" t="n">
        <v>0</v>
      </c>
      <c r="R663" s="2" t="inlineStr"/>
    </row>
    <row r="664" ht="15" customHeight="1">
      <c r="A664" t="inlineStr">
        <is>
          <t>A 14936-2025</t>
        </is>
      </c>
      <c r="B664" s="1" t="n">
        <v>45743.55756944444</v>
      </c>
      <c r="C664" s="1" t="n">
        <v>46000</v>
      </c>
      <c r="D664" t="inlineStr">
        <is>
          <t>DALARNAS LÄN</t>
        </is>
      </c>
      <c r="E664" t="inlineStr">
        <is>
          <t>MORA</t>
        </is>
      </c>
      <c r="G664" t="n">
        <v>2.4</v>
      </c>
      <c r="H664" t="n">
        <v>0</v>
      </c>
      <c r="I664" t="n">
        <v>0</v>
      </c>
      <c r="J664" t="n">
        <v>0</v>
      </c>
      <c r="K664" t="n">
        <v>0</v>
      </c>
      <c r="L664" t="n">
        <v>0</v>
      </c>
      <c r="M664" t="n">
        <v>0</v>
      </c>
      <c r="N664" t="n">
        <v>0</v>
      </c>
      <c r="O664" t="n">
        <v>0</v>
      </c>
      <c r="P664" t="n">
        <v>0</v>
      </c>
      <c r="Q664" t="n">
        <v>0</v>
      </c>
      <c r="R664" s="2" t="inlineStr"/>
    </row>
    <row r="665" ht="15" customHeight="1">
      <c r="A665" t="inlineStr">
        <is>
          <t>A 53344-2023</t>
        </is>
      </c>
      <c r="B665" s="1" t="n">
        <v>45229</v>
      </c>
      <c r="C665" s="1" t="n">
        <v>46000</v>
      </c>
      <c r="D665" t="inlineStr">
        <is>
          <t>DALARNAS LÄN</t>
        </is>
      </c>
      <c r="E665" t="inlineStr">
        <is>
          <t>MORA</t>
        </is>
      </c>
      <c r="G665" t="n">
        <v>2.4</v>
      </c>
      <c r="H665" t="n">
        <v>0</v>
      </c>
      <c r="I665" t="n">
        <v>0</v>
      </c>
      <c r="J665" t="n">
        <v>0</v>
      </c>
      <c r="K665" t="n">
        <v>0</v>
      </c>
      <c r="L665" t="n">
        <v>0</v>
      </c>
      <c r="M665" t="n">
        <v>0</v>
      </c>
      <c r="N665" t="n">
        <v>0</v>
      </c>
      <c r="O665" t="n">
        <v>0</v>
      </c>
      <c r="P665" t="n">
        <v>0</v>
      </c>
      <c r="Q665" t="n">
        <v>0</v>
      </c>
      <c r="R665" s="2" t="inlineStr"/>
    </row>
    <row r="666" ht="15" customHeight="1">
      <c r="A666" t="inlineStr">
        <is>
          <t>A 48522-2024</t>
        </is>
      </c>
      <c r="B666" s="1" t="n">
        <v>45593.32924768519</v>
      </c>
      <c r="C666" s="1" t="n">
        <v>46000</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53754-2024</t>
        </is>
      </c>
      <c r="B667" s="1" t="n">
        <v>45615.49371527778</v>
      </c>
      <c r="C667" s="1" t="n">
        <v>46000</v>
      </c>
      <c r="D667" t="inlineStr">
        <is>
          <t>DALARNAS LÄN</t>
        </is>
      </c>
      <c r="E667" t="inlineStr">
        <is>
          <t>MORA</t>
        </is>
      </c>
      <c r="G667" t="n">
        <v>4.8</v>
      </c>
      <c r="H667" t="n">
        <v>0</v>
      </c>
      <c r="I667" t="n">
        <v>0</v>
      </c>
      <c r="J667" t="n">
        <v>0</v>
      </c>
      <c r="K667" t="n">
        <v>0</v>
      </c>
      <c r="L667" t="n">
        <v>0</v>
      </c>
      <c r="M667" t="n">
        <v>0</v>
      </c>
      <c r="N667" t="n">
        <v>0</v>
      </c>
      <c r="O667" t="n">
        <v>0</v>
      </c>
      <c r="P667" t="n">
        <v>0</v>
      </c>
      <c r="Q667" t="n">
        <v>0</v>
      </c>
      <c r="R667" s="2" t="inlineStr"/>
    </row>
    <row r="668" ht="15" customHeight="1">
      <c r="A668" t="inlineStr">
        <is>
          <t>A 14040-2023</t>
        </is>
      </c>
      <c r="B668" s="1" t="n">
        <v>45008.64575231481</v>
      </c>
      <c r="C668" s="1" t="n">
        <v>46000</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56770-2024</t>
        </is>
      </c>
      <c r="B669" s="1" t="n">
        <v>45628.41587962963</v>
      </c>
      <c r="C669" s="1" t="n">
        <v>46000</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18120-2025</t>
        </is>
      </c>
      <c r="B670" s="1" t="n">
        <v>45761</v>
      </c>
      <c r="C670" s="1" t="n">
        <v>46000</v>
      </c>
      <c r="D670" t="inlineStr">
        <is>
          <t>DALARNAS LÄN</t>
        </is>
      </c>
      <c r="E670" t="inlineStr">
        <is>
          <t>MORA</t>
        </is>
      </c>
      <c r="F670" t="inlineStr">
        <is>
          <t>Bergvik skog väst AB</t>
        </is>
      </c>
      <c r="G670" t="n">
        <v>6.4</v>
      </c>
      <c r="H670" t="n">
        <v>0</v>
      </c>
      <c r="I670" t="n">
        <v>0</v>
      </c>
      <c r="J670" t="n">
        <v>0</v>
      </c>
      <c r="K670" t="n">
        <v>0</v>
      </c>
      <c r="L670" t="n">
        <v>0</v>
      </c>
      <c r="M670" t="n">
        <v>0</v>
      </c>
      <c r="N670" t="n">
        <v>0</v>
      </c>
      <c r="O670" t="n">
        <v>0</v>
      </c>
      <c r="P670" t="n">
        <v>0</v>
      </c>
      <c r="Q670" t="n">
        <v>0</v>
      </c>
      <c r="R670" s="2" t="inlineStr"/>
    </row>
    <row r="671" ht="15" customHeight="1">
      <c r="A671" t="inlineStr">
        <is>
          <t>A 18127-2025</t>
        </is>
      </c>
      <c r="B671" s="1" t="n">
        <v>45761.59523148148</v>
      </c>
      <c r="C671" s="1" t="n">
        <v>46000</v>
      </c>
      <c r="D671" t="inlineStr">
        <is>
          <t>DALARNAS LÄN</t>
        </is>
      </c>
      <c r="E671" t="inlineStr">
        <is>
          <t>MORA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4489-2022</t>
        </is>
      </c>
      <c r="B672" s="1" t="n">
        <v>44589</v>
      </c>
      <c r="C672" s="1" t="n">
        <v>46000</v>
      </c>
      <c r="D672" t="inlineStr">
        <is>
          <t>DALARNAS LÄN</t>
        </is>
      </c>
      <c r="E672" t="inlineStr">
        <is>
          <t>MORA</t>
        </is>
      </c>
      <c r="G672" t="n">
        <v>0.7</v>
      </c>
      <c r="H672" t="n">
        <v>0</v>
      </c>
      <c r="I672" t="n">
        <v>0</v>
      </c>
      <c r="J672" t="n">
        <v>0</v>
      </c>
      <c r="K672" t="n">
        <v>0</v>
      </c>
      <c r="L672" t="n">
        <v>0</v>
      </c>
      <c r="M672" t="n">
        <v>0</v>
      </c>
      <c r="N672" t="n">
        <v>0</v>
      </c>
      <c r="O672" t="n">
        <v>0</v>
      </c>
      <c r="P672" t="n">
        <v>0</v>
      </c>
      <c r="Q672" t="n">
        <v>0</v>
      </c>
      <c r="R672" s="2" t="inlineStr"/>
    </row>
    <row r="673" ht="15" customHeight="1">
      <c r="A673" t="inlineStr">
        <is>
          <t>A 45574-2023</t>
        </is>
      </c>
      <c r="B673" s="1" t="n">
        <v>45194</v>
      </c>
      <c r="C673" s="1" t="n">
        <v>46000</v>
      </c>
      <c r="D673" t="inlineStr">
        <is>
          <t>DALARNAS LÄN</t>
        </is>
      </c>
      <c r="E673" t="inlineStr">
        <is>
          <t>MORA</t>
        </is>
      </c>
      <c r="G673" t="n">
        <v>6.3</v>
      </c>
      <c r="H673" t="n">
        <v>0</v>
      </c>
      <c r="I673" t="n">
        <v>0</v>
      </c>
      <c r="J673" t="n">
        <v>0</v>
      </c>
      <c r="K673" t="n">
        <v>0</v>
      </c>
      <c r="L673" t="n">
        <v>0</v>
      </c>
      <c r="M673" t="n">
        <v>0</v>
      </c>
      <c r="N673" t="n">
        <v>0</v>
      </c>
      <c r="O673" t="n">
        <v>0</v>
      </c>
      <c r="P673" t="n">
        <v>0</v>
      </c>
      <c r="Q673" t="n">
        <v>0</v>
      </c>
      <c r="R673" s="2" t="inlineStr"/>
    </row>
    <row r="674" ht="15" customHeight="1">
      <c r="A674" t="inlineStr">
        <is>
          <t>A 45315-2024</t>
        </is>
      </c>
      <c r="B674" s="1" t="n">
        <v>45576.43782407408</v>
      </c>
      <c r="C674" s="1" t="n">
        <v>46000</v>
      </c>
      <c r="D674" t="inlineStr">
        <is>
          <t>DALARNAS LÄN</t>
        </is>
      </c>
      <c r="E674" t="inlineStr">
        <is>
          <t>MORA</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17172-2025</t>
        </is>
      </c>
      <c r="B675" s="1" t="n">
        <v>45756.37201388889</v>
      </c>
      <c r="C675" s="1" t="n">
        <v>46000</v>
      </c>
      <c r="D675" t="inlineStr">
        <is>
          <t>DALARNAS LÄN</t>
        </is>
      </c>
      <c r="E675" t="inlineStr">
        <is>
          <t>MORA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39009-2023</t>
        </is>
      </c>
      <c r="B676" s="1" t="n">
        <v>45162</v>
      </c>
      <c r="C676" s="1" t="n">
        <v>46000</v>
      </c>
      <c r="D676" t="inlineStr">
        <is>
          <t>DALARNAS LÄN</t>
        </is>
      </c>
      <c r="E676" t="inlineStr">
        <is>
          <t>MORA</t>
        </is>
      </c>
      <c r="G676" t="n">
        <v>1.9</v>
      </c>
      <c r="H676" t="n">
        <v>0</v>
      </c>
      <c r="I676" t="n">
        <v>0</v>
      </c>
      <c r="J676" t="n">
        <v>0</v>
      </c>
      <c r="K676" t="n">
        <v>0</v>
      </c>
      <c r="L676" t="n">
        <v>0</v>
      </c>
      <c r="M676" t="n">
        <v>0</v>
      </c>
      <c r="N676" t="n">
        <v>0</v>
      </c>
      <c r="O676" t="n">
        <v>0</v>
      </c>
      <c r="P676" t="n">
        <v>0</v>
      </c>
      <c r="Q676" t="n">
        <v>0</v>
      </c>
      <c r="R676" s="2" t="inlineStr"/>
    </row>
    <row r="677" ht="15" customHeight="1">
      <c r="A677" t="inlineStr">
        <is>
          <t>A 56532-2024</t>
        </is>
      </c>
      <c r="B677" s="1" t="n">
        <v>45625.55440972222</v>
      </c>
      <c r="C677" s="1" t="n">
        <v>46000</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5001-2025</t>
        </is>
      </c>
      <c r="B678" s="1" t="n">
        <v>45691.36403935185</v>
      </c>
      <c r="C678" s="1" t="n">
        <v>46000</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60360-2023</t>
        </is>
      </c>
      <c r="B679" s="1" t="n">
        <v>45259</v>
      </c>
      <c r="C679" s="1" t="n">
        <v>46000</v>
      </c>
      <c r="D679" t="inlineStr">
        <is>
          <t>DALARNAS LÄN</t>
        </is>
      </c>
      <c r="E679" t="inlineStr">
        <is>
          <t>MORA</t>
        </is>
      </c>
      <c r="G679" t="n">
        <v>2.9</v>
      </c>
      <c r="H679" t="n">
        <v>0</v>
      </c>
      <c r="I679" t="n">
        <v>0</v>
      </c>
      <c r="J679" t="n">
        <v>0</v>
      </c>
      <c r="K679" t="n">
        <v>0</v>
      </c>
      <c r="L679" t="n">
        <v>0</v>
      </c>
      <c r="M679" t="n">
        <v>0</v>
      </c>
      <c r="N679" t="n">
        <v>0</v>
      </c>
      <c r="O679" t="n">
        <v>0</v>
      </c>
      <c r="P679" t="n">
        <v>0</v>
      </c>
      <c r="Q679" t="n">
        <v>0</v>
      </c>
      <c r="R679" s="2" t="inlineStr"/>
    </row>
    <row r="680" ht="15" customHeight="1">
      <c r="A680" t="inlineStr">
        <is>
          <t>A 17164-2025</t>
        </is>
      </c>
      <c r="B680" s="1" t="n">
        <v>45756.36403935185</v>
      </c>
      <c r="C680" s="1" t="n">
        <v>46000</v>
      </c>
      <c r="D680" t="inlineStr">
        <is>
          <t>DALARNAS LÄN</t>
        </is>
      </c>
      <c r="E680" t="inlineStr">
        <is>
          <t>MORA</t>
        </is>
      </c>
      <c r="F680" t="inlineStr">
        <is>
          <t>Bergvik skog öst AB</t>
        </is>
      </c>
      <c r="G680" t="n">
        <v>0.3</v>
      </c>
      <c r="H680" t="n">
        <v>0</v>
      </c>
      <c r="I680" t="n">
        <v>0</v>
      </c>
      <c r="J680" t="n">
        <v>0</v>
      </c>
      <c r="K680" t="n">
        <v>0</v>
      </c>
      <c r="L680" t="n">
        <v>0</v>
      </c>
      <c r="M680" t="n">
        <v>0</v>
      </c>
      <c r="N680" t="n">
        <v>0</v>
      </c>
      <c r="O680" t="n">
        <v>0</v>
      </c>
      <c r="P680" t="n">
        <v>0</v>
      </c>
      <c r="Q680" t="n">
        <v>0</v>
      </c>
      <c r="R680" s="2" t="inlineStr"/>
    </row>
    <row r="681" ht="15" customHeight="1">
      <c r="A681" t="inlineStr">
        <is>
          <t>A 24768-2024</t>
        </is>
      </c>
      <c r="B681" s="1" t="n">
        <v>45460.69545138889</v>
      </c>
      <c r="C681" s="1" t="n">
        <v>46000</v>
      </c>
      <c r="D681" t="inlineStr">
        <is>
          <t>DALARNAS LÄN</t>
        </is>
      </c>
      <c r="E681" t="inlineStr">
        <is>
          <t>MORA</t>
        </is>
      </c>
      <c r="G681" t="n">
        <v>2.4</v>
      </c>
      <c r="H681" t="n">
        <v>0</v>
      </c>
      <c r="I681" t="n">
        <v>0</v>
      </c>
      <c r="J681" t="n">
        <v>0</v>
      </c>
      <c r="K681" t="n">
        <v>0</v>
      </c>
      <c r="L681" t="n">
        <v>0</v>
      </c>
      <c r="M681" t="n">
        <v>0</v>
      </c>
      <c r="N681" t="n">
        <v>0</v>
      </c>
      <c r="O681" t="n">
        <v>0</v>
      </c>
      <c r="P681" t="n">
        <v>0</v>
      </c>
      <c r="Q681" t="n">
        <v>0</v>
      </c>
      <c r="R681" s="2" t="inlineStr"/>
    </row>
    <row r="682" ht="15" customHeight="1">
      <c r="A682" t="inlineStr">
        <is>
          <t>A 17278-2025</t>
        </is>
      </c>
      <c r="B682" s="1" t="n">
        <v>45756.56131944444</v>
      </c>
      <c r="C682" s="1" t="n">
        <v>46000</v>
      </c>
      <c r="D682" t="inlineStr">
        <is>
          <t>DALARNAS LÄN</t>
        </is>
      </c>
      <c r="E682" t="inlineStr">
        <is>
          <t>MORA</t>
        </is>
      </c>
      <c r="G682" t="n">
        <v>3</v>
      </c>
      <c r="H682" t="n">
        <v>0</v>
      </c>
      <c r="I682" t="n">
        <v>0</v>
      </c>
      <c r="J682" t="n">
        <v>0</v>
      </c>
      <c r="K682" t="n">
        <v>0</v>
      </c>
      <c r="L682" t="n">
        <v>0</v>
      </c>
      <c r="M682" t="n">
        <v>0</v>
      </c>
      <c r="N682" t="n">
        <v>0</v>
      </c>
      <c r="O682" t="n">
        <v>0</v>
      </c>
      <c r="P682" t="n">
        <v>0</v>
      </c>
      <c r="Q682" t="n">
        <v>0</v>
      </c>
      <c r="R682" s="2" t="inlineStr"/>
    </row>
    <row r="683" ht="15" customHeight="1">
      <c r="A683" t="inlineStr">
        <is>
          <t>A 4209-2023</t>
        </is>
      </c>
      <c r="B683" s="1" t="n">
        <v>44953</v>
      </c>
      <c r="C683" s="1" t="n">
        <v>46000</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44205-2023</t>
        </is>
      </c>
      <c r="B684" s="1" t="n">
        <v>45188</v>
      </c>
      <c r="C684" s="1" t="n">
        <v>46000</v>
      </c>
      <c r="D684" t="inlineStr">
        <is>
          <t>DALARNAS LÄN</t>
        </is>
      </c>
      <c r="E684" t="inlineStr">
        <is>
          <t>MORA</t>
        </is>
      </c>
      <c r="G684" t="n">
        <v>0.7</v>
      </c>
      <c r="H684" t="n">
        <v>0</v>
      </c>
      <c r="I684" t="n">
        <v>0</v>
      </c>
      <c r="J684" t="n">
        <v>0</v>
      </c>
      <c r="K684" t="n">
        <v>0</v>
      </c>
      <c r="L684" t="n">
        <v>0</v>
      </c>
      <c r="M684" t="n">
        <v>0</v>
      </c>
      <c r="N684" t="n">
        <v>0</v>
      </c>
      <c r="O684" t="n">
        <v>0</v>
      </c>
      <c r="P684" t="n">
        <v>0</v>
      </c>
      <c r="Q684" t="n">
        <v>0</v>
      </c>
      <c r="R684" s="2" t="inlineStr"/>
    </row>
    <row r="685" ht="15" customHeight="1">
      <c r="A685" t="inlineStr">
        <is>
          <t>A 22732-2024</t>
        </is>
      </c>
      <c r="B685" s="1" t="n">
        <v>45448.38677083333</v>
      </c>
      <c r="C685" s="1" t="n">
        <v>46000</v>
      </c>
      <c r="D685" t="inlineStr">
        <is>
          <t>DALARNAS LÄN</t>
        </is>
      </c>
      <c r="E685" t="inlineStr">
        <is>
          <t>MORA</t>
        </is>
      </c>
      <c r="G685" t="n">
        <v>3.6</v>
      </c>
      <c r="H685" t="n">
        <v>0</v>
      </c>
      <c r="I685" t="n">
        <v>0</v>
      </c>
      <c r="J685" t="n">
        <v>0</v>
      </c>
      <c r="K685" t="n">
        <v>0</v>
      </c>
      <c r="L685" t="n">
        <v>0</v>
      </c>
      <c r="M685" t="n">
        <v>0</v>
      </c>
      <c r="N685" t="n">
        <v>0</v>
      </c>
      <c r="O685" t="n">
        <v>0</v>
      </c>
      <c r="P685" t="n">
        <v>0</v>
      </c>
      <c r="Q685" t="n">
        <v>0</v>
      </c>
      <c r="R685" s="2" t="inlineStr"/>
    </row>
    <row r="686" ht="15" customHeight="1">
      <c r="A686" t="inlineStr">
        <is>
          <t>A 19756-2022</t>
        </is>
      </c>
      <c r="B686" s="1" t="n">
        <v>44694.62913194444</v>
      </c>
      <c r="C686" s="1" t="n">
        <v>46000</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46801-2022</t>
        </is>
      </c>
      <c r="B687" s="1" t="n">
        <v>44851</v>
      </c>
      <c r="C687" s="1" t="n">
        <v>46000</v>
      </c>
      <c r="D687" t="inlineStr">
        <is>
          <t>DALARNAS LÄN</t>
        </is>
      </c>
      <c r="E687" t="inlineStr">
        <is>
          <t>MORA</t>
        </is>
      </c>
      <c r="G687" t="n">
        <v>1.5</v>
      </c>
      <c r="H687" t="n">
        <v>0</v>
      </c>
      <c r="I687" t="n">
        <v>0</v>
      </c>
      <c r="J687" t="n">
        <v>0</v>
      </c>
      <c r="K687" t="n">
        <v>0</v>
      </c>
      <c r="L687" t="n">
        <v>0</v>
      </c>
      <c r="M687" t="n">
        <v>0</v>
      </c>
      <c r="N687" t="n">
        <v>0</v>
      </c>
      <c r="O687" t="n">
        <v>0</v>
      </c>
      <c r="P687" t="n">
        <v>0</v>
      </c>
      <c r="Q687" t="n">
        <v>0</v>
      </c>
      <c r="R687" s="2" t="inlineStr"/>
    </row>
    <row r="688" ht="15" customHeight="1">
      <c r="A688" t="inlineStr">
        <is>
          <t>A 5644-2024</t>
        </is>
      </c>
      <c r="B688" s="1" t="n">
        <v>45334</v>
      </c>
      <c r="C688" s="1" t="n">
        <v>46000</v>
      </c>
      <c r="D688" t="inlineStr">
        <is>
          <t>DALARNAS LÄN</t>
        </is>
      </c>
      <c r="E688" t="inlineStr">
        <is>
          <t>MORA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33627-2024</t>
        </is>
      </c>
      <c r="B689" s="1" t="n">
        <v>45520</v>
      </c>
      <c r="C689" s="1" t="n">
        <v>46000</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46923-2024</t>
        </is>
      </c>
      <c r="B690" s="1" t="n">
        <v>45584.42887731481</v>
      </c>
      <c r="C690" s="1" t="n">
        <v>46000</v>
      </c>
      <c r="D690" t="inlineStr">
        <is>
          <t>DALARNAS LÄN</t>
        </is>
      </c>
      <c r="E690" t="inlineStr">
        <is>
          <t>MORA</t>
        </is>
      </c>
      <c r="G690" t="n">
        <v>3.4</v>
      </c>
      <c r="H690" t="n">
        <v>0</v>
      </c>
      <c r="I690" t="n">
        <v>0</v>
      </c>
      <c r="J690" t="n">
        <v>0</v>
      </c>
      <c r="K690" t="n">
        <v>0</v>
      </c>
      <c r="L690" t="n">
        <v>0</v>
      </c>
      <c r="M690" t="n">
        <v>0</v>
      </c>
      <c r="N690" t="n">
        <v>0</v>
      </c>
      <c r="O690" t="n">
        <v>0</v>
      </c>
      <c r="P690" t="n">
        <v>0</v>
      </c>
      <c r="Q690" t="n">
        <v>0</v>
      </c>
      <c r="R690" s="2" t="inlineStr"/>
    </row>
    <row r="691" ht="15" customHeight="1">
      <c r="A691" t="inlineStr">
        <is>
          <t>A 39888-2024</t>
        </is>
      </c>
      <c r="B691" s="1" t="n">
        <v>45553.47538194444</v>
      </c>
      <c r="C691" s="1" t="n">
        <v>46000</v>
      </c>
      <c r="D691" t="inlineStr">
        <is>
          <t>DALARNAS LÄN</t>
        </is>
      </c>
      <c r="E691" t="inlineStr">
        <is>
          <t>MORA</t>
        </is>
      </c>
      <c r="G691" t="n">
        <v>5.4</v>
      </c>
      <c r="H691" t="n">
        <v>0</v>
      </c>
      <c r="I691" t="n">
        <v>0</v>
      </c>
      <c r="J691" t="n">
        <v>0</v>
      </c>
      <c r="K691" t="n">
        <v>0</v>
      </c>
      <c r="L691" t="n">
        <v>0</v>
      </c>
      <c r="M691" t="n">
        <v>0</v>
      </c>
      <c r="N691" t="n">
        <v>0</v>
      </c>
      <c r="O691" t="n">
        <v>0</v>
      </c>
      <c r="P691" t="n">
        <v>0</v>
      </c>
      <c r="Q691" t="n">
        <v>0</v>
      </c>
      <c r="R691" s="2" t="inlineStr"/>
    </row>
    <row r="692" ht="15" customHeight="1">
      <c r="A692" t="inlineStr">
        <is>
          <t>A 33666-2024</t>
        </is>
      </c>
      <c r="B692" s="1" t="n">
        <v>45520.48304398148</v>
      </c>
      <c r="C692" s="1" t="n">
        <v>46000</v>
      </c>
      <c r="D692" t="inlineStr">
        <is>
          <t>DALARNAS LÄN</t>
        </is>
      </c>
      <c r="E692" t="inlineStr">
        <is>
          <t>MORA</t>
        </is>
      </c>
      <c r="G692" t="n">
        <v>0.7</v>
      </c>
      <c r="H692" t="n">
        <v>0</v>
      </c>
      <c r="I692" t="n">
        <v>0</v>
      </c>
      <c r="J692" t="n">
        <v>0</v>
      </c>
      <c r="K692" t="n">
        <v>0</v>
      </c>
      <c r="L692" t="n">
        <v>0</v>
      </c>
      <c r="M692" t="n">
        <v>0</v>
      </c>
      <c r="N692" t="n">
        <v>0</v>
      </c>
      <c r="O692" t="n">
        <v>0</v>
      </c>
      <c r="P692" t="n">
        <v>0</v>
      </c>
      <c r="Q692" t="n">
        <v>0</v>
      </c>
      <c r="R692" s="2" t="inlineStr"/>
    </row>
    <row r="693" ht="15" customHeight="1">
      <c r="A693" t="inlineStr">
        <is>
          <t>A 20989-2024</t>
        </is>
      </c>
      <c r="B693" s="1" t="n">
        <v>45439</v>
      </c>
      <c r="C693" s="1" t="n">
        <v>46000</v>
      </c>
      <c r="D693" t="inlineStr">
        <is>
          <t>DALARNAS LÄN</t>
        </is>
      </c>
      <c r="E693" t="inlineStr">
        <is>
          <t>MORA</t>
        </is>
      </c>
      <c r="F693" t="inlineStr">
        <is>
          <t>Bergvik skog öst AB</t>
        </is>
      </c>
      <c r="G693" t="n">
        <v>14.7</v>
      </c>
      <c r="H693" t="n">
        <v>0</v>
      </c>
      <c r="I693" t="n">
        <v>0</v>
      </c>
      <c r="J693" t="n">
        <v>0</v>
      </c>
      <c r="K693" t="n">
        <v>0</v>
      </c>
      <c r="L693" t="n">
        <v>0</v>
      </c>
      <c r="M693" t="n">
        <v>0</v>
      </c>
      <c r="N693" t="n">
        <v>0</v>
      </c>
      <c r="O693" t="n">
        <v>0</v>
      </c>
      <c r="P693" t="n">
        <v>0</v>
      </c>
      <c r="Q693" t="n">
        <v>0</v>
      </c>
      <c r="R693" s="2" t="inlineStr"/>
    </row>
    <row r="694" ht="15" customHeight="1">
      <c r="A694" t="inlineStr">
        <is>
          <t>A 41812-2024</t>
        </is>
      </c>
      <c r="B694" s="1" t="n">
        <v>45561.3771412037</v>
      </c>
      <c r="C694" s="1" t="n">
        <v>46000</v>
      </c>
      <c r="D694" t="inlineStr">
        <is>
          <t>DALARNAS LÄN</t>
        </is>
      </c>
      <c r="E694" t="inlineStr">
        <is>
          <t>MORA</t>
        </is>
      </c>
      <c r="G694" t="n">
        <v>2.2</v>
      </c>
      <c r="H694" t="n">
        <v>0</v>
      </c>
      <c r="I694" t="n">
        <v>0</v>
      </c>
      <c r="J694" t="n">
        <v>0</v>
      </c>
      <c r="K694" t="n">
        <v>0</v>
      </c>
      <c r="L694" t="n">
        <v>0</v>
      </c>
      <c r="M694" t="n">
        <v>0</v>
      </c>
      <c r="N694" t="n">
        <v>0</v>
      </c>
      <c r="O694" t="n">
        <v>0</v>
      </c>
      <c r="P694" t="n">
        <v>0</v>
      </c>
      <c r="Q694" t="n">
        <v>0</v>
      </c>
      <c r="R694" s="2" t="inlineStr"/>
    </row>
    <row r="695" ht="15" customHeight="1">
      <c r="A695" t="inlineStr">
        <is>
          <t>A 51888-2024</t>
        </is>
      </c>
      <c r="B695" s="1" t="n">
        <v>45607.57142361111</v>
      </c>
      <c r="C695" s="1" t="n">
        <v>46000</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32721-2024</t>
        </is>
      </c>
      <c r="B696" s="1" t="n">
        <v>45516.40261574074</v>
      </c>
      <c r="C696" s="1" t="n">
        <v>46000</v>
      </c>
      <c r="D696" t="inlineStr">
        <is>
          <t>DALARNAS LÄN</t>
        </is>
      </c>
      <c r="E696" t="inlineStr">
        <is>
          <t>MORA</t>
        </is>
      </c>
      <c r="G696" t="n">
        <v>4.2</v>
      </c>
      <c r="H696" t="n">
        <v>0</v>
      </c>
      <c r="I696" t="n">
        <v>0</v>
      </c>
      <c r="J696" t="n">
        <v>0</v>
      </c>
      <c r="K696" t="n">
        <v>0</v>
      </c>
      <c r="L696" t="n">
        <v>0</v>
      </c>
      <c r="M696" t="n">
        <v>0</v>
      </c>
      <c r="N696" t="n">
        <v>0</v>
      </c>
      <c r="O696" t="n">
        <v>0</v>
      </c>
      <c r="P696" t="n">
        <v>0</v>
      </c>
      <c r="Q696" t="n">
        <v>0</v>
      </c>
      <c r="R696" s="2" t="inlineStr"/>
    </row>
    <row r="697" ht="15" customHeight="1">
      <c r="A697" t="inlineStr">
        <is>
          <t>A 8153-2021</t>
        </is>
      </c>
      <c r="B697" s="1" t="n">
        <v>44244</v>
      </c>
      <c r="C697" s="1" t="n">
        <v>46000</v>
      </c>
      <c r="D697" t="inlineStr">
        <is>
          <t>DALARNAS LÄN</t>
        </is>
      </c>
      <c r="E697" t="inlineStr">
        <is>
          <t>MORA</t>
        </is>
      </c>
      <c r="G697" t="n">
        <v>2.5</v>
      </c>
      <c r="H697" t="n">
        <v>0</v>
      </c>
      <c r="I697" t="n">
        <v>0</v>
      </c>
      <c r="J697" t="n">
        <v>0</v>
      </c>
      <c r="K697" t="n">
        <v>0</v>
      </c>
      <c r="L697" t="n">
        <v>0</v>
      </c>
      <c r="M697" t="n">
        <v>0</v>
      </c>
      <c r="N697" t="n">
        <v>0</v>
      </c>
      <c r="O697" t="n">
        <v>0</v>
      </c>
      <c r="P697" t="n">
        <v>0</v>
      </c>
      <c r="Q697" t="n">
        <v>0</v>
      </c>
      <c r="R697" s="2" t="inlineStr"/>
    </row>
    <row r="698" ht="15" customHeight="1">
      <c r="A698" t="inlineStr">
        <is>
          <t>A 25749-2023</t>
        </is>
      </c>
      <c r="B698" s="1" t="n">
        <v>45090</v>
      </c>
      <c r="C698" s="1" t="n">
        <v>46000</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40325-2024</t>
        </is>
      </c>
      <c r="B699" s="1" t="n">
        <v>45554.88538194444</v>
      </c>
      <c r="C699" s="1" t="n">
        <v>46000</v>
      </c>
      <c r="D699" t="inlineStr">
        <is>
          <t>DALARNAS LÄN</t>
        </is>
      </c>
      <c r="E699" t="inlineStr">
        <is>
          <t>MORA</t>
        </is>
      </c>
      <c r="G699" t="n">
        <v>2.8</v>
      </c>
      <c r="H699" t="n">
        <v>0</v>
      </c>
      <c r="I699" t="n">
        <v>0</v>
      </c>
      <c r="J699" t="n">
        <v>0</v>
      </c>
      <c r="K699" t="n">
        <v>0</v>
      </c>
      <c r="L699" t="n">
        <v>0</v>
      </c>
      <c r="M699" t="n">
        <v>0</v>
      </c>
      <c r="N699" t="n">
        <v>0</v>
      </c>
      <c r="O699" t="n">
        <v>0</v>
      </c>
      <c r="P699" t="n">
        <v>0</v>
      </c>
      <c r="Q699" t="n">
        <v>0</v>
      </c>
      <c r="R699" s="2" t="inlineStr"/>
    </row>
    <row r="700" ht="15" customHeight="1">
      <c r="A700" t="inlineStr">
        <is>
          <t>A 43964-2024</t>
        </is>
      </c>
      <c r="B700" s="1" t="n">
        <v>45572.48407407408</v>
      </c>
      <c r="C700" s="1" t="n">
        <v>46000</v>
      </c>
      <c r="D700" t="inlineStr">
        <is>
          <t>DALARNAS LÄN</t>
        </is>
      </c>
      <c r="E700" t="inlineStr">
        <is>
          <t>MORA</t>
        </is>
      </c>
      <c r="G700" t="n">
        <v>0.9</v>
      </c>
      <c r="H700" t="n">
        <v>0</v>
      </c>
      <c r="I700" t="n">
        <v>0</v>
      </c>
      <c r="J700" t="n">
        <v>0</v>
      </c>
      <c r="K700" t="n">
        <v>0</v>
      </c>
      <c r="L700" t="n">
        <v>0</v>
      </c>
      <c r="M700" t="n">
        <v>0</v>
      </c>
      <c r="N700" t="n">
        <v>0</v>
      </c>
      <c r="O700" t="n">
        <v>0</v>
      </c>
      <c r="P700" t="n">
        <v>0</v>
      </c>
      <c r="Q700" t="n">
        <v>0</v>
      </c>
      <c r="R700" s="2" t="inlineStr"/>
    </row>
    <row r="701" ht="15" customHeight="1">
      <c r="A701" t="inlineStr">
        <is>
          <t>A 51883-2024</t>
        </is>
      </c>
      <c r="B701" s="1" t="n">
        <v>45607</v>
      </c>
      <c r="C701" s="1" t="n">
        <v>46000</v>
      </c>
      <c r="D701" t="inlineStr">
        <is>
          <t>DALARNAS LÄN</t>
        </is>
      </c>
      <c r="E701" t="inlineStr">
        <is>
          <t>MORA</t>
        </is>
      </c>
      <c r="G701" t="n">
        <v>0.2</v>
      </c>
      <c r="H701" t="n">
        <v>0</v>
      </c>
      <c r="I701" t="n">
        <v>0</v>
      </c>
      <c r="J701" t="n">
        <v>0</v>
      </c>
      <c r="K701" t="n">
        <v>0</v>
      </c>
      <c r="L701" t="n">
        <v>0</v>
      </c>
      <c r="M701" t="n">
        <v>0</v>
      </c>
      <c r="N701" t="n">
        <v>0</v>
      </c>
      <c r="O701" t="n">
        <v>0</v>
      </c>
      <c r="P701" t="n">
        <v>0</v>
      </c>
      <c r="Q701" t="n">
        <v>0</v>
      </c>
      <c r="R701" s="2" t="inlineStr"/>
    </row>
    <row r="702" ht="15" customHeight="1">
      <c r="A702" t="inlineStr">
        <is>
          <t>A 42941-2024</t>
        </is>
      </c>
      <c r="B702" s="1" t="n">
        <v>45567.3515162037</v>
      </c>
      <c r="C702" s="1" t="n">
        <v>46000</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43873-2024</t>
        </is>
      </c>
      <c r="B703" s="1" t="n">
        <v>45572.38429398148</v>
      </c>
      <c r="C703" s="1" t="n">
        <v>46000</v>
      </c>
      <c r="D703" t="inlineStr">
        <is>
          <t>DALARNAS LÄN</t>
        </is>
      </c>
      <c r="E703" t="inlineStr">
        <is>
          <t>MORA</t>
        </is>
      </c>
      <c r="G703" t="n">
        <v>4.1</v>
      </c>
      <c r="H703" t="n">
        <v>0</v>
      </c>
      <c r="I703" t="n">
        <v>0</v>
      </c>
      <c r="J703" t="n">
        <v>0</v>
      </c>
      <c r="K703" t="n">
        <v>0</v>
      </c>
      <c r="L703" t="n">
        <v>0</v>
      </c>
      <c r="M703" t="n">
        <v>0</v>
      </c>
      <c r="N703" t="n">
        <v>0</v>
      </c>
      <c r="O703" t="n">
        <v>0</v>
      </c>
      <c r="P703" t="n">
        <v>0</v>
      </c>
      <c r="Q703" t="n">
        <v>0</v>
      </c>
      <c r="R703" s="2" t="inlineStr"/>
    </row>
    <row r="704" ht="15" customHeight="1">
      <c r="A704" t="inlineStr">
        <is>
          <t>A 14372-2025</t>
        </is>
      </c>
      <c r="B704" s="1" t="n">
        <v>45741.4050462963</v>
      </c>
      <c r="C704" s="1" t="n">
        <v>46000</v>
      </c>
      <c r="D704" t="inlineStr">
        <is>
          <t>DALARNAS LÄN</t>
        </is>
      </c>
      <c r="E704" t="inlineStr">
        <is>
          <t>MORA</t>
        </is>
      </c>
      <c r="G704" t="n">
        <v>5.1</v>
      </c>
      <c r="H704" t="n">
        <v>0</v>
      </c>
      <c r="I704" t="n">
        <v>0</v>
      </c>
      <c r="J704" t="n">
        <v>0</v>
      </c>
      <c r="K704" t="n">
        <v>0</v>
      </c>
      <c r="L704" t="n">
        <v>0</v>
      </c>
      <c r="M704" t="n">
        <v>0</v>
      </c>
      <c r="N704" t="n">
        <v>0</v>
      </c>
      <c r="O704" t="n">
        <v>0</v>
      </c>
      <c r="P704" t="n">
        <v>0</v>
      </c>
      <c r="Q704" t="n">
        <v>0</v>
      </c>
      <c r="R704" s="2" t="inlineStr"/>
    </row>
    <row r="705" ht="15" customHeight="1">
      <c r="A705" t="inlineStr">
        <is>
          <t>A 14378-2025</t>
        </is>
      </c>
      <c r="B705" s="1" t="n">
        <v>45741</v>
      </c>
      <c r="C705" s="1" t="n">
        <v>46000</v>
      </c>
      <c r="D705" t="inlineStr">
        <is>
          <t>DALARNAS LÄN</t>
        </is>
      </c>
      <c r="E705" t="inlineStr">
        <is>
          <t>MORA</t>
        </is>
      </c>
      <c r="G705" t="n">
        <v>5.2</v>
      </c>
      <c r="H705" t="n">
        <v>0</v>
      </c>
      <c r="I705" t="n">
        <v>0</v>
      </c>
      <c r="J705" t="n">
        <v>0</v>
      </c>
      <c r="K705" t="n">
        <v>0</v>
      </c>
      <c r="L705" t="n">
        <v>0</v>
      </c>
      <c r="M705" t="n">
        <v>0</v>
      </c>
      <c r="N705" t="n">
        <v>0</v>
      </c>
      <c r="O705" t="n">
        <v>0</v>
      </c>
      <c r="P705" t="n">
        <v>0</v>
      </c>
      <c r="Q705" t="n">
        <v>0</v>
      </c>
      <c r="R705" s="2" t="inlineStr"/>
    </row>
    <row r="706" ht="15" customHeight="1">
      <c r="A706" t="inlineStr">
        <is>
          <t>A 16733-2024</t>
        </is>
      </c>
      <c r="B706" s="1" t="n">
        <v>45410.78502314815</v>
      </c>
      <c r="C706" s="1" t="n">
        <v>46000</v>
      </c>
      <c r="D706" t="inlineStr">
        <is>
          <t>DALARNAS LÄN</t>
        </is>
      </c>
      <c r="E706" t="inlineStr">
        <is>
          <t>MORA</t>
        </is>
      </c>
      <c r="G706" t="n">
        <v>6.3</v>
      </c>
      <c r="H706" t="n">
        <v>0</v>
      </c>
      <c r="I706" t="n">
        <v>0</v>
      </c>
      <c r="J706" t="n">
        <v>0</v>
      </c>
      <c r="K706" t="n">
        <v>0</v>
      </c>
      <c r="L706" t="n">
        <v>0</v>
      </c>
      <c r="M706" t="n">
        <v>0</v>
      </c>
      <c r="N706" t="n">
        <v>0</v>
      </c>
      <c r="O706" t="n">
        <v>0</v>
      </c>
      <c r="P706" t="n">
        <v>0</v>
      </c>
      <c r="Q706" t="n">
        <v>0</v>
      </c>
      <c r="R706" s="2" t="inlineStr"/>
    </row>
    <row r="707" ht="15" customHeight="1">
      <c r="A707" t="inlineStr">
        <is>
          <t>A 61217-2023</t>
        </is>
      </c>
      <c r="B707" s="1" t="n">
        <v>45264.43802083333</v>
      </c>
      <c r="C707" s="1" t="n">
        <v>46000</v>
      </c>
      <c r="D707" t="inlineStr">
        <is>
          <t>DALARNAS LÄN</t>
        </is>
      </c>
      <c r="E707" t="inlineStr">
        <is>
          <t>MORA</t>
        </is>
      </c>
      <c r="F707" t="inlineStr">
        <is>
          <t>Allmännings- och besparingsskogar</t>
        </is>
      </c>
      <c r="G707" t="n">
        <v>2</v>
      </c>
      <c r="H707" t="n">
        <v>0</v>
      </c>
      <c r="I707" t="n">
        <v>0</v>
      </c>
      <c r="J707" t="n">
        <v>0</v>
      </c>
      <c r="K707" t="n">
        <v>0</v>
      </c>
      <c r="L707" t="n">
        <v>0</v>
      </c>
      <c r="M707" t="n">
        <v>0</v>
      </c>
      <c r="N707" t="n">
        <v>0</v>
      </c>
      <c r="O707" t="n">
        <v>0</v>
      </c>
      <c r="P707" t="n">
        <v>0</v>
      </c>
      <c r="Q707" t="n">
        <v>0</v>
      </c>
      <c r="R707" s="2" t="inlineStr"/>
    </row>
    <row r="708" ht="15" customHeight="1">
      <c r="A708" t="inlineStr">
        <is>
          <t>A 61218-2023</t>
        </is>
      </c>
      <c r="B708" s="1" t="n">
        <v>45264</v>
      </c>
      <c r="C708" s="1" t="n">
        <v>46000</v>
      </c>
      <c r="D708" t="inlineStr">
        <is>
          <t>DALARNAS LÄN</t>
        </is>
      </c>
      <c r="E708" t="inlineStr">
        <is>
          <t>MORA</t>
        </is>
      </c>
      <c r="F708" t="inlineStr">
        <is>
          <t>Allmännings- och besparingsskogar</t>
        </is>
      </c>
      <c r="G708" t="n">
        <v>2.6</v>
      </c>
      <c r="H708" t="n">
        <v>0</v>
      </c>
      <c r="I708" t="n">
        <v>0</v>
      </c>
      <c r="J708" t="n">
        <v>0</v>
      </c>
      <c r="K708" t="n">
        <v>0</v>
      </c>
      <c r="L708" t="n">
        <v>0</v>
      </c>
      <c r="M708" t="n">
        <v>0</v>
      </c>
      <c r="N708" t="n">
        <v>0</v>
      </c>
      <c r="O708" t="n">
        <v>0</v>
      </c>
      <c r="P708" t="n">
        <v>0</v>
      </c>
      <c r="Q708" t="n">
        <v>0</v>
      </c>
      <c r="R708" s="2" t="inlineStr"/>
    </row>
    <row r="709" ht="15" customHeight="1">
      <c r="A709" t="inlineStr">
        <is>
          <t>A 39348-2024</t>
        </is>
      </c>
      <c r="B709" s="1" t="n">
        <v>45551.45322916667</v>
      </c>
      <c r="C709" s="1" t="n">
        <v>46000</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54903-2024</t>
        </is>
      </c>
      <c r="B710" s="1" t="n">
        <v>45618</v>
      </c>
      <c r="C710" s="1" t="n">
        <v>46000</v>
      </c>
      <c r="D710" t="inlineStr">
        <is>
          <t>DALARNAS LÄN</t>
        </is>
      </c>
      <c r="E710" t="inlineStr">
        <is>
          <t>MORA</t>
        </is>
      </c>
      <c r="G710" t="n">
        <v>28.2</v>
      </c>
      <c r="H710" t="n">
        <v>0</v>
      </c>
      <c r="I710" t="n">
        <v>0</v>
      </c>
      <c r="J710" t="n">
        <v>0</v>
      </c>
      <c r="K710" t="n">
        <v>0</v>
      </c>
      <c r="L710" t="n">
        <v>0</v>
      </c>
      <c r="M710" t="n">
        <v>0</v>
      </c>
      <c r="N710" t="n">
        <v>0</v>
      </c>
      <c r="O710" t="n">
        <v>0</v>
      </c>
      <c r="P710" t="n">
        <v>0</v>
      </c>
      <c r="Q710" t="n">
        <v>0</v>
      </c>
      <c r="R710" s="2" t="inlineStr"/>
    </row>
    <row r="711" ht="15" customHeight="1">
      <c r="A711" t="inlineStr">
        <is>
          <t>A 23302-2024</t>
        </is>
      </c>
      <c r="B711" s="1" t="n">
        <v>45453.44091435185</v>
      </c>
      <c r="C711" s="1" t="n">
        <v>46000</v>
      </c>
      <c r="D711" t="inlineStr">
        <is>
          <t>DALARNAS LÄN</t>
        </is>
      </c>
      <c r="E711" t="inlineStr">
        <is>
          <t>MORA</t>
        </is>
      </c>
      <c r="G711" t="n">
        <v>1.3</v>
      </c>
      <c r="H711" t="n">
        <v>0</v>
      </c>
      <c r="I711" t="n">
        <v>0</v>
      </c>
      <c r="J711" t="n">
        <v>0</v>
      </c>
      <c r="K711" t="n">
        <v>0</v>
      </c>
      <c r="L711" t="n">
        <v>0</v>
      </c>
      <c r="M711" t="n">
        <v>0</v>
      </c>
      <c r="N711" t="n">
        <v>0</v>
      </c>
      <c r="O711" t="n">
        <v>0</v>
      </c>
      <c r="P711" t="n">
        <v>0</v>
      </c>
      <c r="Q711" t="n">
        <v>0</v>
      </c>
      <c r="R711" s="2" t="inlineStr"/>
    </row>
    <row r="712" ht="15" customHeight="1">
      <c r="A712" t="inlineStr">
        <is>
          <t>A 16573-2024</t>
        </is>
      </c>
      <c r="B712" s="1" t="n">
        <v>45408.46980324074</v>
      </c>
      <c r="C712" s="1" t="n">
        <v>46000</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21894-2025</t>
        </is>
      </c>
      <c r="B713" s="1" t="n">
        <v>45784.45060185185</v>
      </c>
      <c r="C713" s="1" t="n">
        <v>46000</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row r="714" ht="15" customHeight="1">
      <c r="A714" t="inlineStr">
        <is>
          <t>A 21890-2025</t>
        </is>
      </c>
      <c r="B714" s="1" t="n">
        <v>45784.44481481481</v>
      </c>
      <c r="C714" s="1" t="n">
        <v>46000</v>
      </c>
      <c r="D714" t="inlineStr">
        <is>
          <t>DALARNAS LÄN</t>
        </is>
      </c>
      <c r="E714" t="inlineStr">
        <is>
          <t>MORA</t>
        </is>
      </c>
      <c r="G714" t="n">
        <v>3.8</v>
      </c>
      <c r="H714" t="n">
        <v>0</v>
      </c>
      <c r="I714" t="n">
        <v>0</v>
      </c>
      <c r="J714" t="n">
        <v>0</v>
      </c>
      <c r="K714" t="n">
        <v>0</v>
      </c>
      <c r="L714" t="n">
        <v>0</v>
      </c>
      <c r="M714" t="n">
        <v>0</v>
      </c>
      <c r="N714" t="n">
        <v>0</v>
      </c>
      <c r="O714" t="n">
        <v>0</v>
      </c>
      <c r="P714" t="n">
        <v>0</v>
      </c>
      <c r="Q714" t="n">
        <v>0</v>
      </c>
      <c r="R714" s="2" t="inlineStr"/>
    </row>
    <row r="715">
      <c r="A715" t="inlineStr">
        <is>
          <t>A 21895-2025</t>
        </is>
      </c>
      <c r="B715" s="1" t="n">
        <v>45784.45273148148</v>
      </c>
      <c r="C715" s="1" t="n">
        <v>46000</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2025-12-09T10:25:55Z</dcterms:created>
  <dcterms:modified xmlns:dcterms="http://purl.org/dc/terms/" xmlns:xsi="http://www.w3.org/2001/XMLSchema-instance" xsi:type="dcterms:W3CDTF">2025-12-09T10:25:56Z</dcterms:modified>
</cp:coreProperties>
</file>