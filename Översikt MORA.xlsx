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45589</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45589</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45589</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45589</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45589</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45589</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45589</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45589</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45589</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45589</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45589</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45589</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45589</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45589</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45589</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45589</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45589</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45589</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45589</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45589</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45589</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45589</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45589</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45589</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45589</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45589</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45589</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45589</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45589</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45589</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45589</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45589</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45589</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45589</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45589</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45589</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45589</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45589</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45344-2024</t>
        </is>
      </c>
      <c r="B42" s="1" t="n">
        <v>45576</v>
      </c>
      <c r="C42" s="1" t="n">
        <v>45589</v>
      </c>
      <c r="D42" t="inlineStr">
        <is>
          <t>DALARNAS LÄN</t>
        </is>
      </c>
      <c r="E42" t="inlineStr">
        <is>
          <t>MORA</t>
        </is>
      </c>
      <c r="G42" t="n">
        <v>0.9</v>
      </c>
      <c r="H42" t="n">
        <v>0</v>
      </c>
      <c r="I42" t="n">
        <v>0</v>
      </c>
      <c r="J42" t="n">
        <v>1</v>
      </c>
      <c r="K42" t="n">
        <v>0</v>
      </c>
      <c r="L42" t="n">
        <v>0</v>
      </c>
      <c r="M42" t="n">
        <v>0</v>
      </c>
      <c r="N42" t="n">
        <v>0</v>
      </c>
      <c r="O42" t="n">
        <v>1</v>
      </c>
      <c r="P42" t="n">
        <v>0</v>
      </c>
      <c r="Q42" t="n">
        <v>1</v>
      </c>
      <c r="R42" s="2" t="inlineStr">
        <is>
          <t>Garnlav</t>
        </is>
      </c>
      <c r="S42">
        <f>HYPERLINK("https://klasma.github.io/Logging_2062/artfynd/A 45344-2024 artfynd.xlsx", "A 45344-2024")</f>
        <v/>
      </c>
      <c r="T42">
        <f>HYPERLINK("https://klasma.github.io/Logging_2062/kartor/A 45344-2024 karta.png", "A 45344-2024")</f>
        <v/>
      </c>
      <c r="V42">
        <f>HYPERLINK("https://klasma.github.io/Logging_2062/klagomål/A 45344-2024 FSC-klagomål.docx", "A 45344-2024")</f>
        <v/>
      </c>
      <c r="W42">
        <f>HYPERLINK("https://klasma.github.io/Logging_2062/klagomålsmail/A 45344-2024 FSC-klagomål mail.docx", "A 45344-2024")</f>
        <v/>
      </c>
      <c r="X42">
        <f>HYPERLINK("https://klasma.github.io/Logging_2062/tillsyn/A 45344-2024 tillsynsbegäran.docx", "A 45344-2024")</f>
        <v/>
      </c>
      <c r="Y42">
        <f>HYPERLINK("https://klasma.github.io/Logging_2062/tillsynsmail/A 45344-2024 tillsynsbegäran mail.docx", "A 45344-2024")</f>
        <v/>
      </c>
    </row>
    <row r="43" ht="15" customHeight="1">
      <c r="A43" t="inlineStr">
        <is>
          <t>A 45410-2024</t>
        </is>
      </c>
      <c r="B43" s="1" t="n">
        <v>45576</v>
      </c>
      <c r="C43" s="1" t="n">
        <v>45589</v>
      </c>
      <c r="D43" t="inlineStr">
        <is>
          <t>DALARNAS LÄN</t>
        </is>
      </c>
      <c r="E43" t="inlineStr">
        <is>
          <t>MORA</t>
        </is>
      </c>
      <c r="G43" t="n">
        <v>1.1</v>
      </c>
      <c r="H43" t="n">
        <v>0</v>
      </c>
      <c r="I43" t="n">
        <v>0</v>
      </c>
      <c r="J43" t="n">
        <v>1</v>
      </c>
      <c r="K43" t="n">
        <v>0</v>
      </c>
      <c r="L43" t="n">
        <v>0</v>
      </c>
      <c r="M43" t="n">
        <v>0</v>
      </c>
      <c r="N43" t="n">
        <v>0</v>
      </c>
      <c r="O43" t="n">
        <v>1</v>
      </c>
      <c r="P43" t="n">
        <v>0</v>
      </c>
      <c r="Q43" t="n">
        <v>1</v>
      </c>
      <c r="R43" s="2" t="inlineStr">
        <is>
          <t>Tallticka</t>
        </is>
      </c>
      <c r="S43">
        <f>HYPERLINK("https://klasma.github.io/Logging_2062/artfynd/A 45410-2024 artfynd.xlsx", "A 45410-2024")</f>
        <v/>
      </c>
      <c r="T43">
        <f>HYPERLINK("https://klasma.github.io/Logging_2062/kartor/A 45410-2024 karta.png", "A 45410-2024")</f>
        <v/>
      </c>
      <c r="V43">
        <f>HYPERLINK("https://klasma.github.io/Logging_2062/klagomål/A 45410-2024 FSC-klagomål.docx", "A 45410-2024")</f>
        <v/>
      </c>
      <c r="W43">
        <f>HYPERLINK("https://klasma.github.io/Logging_2062/klagomålsmail/A 45410-2024 FSC-klagomål mail.docx", "A 45410-2024")</f>
        <v/>
      </c>
      <c r="X43">
        <f>HYPERLINK("https://klasma.github.io/Logging_2062/tillsyn/A 45410-2024 tillsynsbegäran.docx", "A 45410-2024")</f>
        <v/>
      </c>
      <c r="Y43">
        <f>HYPERLINK("https://klasma.github.io/Logging_2062/tillsynsmail/A 45410-2024 tillsynsbegäran mail.docx", "A 45410-2024")</f>
        <v/>
      </c>
    </row>
    <row r="44" ht="15" customHeight="1">
      <c r="A44" t="inlineStr">
        <is>
          <t>A 20226-2019</t>
        </is>
      </c>
      <c r="B44" s="1" t="n">
        <v>43570</v>
      </c>
      <c r="C44" s="1" t="n">
        <v>45589</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45589</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45589</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45589</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45589</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45589</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45589</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45589</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45589</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45589</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45589</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45589</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45589</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45589</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45589</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45589</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45589</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45589</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45589</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45589</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45589</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45589</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45589</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45589</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45589</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45589</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45589</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45589</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45589</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45589</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45589</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45589</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45589</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45589</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45589</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45589</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45589</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45589</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45589</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45589</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45589</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45589</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45589</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45589</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45589</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45589</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45589</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45589</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45589</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45589</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45589</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45589</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45589</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45589</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45589</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45589</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45589</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45589</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45589</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45589</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45589</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45589</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45589</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45589</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45589</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45589</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45589</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45589</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45589</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45589</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45589</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45589</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45589</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45589</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45589</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45589</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45589</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45589</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45589</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45589</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45589</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45589</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45589</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45589</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45589</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45589</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45589</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45589</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45589</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45589</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45589</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45589</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45589</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45589</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45589</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45589</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45589</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45589</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45589</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45589</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45589</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45589</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45589</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45589</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45589</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45589</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45589</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45589</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45589</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45589</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45589</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45589</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45589</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45589</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45589</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45589</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45589</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45589</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45589</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45589</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45589</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45589</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45589</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45589</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45589</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45589</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45589</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45589</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45589</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45589</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45589</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45589</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45589</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45589</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45589</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45589</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45589</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45589</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45589</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45589</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45589</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45589</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45589</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45589</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45589</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45589</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45589</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45589</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45589</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45589</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45589</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45589</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45589</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45589</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45589</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45589</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45589</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45589</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45589</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45589</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45589</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45589</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45589</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45589</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45589</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45589</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45589</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45589</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45589</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45589</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45589</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45589</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45589</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45589</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45589</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45589</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45589</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45589</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45589</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45589</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45589</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45589</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45589</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45589</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45589</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45589</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45589</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45589</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45589</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45589</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45589</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45589</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45589</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45589</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45589</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45589</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45589</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45589</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45589</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45589</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45589</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45589</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45589</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45589</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45589</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45589</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45589</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45589</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45589</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45589</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45589</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45589</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45589</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45589</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45589</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45589</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45589</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45589</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45589</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45589</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45589</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45589</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45589</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45589</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45589</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45589</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45589</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45589</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45589</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45589</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45589</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45589</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45589</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45589</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45589</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45589</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45589</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45589</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45589</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45589</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45589</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45589</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45589</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45589</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45589</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45589</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45589</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45589</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45589</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45589</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45589</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45589</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45589</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45589</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45589</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45589</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45589</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45589</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45589</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45589</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45589</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45589</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45589</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45589</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45589</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45589</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45589</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45589</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45589</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45589</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45589</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45589</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45589</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45589</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45589</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45589</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45589</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45589</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45589</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45589</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45589</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45589</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45589</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45589</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45589</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45589</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45589</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45589</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45589</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45589</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45589</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45589</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45589</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45589</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45589</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45589</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45589</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45589</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45589</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45589</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45589</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45589</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45589</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45589</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45589</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45589</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45589</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45589</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45589</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45589</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45589</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45589</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45589</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45589</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45589</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45589</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45589</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45589</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45589</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45589</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45589</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45589</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45589</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45589</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45589</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45589</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45589</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45589</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45589</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45589</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45589</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45589</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45589</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45589</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45589</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45589</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45589</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45589</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45589</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45589</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45589</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45589</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45589</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45589</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45589</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45589</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45589</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45589</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45589</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45589</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45589</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45589</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45589</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45589</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45589</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45589</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45589</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45589</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45589</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45589</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45589</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45589</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45589</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45589</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45589</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45589</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45589</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45589</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45589</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45589</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45589</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45589</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45589</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45589</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45589</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45589</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45589</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45589</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45589</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45589</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45589</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45589</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45589</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45589</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45589</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45589</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45589</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45589</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45589</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45589</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45589</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45589</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45589</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45589</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45589</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45589</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45589</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45589</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45589</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45589</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45589</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45589</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45589</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45589</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45589</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45589</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45589</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45589</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45589</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45589</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45589</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45589</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45589</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45589</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45589</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45589</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45589</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45589</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45589</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45589</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45589</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45589</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45589</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45589</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45589</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45589</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45589</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45589</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45589</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45589</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45589</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45589</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45589</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45589</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45589</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45589</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45589</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45589</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45589</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45589</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45589</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45589</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45589</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45589</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45589</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45589</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45589</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45589</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45589</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45589</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45589</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45589</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45589</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45589</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45589</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45589</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45589</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45589</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45589</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45589</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45589</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45589</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45589</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45589</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45589</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45589</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45589</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45589</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45589</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45589</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45589</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45589</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45589</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45589</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45589</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45589</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45589</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45589</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45589</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45589</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45589</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45589</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45589</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45589</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45589</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45589</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45589</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45589</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45589</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45589</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45589</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45589</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45589</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45589</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45589</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45589</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45589</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45589</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45589</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45589</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45589</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45589</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45589</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45589</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45589</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45589</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45589</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45589</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45589</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45589</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45589</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45589</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45589</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45589</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45589</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45589</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45589</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45589</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45589</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45589</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45589</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45589</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45589</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45589</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45589</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45589</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45589</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45589</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45589</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45589</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45589</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45589</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45589</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45589</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45589</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45589</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45589</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45589</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45589</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45589</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45589</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45589</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45589</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45589</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45589</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45589</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45589</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45589</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45589</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45589</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45589</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45589</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45589</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45589</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45589</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45589</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45589</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45589</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45589</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45589</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45589</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45589</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45589</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45589</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45589</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45589</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45589</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45589</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45589</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45589</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45589</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45589</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45589</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45589</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45589</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45589</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45589</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45589</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45589</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45589</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45589</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45589</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45589</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45589</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45589</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45589</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45589</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45589</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45589</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45589</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45589</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45589</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45589</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45589</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45589</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45589</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45589</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45589</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45589</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45589</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45589</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45589</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45589</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45589</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45589</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45589</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45589</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45589</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45589</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45589</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45589</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45589</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45589</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45589</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45589</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45589</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45589</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45589</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45589</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45589</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45589</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45589</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45589</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45589</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45589</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45589</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45589</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45589</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45589</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45589</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45589</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45589</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45589</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45589</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45589</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45589</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45589</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45589</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45589</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45589</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45589</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45589</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45589</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45589</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45589</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45589</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45589</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45589</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45589</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45589</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45589</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45589</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45589</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45589</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45589</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45589</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45589</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45589</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45589</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45589</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45589</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45589</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45589</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45589</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45589</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45589</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45589</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45589</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45589</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45589</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45589</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45589</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45589</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45589</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45589</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45589</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45589</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45589</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45589</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45589</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45589</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45589</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45589</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45589</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45589</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45589</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45589</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45589</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45589</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45589</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45589</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45589</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45589</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45589</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45589</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45589</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45589</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45589</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45589</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45589</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45589</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45589</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45589</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45589</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45589</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45589</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45589</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45589</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45589</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45589</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45589</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45589</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45589</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45589</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45589</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45589</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45589</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45589</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45589</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45589</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45589</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45589</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45589</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45589</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45589</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45589</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45589</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45589</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45589</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45589</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45589</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45589</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45589</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45589</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45589</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45589</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45589</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45589</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45589</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45589</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45589</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45589</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45589</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45589</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45589</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45589</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45589</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45589</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45589</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45589</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45589</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45589</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45589</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45589</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45589</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45589</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45589</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45589</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45589</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45589</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45589</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45589</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45589</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45589</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45589</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45589</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45589</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45589</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45589</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45589</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45589</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45589</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45589</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45589</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45589</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45589</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45589</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45589</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45589</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45589</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45589</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45589</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45589</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45589</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45589</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45589</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45589</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45589</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45589</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45589</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45589</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45589</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45589</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45589</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45589</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45589</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45589</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45589</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45589</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45589</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45589</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45589</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45589</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45589</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45589</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45589</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45589</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45589</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45589</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45589</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45589</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45589</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45589</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45589</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45589</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45589</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45589</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45589</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45589</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45589</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45589</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45589</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45589</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45589</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45589</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45589</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45589</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45589</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45589</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45589</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45589</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45589</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45589</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45589</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45589</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45589</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45589</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45589</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45589</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45589</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45589</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45589</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45589</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45589</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45589</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45589</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45589</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45589</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45589</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45589</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45589</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45589</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45589</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45589</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45589</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45589</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45589</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45589</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45589</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45589</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45589</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45589</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45589</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45589</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45589</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45589</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45589</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45589</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45589</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45589</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45589</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45589</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45589</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45589</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45589</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45589</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45589</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45589</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45589</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45589</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45589</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45589</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45589</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45589</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45589</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45589</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45589</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45589</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45589</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45589</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45589</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45589</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45589</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45589</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45589</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45589</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45589</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45589</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45589</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45589</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45589</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45589</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45589</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45589</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45589</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45589</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45589</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45589</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45589</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45589</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45589</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45589</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45589</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45589</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45589</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45589</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45589</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45589</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45589</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45589</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45589</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45589</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45589</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45589</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45589</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45589</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45589</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45589</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45589</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45589</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45589</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45589</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45589</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45589</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45589</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45589</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45589</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45589</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45589</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45589</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45589</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45589</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45589</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45589</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45589</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45589</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45589</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45589</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45589</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45589</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45589</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45589</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45589</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45589</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45589</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45589</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45589</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45589</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45589</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45589</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45589</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45589</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45589</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45589</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45589</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45589</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45589</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45589</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45589</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45589</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45589</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45589</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45589</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45589</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45589</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45589</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45589</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45589</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45589</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42943-2024</t>
        </is>
      </c>
      <c r="B1025" s="1" t="n">
        <v>45567</v>
      </c>
      <c r="C1025" s="1" t="n">
        <v>45589</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45589</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45589</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42930-2024</t>
        </is>
      </c>
      <c r="B1028" s="1" t="n">
        <v>45567</v>
      </c>
      <c r="C1028" s="1" t="n">
        <v>45589</v>
      </c>
      <c r="D1028" t="inlineStr">
        <is>
          <t>DALARNAS LÄN</t>
        </is>
      </c>
      <c r="E1028" t="inlineStr">
        <is>
          <t>MORA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42934-2024</t>
        </is>
      </c>
      <c r="B1029" s="1" t="n">
        <v>45567</v>
      </c>
      <c r="C1029" s="1" t="n">
        <v>45589</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43053-2024</t>
        </is>
      </c>
      <c r="B1030" s="1" t="n">
        <v>45567</v>
      </c>
      <c r="C1030" s="1" t="n">
        <v>45589</v>
      </c>
      <c r="D1030" t="inlineStr">
        <is>
          <t>DALARNAS LÄN</t>
        </is>
      </c>
      <c r="E1030" t="inlineStr">
        <is>
          <t>MORA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45589</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45589</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45589</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45589</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43335-2024</t>
        </is>
      </c>
      <c r="B1035" s="1" t="n">
        <v>45568</v>
      </c>
      <c r="C1035" s="1" t="n">
        <v>45589</v>
      </c>
      <c r="D1035" t="inlineStr">
        <is>
          <t>DALARNAS LÄN</t>
        </is>
      </c>
      <c r="E1035" t="inlineStr">
        <is>
          <t>MORA</t>
        </is>
      </c>
      <c r="F1035" t="inlineStr">
        <is>
          <t>Bergvik skog öst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45589</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45589</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43873-2024</t>
        </is>
      </c>
      <c r="B1038" s="1" t="n">
        <v>45572</v>
      </c>
      <c r="C1038" s="1" t="n">
        <v>45589</v>
      </c>
      <c r="D1038" t="inlineStr">
        <is>
          <t>DALARNAS LÄN</t>
        </is>
      </c>
      <c r="E1038" t="inlineStr">
        <is>
          <t>MORA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43964-2024</t>
        </is>
      </c>
      <c r="B1039" s="1" t="n">
        <v>45572</v>
      </c>
      <c r="C1039" s="1" t="n">
        <v>45589</v>
      </c>
      <c r="D1039" t="inlineStr">
        <is>
          <t>DALARNAS LÄN</t>
        </is>
      </c>
      <c r="E1039" t="inlineStr">
        <is>
          <t>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44071-2024</t>
        </is>
      </c>
      <c r="B1040" s="1" t="n">
        <v>45572</v>
      </c>
      <c r="C1040" s="1" t="n">
        <v>45589</v>
      </c>
      <c r="D1040" t="inlineStr">
        <is>
          <t>DALARNAS LÄN</t>
        </is>
      </c>
      <c r="E1040" t="inlineStr">
        <is>
          <t>MORA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45589</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45589</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45674-2024</t>
        </is>
      </c>
      <c r="B1043" s="1" t="n">
        <v>45573</v>
      </c>
      <c r="C1043" s="1" t="n">
        <v>45589</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45589</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45589</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45291-2024</t>
        </is>
      </c>
      <c r="B1046" s="1" t="n">
        <v>45576</v>
      </c>
      <c r="C1046" s="1" t="n">
        <v>45589</v>
      </c>
      <c r="D1046" t="inlineStr">
        <is>
          <t>DALARNAS LÄN</t>
        </is>
      </c>
      <c r="E1046" t="inlineStr">
        <is>
          <t>MORA</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45315-2024</t>
        </is>
      </c>
      <c r="B1047" s="1" t="n">
        <v>45576</v>
      </c>
      <c r="C1047" s="1" t="n">
        <v>45589</v>
      </c>
      <c r="D1047" t="inlineStr">
        <is>
          <t>DALARNAS LÄN</t>
        </is>
      </c>
      <c r="E1047" t="inlineStr">
        <is>
          <t>MORA</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45335-2024</t>
        </is>
      </c>
      <c r="B1048" s="1" t="n">
        <v>45576</v>
      </c>
      <c r="C1048" s="1" t="n">
        <v>45589</v>
      </c>
      <c r="D1048" t="inlineStr">
        <is>
          <t>DALARNAS LÄN</t>
        </is>
      </c>
      <c r="E1048" t="inlineStr">
        <is>
          <t>MORA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45339-2024</t>
        </is>
      </c>
      <c r="B1049" s="1" t="n">
        <v>45576</v>
      </c>
      <c r="C1049" s="1" t="n">
        <v>45589</v>
      </c>
      <c r="D1049" t="inlineStr">
        <is>
          <t>DALARNAS LÄN</t>
        </is>
      </c>
      <c r="E1049" t="inlineStr">
        <is>
          <t>MORA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45378-2024</t>
        </is>
      </c>
      <c r="B1050" s="1" t="n">
        <v>45576</v>
      </c>
      <c r="C1050" s="1" t="n">
        <v>45589</v>
      </c>
      <c r="D1050" t="inlineStr">
        <is>
          <t>DALARNAS LÄN</t>
        </is>
      </c>
      <c r="E1050" t="inlineStr">
        <is>
          <t>MORA</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45589</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45589</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45589</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45589</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46417-2024</t>
        </is>
      </c>
      <c r="B1055" s="1" t="n">
        <v>45582</v>
      </c>
      <c r="C1055" s="1" t="n">
        <v>45589</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46414-2024</t>
        </is>
      </c>
      <c r="B1056" s="1" t="n">
        <v>45582</v>
      </c>
      <c r="C1056" s="1" t="n">
        <v>45589</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46412-2024</t>
        </is>
      </c>
      <c r="B1057" s="1" t="n">
        <v>45582</v>
      </c>
      <c r="C1057" s="1" t="n">
        <v>45589</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46923-2024</t>
        </is>
      </c>
      <c r="B1058" s="1" t="n">
        <v>45584</v>
      </c>
      <c r="C1058" s="1" t="n">
        <v>45589</v>
      </c>
      <c r="D1058" t="inlineStr">
        <is>
          <t>DALARNAS LÄN</t>
        </is>
      </c>
      <c r="E1058" t="inlineStr">
        <is>
          <t>MORA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46937-2024</t>
        </is>
      </c>
      <c r="B1059" s="1" t="n">
        <v>45585</v>
      </c>
      <c r="C1059" s="1" t="n">
        <v>45589</v>
      </c>
      <c r="D1059" t="inlineStr">
        <is>
          <t>DALARNAS LÄN</t>
        </is>
      </c>
      <c r="E1059" t="inlineStr">
        <is>
          <t>MORA</t>
        </is>
      </c>
      <c r="F1059" t="inlineStr">
        <is>
          <t>Bergvik skog öst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47459-2024</t>
        </is>
      </c>
      <c r="B1060" s="1" t="n">
        <v>45587</v>
      </c>
      <c r="C1060" s="1" t="n">
        <v>45589</v>
      </c>
      <c r="D1060" t="inlineStr">
        <is>
          <t>DALARNAS LÄN</t>
        </is>
      </c>
      <c r="E1060" t="inlineStr">
        <is>
          <t>MORA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47448-2024</t>
        </is>
      </c>
      <c r="B1061" s="1" t="n">
        <v>45587</v>
      </c>
      <c r="C1061" s="1" t="n">
        <v>45589</v>
      </c>
      <c r="D1061" t="inlineStr">
        <is>
          <t>DALARNAS LÄN</t>
        </is>
      </c>
      <c r="E1061" t="inlineStr">
        <is>
          <t>MORA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47454-2024</t>
        </is>
      </c>
      <c r="B1062" s="1" t="n">
        <v>45587</v>
      </c>
      <c r="C1062" s="1" t="n">
        <v>45589</v>
      </c>
      <c r="D1062" t="inlineStr">
        <is>
          <t>DALARNAS LÄN</t>
        </is>
      </c>
      <c r="E1062" t="inlineStr">
        <is>
          <t>MORA</t>
        </is>
      </c>
      <c r="G1062" t="n">
        <v>1</v>
      </c>
      <c r="H1062" t="n">
        <v>0</v>
      </c>
      <c r="I1062" t="n">
        <v>0</v>
      </c>
      <c r="J1062" t="n">
        <v>0</v>
      </c>
      <c r="K1062" t="n">
        <v>0</v>
      </c>
      <c r="L1062" t="n">
        <v>0</v>
      </c>
      <c r="M1062" t="n">
        <v>0</v>
      </c>
      <c r="N1062" t="n">
        <v>0</v>
      </c>
      <c r="O1062" t="n">
        <v>0</v>
      </c>
      <c r="P1062" t="n">
        <v>0</v>
      </c>
      <c r="Q1062" t="n">
        <v>0</v>
      </c>
      <c r="R1062" s="2" t="inlineStr"/>
    </row>
    <row r="1063">
      <c r="A1063" t="inlineStr">
        <is>
          <t>A 47784-2024</t>
        </is>
      </c>
      <c r="B1063" s="1" t="n">
        <v>45588</v>
      </c>
      <c r="C1063" s="1" t="n">
        <v>45589</v>
      </c>
      <c r="D1063" t="inlineStr">
        <is>
          <t>DALARNAS LÄN</t>
        </is>
      </c>
      <c r="E1063" t="inlineStr">
        <is>
          <t>MORA</t>
        </is>
      </c>
      <c r="G1063" t="n">
        <v>15.3</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2024-10-24T13:54:14Z</dcterms:created>
  <dcterms:modified xmlns:dcterms="http://purl.org/dc/terms/" xmlns:xsi="http://www.w3.org/2001/XMLSchema-instance" xsi:type="dcterms:W3CDTF">2024-10-24T13:54:15Z</dcterms:modified>
</cp:coreProperties>
</file>