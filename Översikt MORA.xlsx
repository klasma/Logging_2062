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45705</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45705</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45705</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45705</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45705</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45705</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45705</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45705</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45705</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45705</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45705</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45705</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45705</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54028-2020</t>
        </is>
      </c>
      <c r="B17" s="1" t="n">
        <v>44125</v>
      </c>
      <c r="C17" s="1" t="n">
        <v>45705</v>
      </c>
      <c r="D17" t="inlineStr">
        <is>
          <t>DALARNAS LÄN</t>
        </is>
      </c>
      <c r="E17" t="inlineStr">
        <is>
          <t>MORA</t>
        </is>
      </c>
      <c r="G17" t="n">
        <v>10.9</v>
      </c>
      <c r="H17" t="n">
        <v>1</v>
      </c>
      <c r="I17" t="n">
        <v>1</v>
      </c>
      <c r="J17" t="n">
        <v>5</v>
      </c>
      <c r="K17" t="n">
        <v>1</v>
      </c>
      <c r="L17" t="n">
        <v>0</v>
      </c>
      <c r="M17" t="n">
        <v>0</v>
      </c>
      <c r="N17" t="n">
        <v>0</v>
      </c>
      <c r="O17" t="n">
        <v>6</v>
      </c>
      <c r="P17" t="n">
        <v>1</v>
      </c>
      <c r="Q17" t="n">
        <v>7</v>
      </c>
      <c r="R17" s="2" t="inlineStr">
        <is>
          <t>Gräddporing
Kolflarnlav
Kortskaftad ärgspik
Nordtagging
Tretåig hackspett
Vedskivlav
Mindre märgborre</t>
        </is>
      </c>
      <c r="S17">
        <f>HYPERLINK("https://klasma.github.io/Logging_2062/artfynd/A 54028-2020 artfynd.xlsx", "A 54028-2020")</f>
        <v/>
      </c>
      <c r="T17">
        <f>HYPERLINK("https://klasma.github.io/Logging_2062/kartor/A 54028-2020 karta.png", "A 54028-2020")</f>
        <v/>
      </c>
      <c r="V17">
        <f>HYPERLINK("https://klasma.github.io/Logging_2062/klagomål/A 54028-2020 FSC-klagomål.docx", "A 54028-2020")</f>
        <v/>
      </c>
      <c r="W17">
        <f>HYPERLINK("https://klasma.github.io/Logging_2062/klagomålsmail/A 54028-2020 FSC-klagomål mail.docx", "A 54028-2020")</f>
        <v/>
      </c>
      <c r="X17">
        <f>HYPERLINK("https://klasma.github.io/Logging_2062/tillsyn/A 54028-2020 tillsynsbegäran.docx", "A 54028-2020")</f>
        <v/>
      </c>
      <c r="Y17">
        <f>HYPERLINK("https://klasma.github.io/Logging_2062/tillsynsmail/A 54028-2020 tillsynsbegäran mail.docx", "A 54028-2020")</f>
        <v/>
      </c>
      <c r="Z17">
        <f>HYPERLINK("https://klasma.github.io/Logging_2062/fåglar/A 54028-2020 prioriterade fågelarter.docx", "A 54028-2020")</f>
        <v/>
      </c>
    </row>
    <row r="18" ht="15" customHeight="1">
      <c r="A18" t="inlineStr">
        <is>
          <t>A 5064-2023</t>
        </is>
      </c>
      <c r="B18" s="1" t="n">
        <v>44958</v>
      </c>
      <c r="C18" s="1" t="n">
        <v>45705</v>
      </c>
      <c r="D18" t="inlineStr">
        <is>
          <t>DALARNAS LÄN</t>
        </is>
      </c>
      <c r="E18" t="inlineStr">
        <is>
          <t>MORA</t>
        </is>
      </c>
      <c r="G18" t="n">
        <v>3.9</v>
      </c>
      <c r="H18" t="n">
        <v>1</v>
      </c>
      <c r="I18" t="n">
        <v>1</v>
      </c>
      <c r="J18" t="n">
        <v>6</v>
      </c>
      <c r="K18" t="n">
        <v>0</v>
      </c>
      <c r="L18" t="n">
        <v>0</v>
      </c>
      <c r="M18" t="n">
        <v>0</v>
      </c>
      <c r="N18" t="n">
        <v>0</v>
      </c>
      <c r="O18" t="n">
        <v>6</v>
      </c>
      <c r="P18" t="n">
        <v>0</v>
      </c>
      <c r="Q18" t="n">
        <v>7</v>
      </c>
      <c r="R18" s="2" t="inlineStr">
        <is>
          <t>Garnlav
Spillkråka
Tallticka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61259-2023</t>
        </is>
      </c>
      <c r="B19" s="1" t="n">
        <v>45264</v>
      </c>
      <c r="C19" s="1" t="n">
        <v>45705</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45705</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45705</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45705</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45705</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45705</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45705</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45705</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45705</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45705</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45705</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45705</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45705</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45705</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45705</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45705</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45705</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45705</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45705</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45705</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45705</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45705</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45705</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45705</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45705</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45705</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45705</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45705</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45705</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45705</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45705</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45705</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45705</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45705</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45705</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45705</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45705</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45705</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45705</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45705</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45705</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45705</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45705</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45705</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45705</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45705</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45705</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45705</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45705</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45705</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45705</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45705</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45705</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45705</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45705</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45705</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45705</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45705</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45705</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45705</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45705</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45705</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45705</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45705</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45705</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45705</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45705</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45705</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45705</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45705</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45705</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45705</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45705</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45705</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45705</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45705</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45705</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45705</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45705</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45705</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45705</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45705</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45705</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45705</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45705</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45705</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45705</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45705</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45705</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45705</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45705</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45705</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45705</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45705</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45705</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45705</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45705</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45705</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45705</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45705</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45705</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45705</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45705</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45705</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45705</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45705</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45705</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45705</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45705</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45705</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45705</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45705</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45705</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45705</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45705</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45705</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45705</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45705</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45705</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45705</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45705</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45705</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45705</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45705</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45705</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45705</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45705</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45705</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45705</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45705</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45705</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45705</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45705</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45705</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45705</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45705</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45705</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45705</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45705</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45705</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45705</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45705</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45705</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45705</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45705</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45705</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45705</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45705</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45705</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45705</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45705</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45705</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45705</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45705</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45705</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45705</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45705</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45705</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45705</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45705</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45705</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45705</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45705</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45705</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45705</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45705</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45705</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45705</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45705</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45705</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45705</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45705</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45705</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45705</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45705</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45705</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45705</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45705</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45705</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45705</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45705</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45705</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45705</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45705</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45705</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45705</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45705</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45705</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45705</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45705</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45705</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45705</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45705</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45705</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45705</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45705</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45705</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45705</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45705</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45705</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45705</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45705</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45705</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45705</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45705</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45705</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45705</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45705</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45705</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45705</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45705</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45705</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45705</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45705</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45705</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45705</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45705</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45705</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45705</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45705</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45705</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45705</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45705</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45705</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45705</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45705</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45705</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45705</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45705</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45705</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45705</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45705</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45705</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45705</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45705</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45705</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45705</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45705</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45705</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45705</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45705</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45705</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45705</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45705</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45705</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45705</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45705</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45705</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45705</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45705</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45705</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45705</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45705</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45705</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45705</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45705</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45705</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45705</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45705</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45705</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45705</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45705</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45705</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45705</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45705</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45705</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45705</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45705</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45705</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45705</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45705</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45705</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45705</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45705</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45705</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45705</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45705</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45705</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45705</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45705</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45705</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45705</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45705</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45705</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45705</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45705</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45705</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45705</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45705</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45705</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45705</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45705</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45705</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45705</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45705</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45705</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45705</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45705</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45705</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45705</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45705</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45705</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45705</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45705</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45705</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45705</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45705</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45705</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45705</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45705</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45705</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45705</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45705</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45705</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45705</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45705</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45705</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45705</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45705</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45705</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45705</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45705</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45705</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45705</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45705</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45705</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45705</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45705</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45705</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45705</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45705</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45705</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45705</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45705</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45705</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45705</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45705</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45705</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45705</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45705</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45705</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45705</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45705</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45705</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45705</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45705</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45705</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45705</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45705</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45705</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45705</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45705</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45705</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45705</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45705</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45705</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45705</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45705</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45705</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45705</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45705</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45705</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45705</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45705</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45705</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45705</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45705</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45705</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45705</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45705</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45705</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45705</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45705</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45705</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45705</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45705</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45705</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45705</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45705</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45705</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45705</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45705</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45705</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45705</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45705</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45705</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45705</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45705</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45705</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45705</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45705</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45705</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45705</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45705</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45705</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45705</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45705</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45705</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45705</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45705</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45705</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45705</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45705</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45705</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45705</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45705</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45705</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45705</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45705</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45705</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45705</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45705</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45705</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45705</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45705</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45705</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45705</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45705</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45705</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45705</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45705</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45705</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45705</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45705</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45705</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45705</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45705</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45705</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45705</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45705</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45705</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45705</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45705</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45705</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45705</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45705</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45705</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45705</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45705</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45705</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45705</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45705</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45705</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45705</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45705</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45705</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45705</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45705</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45705</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45705</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45705</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45705</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45705</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45705</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45705</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45705</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45705</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45705</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45705</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45705</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45705</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45705</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45705</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45705</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45705</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45705</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45705</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45705</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45705</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45705</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45705</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45705</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45705</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45705</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45705</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45705</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45705</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45705</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45705</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45705</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45705</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45705</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45705</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45705</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45705</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45705</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45705</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45705</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45705</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45705</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45705</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45705</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45705</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45705</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45705</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45705</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45705</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45705</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45705</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45705</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45705</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45705</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45705</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45705</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45705</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45705</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45705</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45705</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45705</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45705</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45705</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45705</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45705</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45705</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45705</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45705</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45705</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45705</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45705</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45705</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45705</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45705</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45705</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45705</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45705</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45705</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45705</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45705</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45705</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45705</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45705</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45705</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45705</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45705</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45705</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45705</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45705</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45705</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45705</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45705</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45705</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45705</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45705</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45705</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45705</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45705</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45705</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45705</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45705</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45705</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45705</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45705</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45705</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45705</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45705</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45705</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45705</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45705</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45705</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45705</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45705</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45705</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45705</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45705</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45705</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45705</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45705</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45705</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45705</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45705</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45705</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45705</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45705</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45705</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45705</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45705</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45705</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45705</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45705</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45705</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45705</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45705</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45705</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45705</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45705</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45705</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45705</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45705</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45705</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45705</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45705</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45705</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45705</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45705</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45705</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45705</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45705</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45705</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45705</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45705</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45705</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45705</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45705</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45705</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45705</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45705</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45705</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45705</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45705</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45705</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45705</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45705</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45705</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45705</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45705</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45705</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45705</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45705</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45705</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45705</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45705</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45705</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45705</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45705</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45705</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45705</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45705</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45705</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45705</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45705</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45705</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45705</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45705</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45705</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45705</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45705</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45705</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45705</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45705</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45705</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45705</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45705</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45705</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45705</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45705</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45705</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45705</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45705</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45705</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45705</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45705</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45705</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45705</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45705</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45705</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45705</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45705</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45705</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45705</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45705</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45705</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45705</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45705</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45705</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45705</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45705</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45705</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45705</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45705</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45705</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45705</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45705</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45705</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45705</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45705</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45705</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45705</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45705</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45705</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45705</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45705</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45705</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45705</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45705</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45705</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45705</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45705</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45705</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45705</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45705</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45705</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45705</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45705</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45705</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45705</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45705</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45705</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45705</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45705</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45705</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45705</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45705</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45705</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45705</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45705</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45705</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45705</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45705</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45705</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45705</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45705</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45705</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45705</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45705</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45705</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45705</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45705</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45705</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45705</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45705</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45705</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45705</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45705</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45705</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45705</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45705</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45705</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45705</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45705</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45705</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45705</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45705</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45705</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45705</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45705</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45705</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45705</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45705</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45705</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45705</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45705</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45705</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45705</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45705</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45705</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45705</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45705</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45705</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45705</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45705</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45705</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45705</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45705</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45705</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45705</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45705</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45705</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45705</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45705</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45705</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45705</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45705</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45705</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45705</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45705</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45705</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45705</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45705</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45705</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45705</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45705</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45705</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45705</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45705</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45705</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45705</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45705</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45705</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45705</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45705</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45705</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45705</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45705</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45705</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45705</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45705</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45705</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45705</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45705</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45705</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45705</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45705</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45705</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45705</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45705</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45705</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45705</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45705</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45705</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45705</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45705</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45705</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45705</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45705</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45705</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45705</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45705</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45705</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45705</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45705</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45705</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45705</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45705</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45705</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45705</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45705</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45705</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45705</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45705</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45705</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45705</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45705</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45705</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45705</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45705</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45705</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45705</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45705</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45705</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45705</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45705</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45705</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45705</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45705</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45705</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45705</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45705</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45705</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45705</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45705</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45705</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45705</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45705</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45705</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45705</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45705</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45705</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45705</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45705</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45705</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45705</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45705</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45705</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45705</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45705</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45705</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45705</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45705</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45705</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45705</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45705</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45705</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45705</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45705</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45705</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45705</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45705</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45705</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45705</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45705</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45705</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45705</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45705</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45705</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45705</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45705</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45705</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45705</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45705</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45705</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45705</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45705</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45705</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45705</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45705</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45705</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45705</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45705</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45705</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45705</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45705</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45705</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45705</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45705</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45705</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45705</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45705</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45705</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45705</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45705</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45705</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45705</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45705</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45705</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45705</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45705</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45705</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45705</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45705</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45705</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45705</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45705</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45705</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45705</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45705</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45705</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45705</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45705</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45705</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45705</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45705</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45705</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45705</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45705</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45705</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45705</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45705</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45705</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45705</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45705</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45705</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45705</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45705</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45705</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45705</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45705</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45705</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45705</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45705</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45705</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45705</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45705</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45705</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45705</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45705</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45705</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45705</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45705</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45705</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45705</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45705</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45705</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45705</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45705</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45705</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45705</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45705</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45705</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45705</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45705</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45705</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45705</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45705</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45705</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45705</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45705</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45705</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45705</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45705</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45705</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45705</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45705</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45705</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45705</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45705</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45705</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45705</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45705</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45705</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45705</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45705</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45705</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45705</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45705</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45705</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45705</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45705</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45705</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45705</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45705</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45705</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45705</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45705</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45705</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45705</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45705</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45705</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45705</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45705</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45705</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45705</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45705</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45705</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45705</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45705</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45705</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45705</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45705</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45705</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45705</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45705</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45705</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45705</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45705</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45705</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45705</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45705</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45705</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45705</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45705</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45705</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45705</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45705</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45705</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45705</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45705</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45705</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45705</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45705</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45705</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45705</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45705</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45705</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45705</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45705</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45705</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45705</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45705</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45705</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45705</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45705</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45705</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45705</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45705</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45705</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45705</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45705</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45705</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45705</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45705</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45705</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45705</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45705</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45705</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45705</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45705</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45705</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45705</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45705</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45705</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45705</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45705</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45705</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45705</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45705</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45705</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45705</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45705</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45705</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45705</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45705</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45705</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45705</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45705</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45705</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45705</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45705</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45705</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45705</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45705</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45705</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45705</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45705</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45705</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45705</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45705</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45705</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45705</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45705</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45705</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45705</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45705</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45705</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45705</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45705</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45705</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45705</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45705</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45705</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45705</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45705</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45705</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45705</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45705</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45705</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45705</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45705</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45705</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45705</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45705</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45705</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45705</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45705</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45705</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45705</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45705</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45705</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45705</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45705</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45705</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45705</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45705</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45705</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45705</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45705</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45705</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45705</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45705</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45705</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45705</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45705</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45705</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45705</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45705</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45705</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45705</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45705</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45705</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45705</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45705</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45705</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45705</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45705</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45705</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45705</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45705</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45705</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45705</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45705</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45705</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45705</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45705</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4994-2025</t>
        </is>
      </c>
      <c r="B1171" s="1" t="n">
        <v>45691</v>
      </c>
      <c r="C1171" s="1" t="n">
        <v>45705</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45705</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45705</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45705</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45705</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45705</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45705</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c r="A1178" t="inlineStr">
        <is>
          <t>A 6520-2025</t>
        </is>
      </c>
      <c r="B1178" s="1" t="n">
        <v>45699</v>
      </c>
      <c r="C1178" s="1" t="n">
        <v>45705</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2025-02-17T16:37:33Z</dcterms:created>
  <dcterms:modified xmlns:dcterms="http://purl.org/dc/terms/" xmlns:xsi="http://www.w3.org/2001/XMLSchema-instance" xsi:type="dcterms:W3CDTF">2025-02-17T16:37:34Z</dcterms:modified>
</cp:coreProperties>
</file>